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F3B6066-8CA9-4CCA-8FFB-5F50229F6F0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ummary" sheetId="5" r:id="rId1"/>
    <sheet name="Montgomery_Fleet_Equipment_Inve" sheetId="1" r:id="rId2"/>
    <sheet name="Pivot Table 1" sheetId="2" r:id="rId3"/>
    <sheet name="Pivot Table 2" sheetId="3" r:id="rId4"/>
    <sheet name="Pivot Table 3" sheetId="4" r:id="rId5"/>
  </sheets>
  <definedNames>
    <definedName name="_xlnm._FilterDatabase" localSheetId="1" hidden="1">Montgomery_Fleet_Equipment_Inve!$A$1:$C$50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F5" i="1"/>
  <c r="F4" i="1"/>
  <c r="F3" i="1"/>
  <c r="F2" i="1"/>
</calcChain>
</file>

<file path=xl/sharedStrings.xml><?xml version="1.0" encoding="utf-8"?>
<sst xmlns="http://schemas.openxmlformats.org/spreadsheetml/2006/main" count="171" uniqueCount="43">
  <si>
    <t>Department</t>
  </si>
  <si>
    <t>Equipment Class</t>
  </si>
  <si>
    <t>Equipment Count</t>
  </si>
  <si>
    <t>Public Safety SUV</t>
  </si>
  <si>
    <t>Sedan</t>
  </si>
  <si>
    <t>Housing and Community Affairs</t>
  </si>
  <si>
    <t>Pick Up Trucks</t>
  </si>
  <si>
    <t>SUV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</si>
  <si>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</si>
  <si>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</si>
  <si>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</si>
  <si>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</si>
  <si>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</si>
  <si>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</si>
  <si>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</si>
  <si>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</si>
  <si>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</si>
  <si>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</si>
  <si>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</si>
  <si>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Sheriffs Office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</si>
  <si>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</si>
  <si>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</si>
  <si>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</si>
  <si>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</si>
  <si>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</si>
  <si>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</si>
  <si>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</si>
  <si>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</si>
  <si>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Off Road Vehicle Equipment</t>
  </si>
  <si>
    <t>SUM</t>
  </si>
  <si>
    <t>AVERAGE</t>
  </si>
  <si>
    <t>MIN</t>
  </si>
  <si>
    <t>MAX</t>
  </si>
  <si>
    <t>COUNT</t>
  </si>
  <si>
    <t>Row Labels</t>
  </si>
  <si>
    <t>Grand Total</t>
  </si>
  <si>
    <t>Sum of Equipment Count</t>
  </si>
  <si>
    <t>This workbook presents an organized analysis of Montgomery's government fleet equipment inventory. Using pivot tables, the dataset was examined to provide strategic insights into departmental equipment allocation.</t>
  </si>
  <si>
    <r>
      <t xml:space="preserve">The </t>
    </r>
    <r>
      <rPr>
        <b/>
        <sz val="11"/>
        <color theme="1"/>
        <rFont val="Calibri"/>
        <family val="2"/>
        <scheme val="minor"/>
      </rPr>
      <t>main dataset</t>
    </r>
    <r>
      <rPr>
        <sz val="11"/>
        <color theme="1"/>
        <rFont val="Calibri"/>
        <family val="2"/>
        <scheme val="minor"/>
      </rPr>
      <t xml:space="preserve"> includes detailed counts of different equipment classes (e.g., Sedans, SUVs, Pick-Up Trucks) assigned to each city department.</t>
    </r>
  </si>
  <si>
    <r>
      <t>Pivot Table 1</t>
    </r>
    <r>
      <rPr>
        <sz val="11"/>
        <color theme="1"/>
        <rFont val="Calibri"/>
        <family val="2"/>
        <scheme val="minor"/>
      </rPr>
      <t xml:space="preserve"> summarizes the </t>
    </r>
    <r>
      <rPr>
        <b/>
        <sz val="11"/>
        <color theme="1"/>
        <rFont val="Calibri"/>
        <family val="2"/>
        <scheme val="minor"/>
      </rPr>
      <t>total number of equipment units by department</t>
    </r>
    <r>
      <rPr>
        <sz val="11"/>
        <color theme="1"/>
        <rFont val="Calibri"/>
        <family val="2"/>
        <scheme val="minor"/>
      </rPr>
      <t xml:space="preserve">, highlighting that </t>
    </r>
    <r>
      <rPr>
        <b/>
        <sz val="11"/>
        <color theme="1"/>
        <rFont val="Calibri"/>
        <family val="2"/>
        <scheme val="minor"/>
      </rPr>
      <t>Transportation</t>
    </r>
    <r>
      <rPr>
        <sz val="11"/>
        <color theme="1"/>
        <rFont val="Calibri"/>
        <family val="2"/>
        <scheme val="minor"/>
      </rPr>
      <t xml:space="preserve"> holds the largest fleet with over </t>
    </r>
    <r>
      <rPr>
        <b/>
        <sz val="11"/>
        <color theme="1"/>
        <rFont val="Calibri"/>
        <family val="2"/>
        <scheme val="minor"/>
      </rPr>
      <t>1,200 units</t>
    </r>
    <r>
      <rPr>
        <sz val="11"/>
        <color theme="1"/>
        <rFont val="Calibri"/>
        <family val="2"/>
        <scheme val="minor"/>
      </rPr>
      <t>, followed by departments such as Permitting Services and the Sheriff's Office.</t>
    </r>
  </si>
  <si>
    <t>Additional pivot tables (not shown in this summary) further explore the data from different perspectives, such as equipment distribution patterns and statistical summaries.</t>
  </si>
  <si>
    <r>
      <t xml:space="preserve">The analysis demonstrates effective use of </t>
    </r>
    <r>
      <rPr>
        <b/>
        <sz val="11"/>
        <color theme="1"/>
        <rFont val="Calibri"/>
        <family val="2"/>
        <scheme val="minor"/>
      </rPr>
      <t>pivot tables</t>
    </r>
    <r>
      <rPr>
        <sz val="11"/>
        <color theme="1"/>
        <rFont val="Calibri"/>
        <family val="2"/>
        <scheme val="minor"/>
      </rPr>
      <t xml:space="preserve"> to extract actionable insights from raw data and supports better resource planning and fleet optimization decisions.</t>
    </r>
  </si>
  <si>
    <t>This project highlights proficiency in Excel functions like pivot table creation, categorical summarization, and data interpretation for administrative decision-making.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</si>
</sst>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10" xfId="0" applyBorder="1"/>
    <xf numFmtId="0" fontId="1" fillId="28" borderId="10" xfId="37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vertical="center" indent="1"/>
    </xf>
    <xf numFmtId="0" fontId="16" fillId="0" borderId="0" xfId="0" applyFont="1" applyAlignment="1">
      <alignment horizontal="left" vertical="center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0.877759490744" createdVersion="8" refreshedVersion="8" minRefreshableVersion="3" recordCount="49" xr:uid="{ECAB7C33-D80D-433C-BC71-EE2F1EAFC58F}">
  <cacheSource type="worksheet">
    <worksheetSource name="Table1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n v="21"/>
  </r>
  <r>
    <x v="0"/>
    <x v="1"/>
    <n v="1"/>
  </r>
  <r>
    <x v="0"/>
    <x v="2"/>
    <n v="23"/>
  </r>
  <r>
    <x v="1"/>
    <x v="2"/>
    <n v="2"/>
  </r>
  <r>
    <x v="2"/>
    <x v="0"/>
    <n v="3"/>
  </r>
  <r>
    <x v="2"/>
    <x v="3"/>
    <n v="2"/>
  </r>
  <r>
    <x v="2"/>
    <x v="4"/>
    <n v="1"/>
  </r>
  <r>
    <x v="3"/>
    <x v="3"/>
    <n v="2"/>
  </r>
  <r>
    <x v="3"/>
    <x v="5"/>
    <n v="42"/>
  </r>
  <r>
    <x v="3"/>
    <x v="1"/>
    <n v="1"/>
  </r>
  <r>
    <x v="3"/>
    <x v="2"/>
    <n v="11"/>
  </r>
  <r>
    <x v="4"/>
    <x v="1"/>
    <n v="1"/>
  </r>
  <r>
    <x v="5"/>
    <x v="6"/>
    <n v="9"/>
  </r>
  <r>
    <x v="5"/>
    <x v="1"/>
    <n v="27"/>
  </r>
  <r>
    <x v="5"/>
    <x v="0"/>
    <n v="24"/>
  </r>
  <r>
    <x v="5"/>
    <x v="3"/>
    <n v="1"/>
  </r>
  <r>
    <x v="5"/>
    <x v="2"/>
    <n v="48"/>
  </r>
  <r>
    <x v="6"/>
    <x v="3"/>
    <n v="1"/>
  </r>
  <r>
    <x v="7"/>
    <x v="2"/>
    <n v="6"/>
  </r>
  <r>
    <x v="7"/>
    <x v="0"/>
    <n v="5"/>
  </r>
  <r>
    <x v="7"/>
    <x v="1"/>
    <n v="2"/>
  </r>
  <r>
    <x v="7"/>
    <x v="3"/>
    <n v="15"/>
  </r>
  <r>
    <x v="7"/>
    <x v="7"/>
    <n v="7"/>
  </r>
  <r>
    <x v="8"/>
    <x v="8"/>
    <n v="20"/>
  </r>
  <r>
    <x v="8"/>
    <x v="2"/>
    <n v="1"/>
  </r>
  <r>
    <x v="8"/>
    <x v="4"/>
    <n v="1"/>
  </r>
  <r>
    <x v="8"/>
    <x v="0"/>
    <n v="3"/>
  </r>
  <r>
    <x v="8"/>
    <x v="1"/>
    <n v="1"/>
  </r>
  <r>
    <x v="8"/>
    <x v="9"/>
    <n v="8"/>
  </r>
  <r>
    <x v="8"/>
    <x v="10"/>
    <n v="4"/>
  </r>
  <r>
    <x v="8"/>
    <x v="11"/>
    <n v="46"/>
  </r>
  <r>
    <x v="8"/>
    <x v="12"/>
    <n v="1"/>
  </r>
  <r>
    <x v="9"/>
    <x v="11"/>
    <n v="1"/>
  </r>
  <r>
    <x v="9"/>
    <x v="3"/>
    <n v="1"/>
  </r>
  <r>
    <x v="9"/>
    <x v="1"/>
    <n v="1"/>
  </r>
  <r>
    <x v="9"/>
    <x v="2"/>
    <n v="2"/>
  </r>
  <r>
    <x v="10"/>
    <x v="0"/>
    <n v="1"/>
  </r>
  <r>
    <x v="10"/>
    <x v="6"/>
    <n v="1"/>
  </r>
  <r>
    <x v="10"/>
    <x v="3"/>
    <n v="11"/>
  </r>
  <r>
    <x v="10"/>
    <x v="1"/>
    <n v="3"/>
  </r>
  <r>
    <x v="11"/>
    <x v="0"/>
    <n v="93"/>
  </r>
  <r>
    <x v="11"/>
    <x v="5"/>
    <n v="248"/>
  </r>
  <r>
    <x v="11"/>
    <x v="13"/>
    <n v="379"/>
  </r>
  <r>
    <x v="11"/>
    <x v="1"/>
    <n v="53"/>
  </r>
  <r>
    <x v="11"/>
    <x v="3"/>
    <n v="32"/>
  </r>
  <r>
    <x v="11"/>
    <x v="4"/>
    <n v="98"/>
  </r>
  <r>
    <x v="11"/>
    <x v="7"/>
    <n v="276"/>
  </r>
  <r>
    <x v="11"/>
    <x v="6"/>
    <n v="5"/>
  </r>
  <r>
    <x v="11"/>
    <x v="2"/>
    <n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C6B070-3714-4CD8-B754-DA0EE8ADEC2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0"/>
  </rowFields>
  <rowItems count="13">
    <i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38F4E-BB47-46FA-92DD-CC69DAE87E6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5" firstHeaderRow="1" firstDataRow="1" firstDataCol="1"/>
  <pivotFields count="3">
    <pivotField axis="axisRow" showAll="0" sortType="descending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showAll="0"/>
  </pivotFields>
  <rowFields count="2">
    <field x="0"/>
    <field x="1"/>
  </rowFields>
  <rowItems count="22">
    <i>
      <x v="11"/>
    </i>
    <i r="1"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997E7E-DBAF-4033-BB96-ED71AD0E76B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1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sd="0" x="2"/>
        <item sd="0" x="1"/>
        <item sd="0" x="13"/>
        <item sd="0" x="3"/>
        <item t="default"/>
      </items>
    </pivotField>
    <pivotField dataField="1" showAll="0"/>
  </pivotFields>
  <rowFields count="2">
    <field x="1"/>
    <field x="0"/>
  </rowFields>
  <rowItems count="18">
    <i>
      <x/>
    </i>
    <i r="1">
      <x v="5"/>
    </i>
    <i r="1">
      <x v="11"/>
    </i>
    <i r="1">
      <x v="1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047261-79BA-4BE5-A1C5-5CE283524742}" name="Table1" displayName="Table1" ref="A1:C50" totalsRowShown="0">
  <autoFilter ref="A1:C50" xr:uid="{75047261-79BA-4BE5-A1C5-5CE283524742}"/>
  <tableColumns count="3">
    <tableColumn id="1" xr3:uid="{74A0B36E-76B2-4FD5-9F75-2DF8CF5308C2}" name="Department"/>
    <tableColumn id="2" xr3:uid="{9E044303-230C-4587-ACBA-CD173E957B70}" name="Equipment Class"/>
    <tableColumn id="3" xr3:uid="{27D98790-B50C-4C88-BA72-087508E21784}" name="Equipment 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2B680-D290-4594-A3EA-8D0FEFE49A8F}">
  <dimension ref="A1:A11"/>
  <sheetViews>
    <sheetView tabSelected="1" workbookViewId="0">
      <selection activeCell="C13" sqref="C13"/>
    </sheetView>
  </sheetViews>
  <sheetFormatPr defaultRowHeight="15" x14ac:dyDescent="0.25"/>
  <sheetData>
    <row r="1" spans="1:1" x14ac:dyDescent="0.25">
      <c r="A1" t="s">
        <v>37</v>
      </c>
    </row>
    <row r="2" spans="1:1" x14ac:dyDescent="0.25">
      <c r="A2" s="6"/>
    </row>
    <row r="3" spans="1:1" x14ac:dyDescent="0.25">
      <c r="A3" s="6" t="s">
        <v>38</v>
      </c>
    </row>
    <row r="4" spans="1:1" x14ac:dyDescent="0.25">
      <c r="A4" s="6"/>
    </row>
    <row r="5" spans="1:1" x14ac:dyDescent="0.25">
      <c r="A5" s="7" t="s">
        <v>39</v>
      </c>
    </row>
    <row r="6" spans="1:1" x14ac:dyDescent="0.25">
      <c r="A6" s="6"/>
    </row>
    <row r="7" spans="1:1" x14ac:dyDescent="0.25">
      <c r="A7" s="6" t="s">
        <v>40</v>
      </c>
    </row>
    <row r="8" spans="1:1" x14ac:dyDescent="0.25">
      <c r="A8" s="6"/>
    </row>
    <row r="9" spans="1:1" x14ac:dyDescent="0.25">
      <c r="A9" s="6" t="s">
        <v>41</v>
      </c>
    </row>
    <row r="11" spans="1:1" x14ac:dyDescent="0.25">
      <c r="A11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workbookViewId="0">
      <selection activeCell="I5" sqref="I5"/>
    </sheetView>
  </sheetViews>
  <sheetFormatPr defaultRowHeight="15" x14ac:dyDescent="0.25"/>
  <cols>
    <col min="1" max="1" width="31.7109375" customWidth="1"/>
    <col min="2" max="2" width="26.140625" bestFit="1" customWidth="1"/>
    <col min="3" max="3" width="18.5703125" customWidth="1"/>
  </cols>
  <sheetData>
    <row r="1" spans="1:6" x14ac:dyDescent="0.25">
      <c r="A1" t="s">
        <v>0</v>
      </c>
      <c r="B1" t="s">
        <v>1</v>
      </c>
      <c r="C1" t="s">
        <v>2</v>
      </c>
    </row>
    <row r="2" spans="1:6" x14ac:dyDescent="0.25">
      <c r="A2" t="s">
        <v>5</v>
      </c>
      <c r="B2" t="s">
        <v>6</v>
      </c>
      <c r="C2">
        <v>21</v>
      </c>
      <c r="E2" s="2" t="s">
        <v>29</v>
      </c>
      <c r="F2" s="1">
        <f>SUM(Table1[Equipment Count])</f>
        <v>1582</v>
      </c>
    </row>
    <row r="3" spans="1:6" x14ac:dyDescent="0.25">
      <c r="A3" t="s">
        <v>5</v>
      </c>
      <c r="B3" t="s">
        <v>7</v>
      </c>
      <c r="C3">
        <v>1</v>
      </c>
      <c r="E3" s="2" t="s">
        <v>30</v>
      </c>
      <c r="F3" s="1">
        <f>AVERAGE(Table1[Equipment Count])</f>
        <v>32.285714285714285</v>
      </c>
    </row>
    <row r="4" spans="1:6" x14ac:dyDescent="0.25">
      <c r="A4" t="s">
        <v>5</v>
      </c>
      <c r="B4" t="s">
        <v>4</v>
      </c>
      <c r="C4">
        <v>23</v>
      </c>
      <c r="E4" s="2" t="s">
        <v>31</v>
      </c>
      <c r="F4" s="1">
        <f>MIN(Table1[Equipment Count])</f>
        <v>1</v>
      </c>
    </row>
    <row r="5" spans="1:6" x14ac:dyDescent="0.25">
      <c r="A5" t="s">
        <v>8</v>
      </c>
      <c r="B5" t="s">
        <v>4</v>
      </c>
      <c r="C5">
        <v>2</v>
      </c>
      <c r="E5" s="2" t="s">
        <v>32</v>
      </c>
      <c r="F5" s="1">
        <f>MAX(Table1[Equipment Count])</f>
        <v>379</v>
      </c>
    </row>
    <row r="6" spans="1:6" x14ac:dyDescent="0.25">
      <c r="A6" t="s">
        <v>9</v>
      </c>
      <c r="B6" t="s">
        <v>6</v>
      </c>
      <c r="C6">
        <v>3</v>
      </c>
      <c r="E6" s="2" t="s">
        <v>33</v>
      </c>
      <c r="F6" s="1">
        <f>COUNT(Table1[Equipment Count])</f>
        <v>49</v>
      </c>
    </row>
    <row r="7" spans="1:6" x14ac:dyDescent="0.25">
      <c r="A7" t="s">
        <v>9</v>
      </c>
      <c r="B7" t="s">
        <v>10</v>
      </c>
      <c r="C7">
        <v>2</v>
      </c>
    </row>
    <row r="8" spans="1:6" x14ac:dyDescent="0.25">
      <c r="A8" t="s">
        <v>9</v>
      </c>
      <c r="B8" t="s">
        <v>11</v>
      </c>
      <c r="C8">
        <v>1</v>
      </c>
    </row>
    <row r="9" spans="1:6" x14ac:dyDescent="0.25">
      <c r="A9" t="s">
        <v>12</v>
      </c>
      <c r="B9" t="s">
        <v>10</v>
      </c>
      <c r="C9">
        <v>2</v>
      </c>
    </row>
    <row r="10" spans="1:6" x14ac:dyDescent="0.25">
      <c r="A10" t="s">
        <v>12</v>
      </c>
      <c r="B10" t="s">
        <v>13</v>
      </c>
      <c r="C10">
        <v>42</v>
      </c>
    </row>
    <row r="11" spans="1:6" x14ac:dyDescent="0.25">
      <c r="A11" t="s">
        <v>12</v>
      </c>
      <c r="B11" t="s">
        <v>7</v>
      </c>
      <c r="C11">
        <v>1</v>
      </c>
    </row>
    <row r="12" spans="1:6" x14ac:dyDescent="0.25">
      <c r="A12" t="s">
        <v>12</v>
      </c>
      <c r="B12" t="s">
        <v>4</v>
      </c>
      <c r="C12">
        <v>11</v>
      </c>
    </row>
    <row r="13" spans="1:6" x14ac:dyDescent="0.25">
      <c r="A13" t="s">
        <v>14</v>
      </c>
      <c r="B13" t="s">
        <v>7</v>
      </c>
      <c r="C13">
        <v>1</v>
      </c>
    </row>
    <row r="14" spans="1:6" x14ac:dyDescent="0.25">
      <c r="A14" t="s">
        <v>15</v>
      </c>
      <c r="B14" t="s">
        <v>16</v>
      </c>
      <c r="C14">
        <v>9</v>
      </c>
    </row>
    <row r="15" spans="1:6" x14ac:dyDescent="0.25">
      <c r="A15" t="s">
        <v>15</v>
      </c>
      <c r="B15" t="s">
        <v>7</v>
      </c>
      <c r="C15">
        <v>27</v>
      </c>
    </row>
    <row r="16" spans="1:6" x14ac:dyDescent="0.25">
      <c r="A16" t="s">
        <v>15</v>
      </c>
      <c r="B16" t="s">
        <v>6</v>
      </c>
      <c r="C16">
        <v>24</v>
      </c>
    </row>
    <row r="17" spans="1:3" x14ac:dyDescent="0.25">
      <c r="A17" t="s">
        <v>15</v>
      </c>
      <c r="B17" t="s">
        <v>10</v>
      </c>
      <c r="C17">
        <v>1</v>
      </c>
    </row>
    <row r="18" spans="1:3" x14ac:dyDescent="0.25">
      <c r="A18" t="s">
        <v>15</v>
      </c>
      <c r="B18" t="s">
        <v>4</v>
      </c>
      <c r="C18">
        <v>48</v>
      </c>
    </row>
    <row r="19" spans="1:3" x14ac:dyDescent="0.25">
      <c r="A19" t="s">
        <v>17</v>
      </c>
      <c r="B19" t="s">
        <v>10</v>
      </c>
      <c r="C19">
        <v>1</v>
      </c>
    </row>
    <row r="20" spans="1:3" x14ac:dyDescent="0.25">
      <c r="A20" t="s">
        <v>18</v>
      </c>
      <c r="B20" t="s">
        <v>4</v>
      </c>
      <c r="C20">
        <v>6</v>
      </c>
    </row>
    <row r="21" spans="1:3" x14ac:dyDescent="0.25">
      <c r="A21" t="s">
        <v>18</v>
      </c>
      <c r="B21" t="s">
        <v>6</v>
      </c>
      <c r="C21">
        <v>5</v>
      </c>
    </row>
    <row r="22" spans="1:3" x14ac:dyDescent="0.25">
      <c r="A22" t="s">
        <v>18</v>
      </c>
      <c r="B22" t="s">
        <v>7</v>
      </c>
      <c r="C22">
        <v>2</v>
      </c>
    </row>
    <row r="23" spans="1:3" x14ac:dyDescent="0.25">
      <c r="A23" t="s">
        <v>18</v>
      </c>
      <c r="B23" t="s">
        <v>10</v>
      </c>
      <c r="C23">
        <v>15</v>
      </c>
    </row>
    <row r="24" spans="1:3" x14ac:dyDescent="0.25">
      <c r="A24" t="s">
        <v>18</v>
      </c>
      <c r="B24" t="s">
        <v>28</v>
      </c>
      <c r="C24">
        <v>7</v>
      </c>
    </row>
    <row r="25" spans="1:3" x14ac:dyDescent="0.25">
      <c r="A25" t="s">
        <v>19</v>
      </c>
      <c r="B25" t="s">
        <v>3</v>
      </c>
      <c r="C25">
        <v>20</v>
      </c>
    </row>
    <row r="26" spans="1:3" x14ac:dyDescent="0.25">
      <c r="A26" t="s">
        <v>19</v>
      </c>
      <c r="B26" t="s">
        <v>4</v>
      </c>
      <c r="C26">
        <v>1</v>
      </c>
    </row>
    <row r="27" spans="1:3" x14ac:dyDescent="0.25">
      <c r="A27" t="s">
        <v>19</v>
      </c>
      <c r="B27" t="s">
        <v>11</v>
      </c>
      <c r="C27">
        <v>1</v>
      </c>
    </row>
    <row r="28" spans="1:3" x14ac:dyDescent="0.25">
      <c r="A28" t="s">
        <v>19</v>
      </c>
      <c r="B28" t="s">
        <v>6</v>
      </c>
      <c r="C28">
        <v>3</v>
      </c>
    </row>
    <row r="29" spans="1:3" x14ac:dyDescent="0.25">
      <c r="A29" t="s">
        <v>19</v>
      </c>
      <c r="B29" t="s">
        <v>7</v>
      </c>
      <c r="C29">
        <v>1</v>
      </c>
    </row>
    <row r="30" spans="1:3" x14ac:dyDescent="0.25">
      <c r="A30" t="s">
        <v>19</v>
      </c>
      <c r="B30" t="s">
        <v>20</v>
      </c>
      <c r="C30">
        <v>8</v>
      </c>
    </row>
    <row r="31" spans="1:3" x14ac:dyDescent="0.25">
      <c r="A31" t="s">
        <v>19</v>
      </c>
      <c r="B31" t="s">
        <v>21</v>
      </c>
      <c r="C31">
        <v>4</v>
      </c>
    </row>
    <row r="32" spans="1:3" x14ac:dyDescent="0.25">
      <c r="A32" t="s">
        <v>19</v>
      </c>
      <c r="B32" t="s">
        <v>22</v>
      </c>
      <c r="C32">
        <v>46</v>
      </c>
    </row>
    <row r="33" spans="1:3" x14ac:dyDescent="0.25">
      <c r="A33" t="s">
        <v>19</v>
      </c>
      <c r="B33" t="s">
        <v>23</v>
      </c>
      <c r="C33">
        <v>1</v>
      </c>
    </row>
    <row r="34" spans="1:3" x14ac:dyDescent="0.25">
      <c r="A34" t="s">
        <v>24</v>
      </c>
      <c r="B34" t="s">
        <v>22</v>
      </c>
      <c r="C34">
        <v>1</v>
      </c>
    </row>
    <row r="35" spans="1:3" x14ac:dyDescent="0.25">
      <c r="A35" t="s">
        <v>24</v>
      </c>
      <c r="B35" t="s">
        <v>10</v>
      </c>
      <c r="C35">
        <v>1</v>
      </c>
    </row>
    <row r="36" spans="1:3" x14ac:dyDescent="0.25">
      <c r="A36" t="s">
        <v>24</v>
      </c>
      <c r="B36" t="s">
        <v>7</v>
      </c>
      <c r="C36">
        <v>1</v>
      </c>
    </row>
    <row r="37" spans="1:3" x14ac:dyDescent="0.25">
      <c r="A37" t="s">
        <v>24</v>
      </c>
      <c r="B37" t="s">
        <v>4</v>
      </c>
      <c r="C37">
        <v>2</v>
      </c>
    </row>
    <row r="38" spans="1:3" x14ac:dyDescent="0.25">
      <c r="A38" t="s">
        <v>25</v>
      </c>
      <c r="B38" t="s">
        <v>6</v>
      </c>
      <c r="C38">
        <v>1</v>
      </c>
    </row>
    <row r="39" spans="1:3" x14ac:dyDescent="0.25">
      <c r="A39" t="s">
        <v>25</v>
      </c>
      <c r="B39" t="s">
        <v>16</v>
      </c>
      <c r="C39">
        <v>1</v>
      </c>
    </row>
    <row r="40" spans="1:3" x14ac:dyDescent="0.25">
      <c r="A40" t="s">
        <v>25</v>
      </c>
      <c r="B40" t="s">
        <v>10</v>
      </c>
      <c r="C40">
        <v>11</v>
      </c>
    </row>
    <row r="41" spans="1:3" x14ac:dyDescent="0.25">
      <c r="A41" t="s">
        <v>25</v>
      </c>
      <c r="B41" t="s">
        <v>7</v>
      </c>
      <c r="C41">
        <v>3</v>
      </c>
    </row>
    <row r="42" spans="1:3" x14ac:dyDescent="0.25">
      <c r="A42" t="s">
        <v>26</v>
      </c>
      <c r="B42" t="s">
        <v>6</v>
      </c>
      <c r="C42">
        <v>93</v>
      </c>
    </row>
    <row r="43" spans="1:3" x14ac:dyDescent="0.25">
      <c r="A43" t="s">
        <v>26</v>
      </c>
      <c r="B43" t="s">
        <v>13</v>
      </c>
      <c r="C43">
        <v>248</v>
      </c>
    </row>
    <row r="44" spans="1:3" x14ac:dyDescent="0.25">
      <c r="A44" t="s">
        <v>26</v>
      </c>
      <c r="B44" t="s">
        <v>27</v>
      </c>
      <c r="C44">
        <v>379</v>
      </c>
    </row>
    <row r="45" spans="1:3" x14ac:dyDescent="0.25">
      <c r="A45" t="s">
        <v>26</v>
      </c>
      <c r="B45" t="s">
        <v>7</v>
      </c>
      <c r="C45">
        <v>53</v>
      </c>
    </row>
    <row r="46" spans="1:3" x14ac:dyDescent="0.25">
      <c r="A46" t="s">
        <v>26</v>
      </c>
      <c r="B46" t="s">
        <v>10</v>
      </c>
      <c r="C46">
        <v>32</v>
      </c>
    </row>
    <row r="47" spans="1:3" x14ac:dyDescent="0.25">
      <c r="A47" t="s">
        <v>26</v>
      </c>
      <c r="B47" t="s">
        <v>11</v>
      </c>
      <c r="C47">
        <v>98</v>
      </c>
    </row>
    <row r="48" spans="1:3" x14ac:dyDescent="0.25">
      <c r="A48" t="s">
        <v>26</v>
      </c>
      <c r="B48" t="s">
        <v>28</v>
      </c>
      <c r="C48">
        <v>276</v>
      </c>
    </row>
    <row r="49" spans="1:3" x14ac:dyDescent="0.25">
      <c r="A49" t="s">
        <v>26</v>
      </c>
      <c r="B49" t="s">
        <v>16</v>
      </c>
      <c r="C49">
        <v>5</v>
      </c>
    </row>
    <row r="50" spans="1:3" x14ac:dyDescent="0.25">
      <c r="A50" t="s">
        <v>26</v>
      </c>
      <c r="B50" t="s">
        <v>4</v>
      </c>
      <c r="C50">
        <v>37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D7396-8A49-412B-A842-B84E8F92805A}">
  <dimension ref="A3:B16"/>
  <sheetViews>
    <sheetView workbookViewId="0">
      <selection activeCell="I8" sqref="I8"/>
    </sheetView>
  </sheetViews>
  <sheetFormatPr defaultRowHeight="15" x14ac:dyDescent="0.25"/>
  <cols>
    <col min="1" max="1" width="29.42578125" bestFit="1" customWidth="1"/>
    <col min="2" max="2" width="23.42578125" bestFit="1" customWidth="1"/>
  </cols>
  <sheetData>
    <row r="3" spans="1:2" x14ac:dyDescent="0.25">
      <c r="A3" s="3" t="s">
        <v>34</v>
      </c>
      <c r="B3" t="s">
        <v>36</v>
      </c>
    </row>
    <row r="4" spans="1:2" x14ac:dyDescent="0.25">
      <c r="A4" s="4" t="s">
        <v>26</v>
      </c>
      <c r="B4">
        <v>1221</v>
      </c>
    </row>
    <row r="5" spans="1:2" x14ac:dyDescent="0.25">
      <c r="A5" s="4" t="s">
        <v>15</v>
      </c>
      <c r="B5">
        <v>109</v>
      </c>
    </row>
    <row r="6" spans="1:2" x14ac:dyDescent="0.25">
      <c r="A6" s="4" t="s">
        <v>19</v>
      </c>
      <c r="B6">
        <v>85</v>
      </c>
    </row>
    <row r="7" spans="1:2" x14ac:dyDescent="0.25">
      <c r="A7" s="4" t="s">
        <v>12</v>
      </c>
      <c r="B7">
        <v>56</v>
      </c>
    </row>
    <row r="8" spans="1:2" x14ac:dyDescent="0.25">
      <c r="A8" s="4" t="s">
        <v>5</v>
      </c>
      <c r="B8">
        <v>45</v>
      </c>
    </row>
    <row r="9" spans="1:2" x14ac:dyDescent="0.25">
      <c r="A9" s="4" t="s">
        <v>18</v>
      </c>
      <c r="B9">
        <v>35</v>
      </c>
    </row>
    <row r="10" spans="1:2" x14ac:dyDescent="0.25">
      <c r="A10" s="4" t="s">
        <v>25</v>
      </c>
      <c r="B10">
        <v>16</v>
      </c>
    </row>
    <row r="11" spans="1:2" x14ac:dyDescent="0.25">
      <c r="A11" s="4" t="s">
        <v>9</v>
      </c>
      <c r="B11">
        <v>6</v>
      </c>
    </row>
    <row r="12" spans="1:2" x14ac:dyDescent="0.25">
      <c r="A12" s="4" t="s">
        <v>24</v>
      </c>
      <c r="B12">
        <v>5</v>
      </c>
    </row>
    <row r="13" spans="1:2" x14ac:dyDescent="0.25">
      <c r="A13" s="4" t="s">
        <v>8</v>
      </c>
      <c r="B13">
        <v>2</v>
      </c>
    </row>
    <row r="14" spans="1:2" x14ac:dyDescent="0.25">
      <c r="A14" s="4" t="s">
        <v>14</v>
      </c>
      <c r="B14">
        <v>1</v>
      </c>
    </row>
    <row r="15" spans="1:2" x14ac:dyDescent="0.25">
      <c r="A15" s="4" t="s">
        <v>17</v>
      </c>
      <c r="B15">
        <v>1</v>
      </c>
    </row>
    <row r="16" spans="1:2" x14ac:dyDescent="0.25">
      <c r="A16" s="4" t="s">
        <v>35</v>
      </c>
      <c r="B16">
        <v>1582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0866F-BE14-4EFF-A5B7-67ACDB980E89}">
  <dimension ref="A3:B25"/>
  <sheetViews>
    <sheetView workbookViewId="0">
      <selection activeCell="B8" sqref="B8"/>
    </sheetView>
  </sheetViews>
  <sheetFormatPr defaultRowHeight="15" x14ac:dyDescent="0.25"/>
  <cols>
    <col min="1" max="1" width="31.28515625" bestFit="1" customWidth="1"/>
    <col min="2" max="2" width="23.42578125" bestFit="1" customWidth="1"/>
  </cols>
  <sheetData>
    <row r="3" spans="1:2" x14ac:dyDescent="0.25">
      <c r="A3" s="3" t="s">
        <v>34</v>
      </c>
      <c r="B3" t="s">
        <v>36</v>
      </c>
    </row>
    <row r="4" spans="1:2" x14ac:dyDescent="0.25">
      <c r="A4" s="4" t="s">
        <v>26</v>
      </c>
      <c r="B4">
        <v>1221</v>
      </c>
    </row>
    <row r="5" spans="1:2" x14ac:dyDescent="0.25">
      <c r="A5" s="5" t="s">
        <v>16</v>
      </c>
      <c r="B5">
        <v>5</v>
      </c>
    </row>
    <row r="6" spans="1:2" x14ac:dyDescent="0.25">
      <c r="A6" s="5" t="s">
        <v>13</v>
      </c>
      <c r="B6">
        <v>248</v>
      </c>
    </row>
    <row r="7" spans="1:2" x14ac:dyDescent="0.25">
      <c r="A7" s="5" t="s">
        <v>11</v>
      </c>
      <c r="B7">
        <v>98</v>
      </c>
    </row>
    <row r="8" spans="1:2" x14ac:dyDescent="0.25">
      <c r="A8" s="5" t="s">
        <v>28</v>
      </c>
      <c r="B8">
        <v>276</v>
      </c>
    </row>
    <row r="9" spans="1:2" x14ac:dyDescent="0.25">
      <c r="A9" s="5" t="s">
        <v>6</v>
      </c>
      <c r="B9">
        <v>93</v>
      </c>
    </row>
    <row r="10" spans="1:2" x14ac:dyDescent="0.25">
      <c r="A10" s="5" t="s">
        <v>4</v>
      </c>
      <c r="B10">
        <v>37</v>
      </c>
    </row>
    <row r="11" spans="1:2" x14ac:dyDescent="0.25">
      <c r="A11" s="5" t="s">
        <v>7</v>
      </c>
      <c r="B11">
        <v>53</v>
      </c>
    </row>
    <row r="12" spans="1:2" x14ac:dyDescent="0.25">
      <c r="A12" s="5" t="s">
        <v>27</v>
      </c>
      <c r="B12">
        <v>379</v>
      </c>
    </row>
    <row r="13" spans="1:2" x14ac:dyDescent="0.25">
      <c r="A13" s="5" t="s">
        <v>10</v>
      </c>
      <c r="B13">
        <v>32</v>
      </c>
    </row>
    <row r="14" spans="1:2" x14ac:dyDescent="0.25">
      <c r="A14" s="4" t="s">
        <v>15</v>
      </c>
      <c r="B14">
        <v>109</v>
      </c>
    </row>
    <row r="15" spans="1:2" x14ac:dyDescent="0.25">
      <c r="A15" s="4" t="s">
        <v>19</v>
      </c>
      <c r="B15">
        <v>85</v>
      </c>
    </row>
    <row r="16" spans="1:2" x14ac:dyDescent="0.25">
      <c r="A16" s="4" t="s">
        <v>12</v>
      </c>
      <c r="B16">
        <v>56</v>
      </c>
    </row>
    <row r="17" spans="1:2" x14ac:dyDescent="0.25">
      <c r="A17" s="4" t="s">
        <v>5</v>
      </c>
      <c r="B17">
        <v>45</v>
      </c>
    </row>
    <row r="18" spans="1:2" x14ac:dyDescent="0.25">
      <c r="A18" s="4" t="s">
        <v>18</v>
      </c>
      <c r="B18">
        <v>35</v>
      </c>
    </row>
    <row r="19" spans="1:2" x14ac:dyDescent="0.25">
      <c r="A19" s="4" t="s">
        <v>25</v>
      </c>
      <c r="B19">
        <v>16</v>
      </c>
    </row>
    <row r="20" spans="1:2" x14ac:dyDescent="0.25">
      <c r="A20" s="4" t="s">
        <v>9</v>
      </c>
      <c r="B20">
        <v>6</v>
      </c>
    </row>
    <row r="21" spans="1:2" x14ac:dyDescent="0.25">
      <c r="A21" s="4" t="s">
        <v>24</v>
      </c>
      <c r="B21">
        <v>5</v>
      </c>
    </row>
    <row r="22" spans="1:2" x14ac:dyDescent="0.25">
      <c r="A22" s="4" t="s">
        <v>8</v>
      </c>
      <c r="B22">
        <v>2</v>
      </c>
    </row>
    <row r="23" spans="1:2" x14ac:dyDescent="0.25">
      <c r="A23" s="4" t="s">
        <v>14</v>
      </c>
      <c r="B23">
        <v>1</v>
      </c>
    </row>
    <row r="24" spans="1:2" x14ac:dyDescent="0.25">
      <c r="A24" s="4" t="s">
        <v>17</v>
      </c>
      <c r="B24">
        <v>1</v>
      </c>
    </row>
    <row r="25" spans="1:2" x14ac:dyDescent="0.25">
      <c r="A25" s="4" t="s">
        <v>35</v>
      </c>
      <c r="B25">
        <v>1582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CB4C9-1022-4D8F-9A44-F184327C3BEB}">
  <dimension ref="A3:B21"/>
  <sheetViews>
    <sheetView topLeftCell="A10" workbookViewId="0">
      <selection activeCell="E12" sqref="E12"/>
    </sheetView>
  </sheetViews>
  <sheetFormatPr defaultRowHeight="15" x14ac:dyDescent="0.25"/>
  <cols>
    <col min="1" max="1" width="28.42578125" bestFit="1" customWidth="1"/>
    <col min="2" max="2" width="23.42578125" bestFit="1" customWidth="1"/>
  </cols>
  <sheetData>
    <row r="3" spans="1:2" x14ac:dyDescent="0.25">
      <c r="A3" s="3" t="s">
        <v>34</v>
      </c>
      <c r="B3" t="s">
        <v>36</v>
      </c>
    </row>
    <row r="4" spans="1:2" x14ac:dyDescent="0.25">
      <c r="A4" s="4" t="s">
        <v>16</v>
      </c>
      <c r="B4">
        <v>15</v>
      </c>
    </row>
    <row r="5" spans="1:2" x14ac:dyDescent="0.25">
      <c r="A5" s="5" t="s">
        <v>15</v>
      </c>
      <c r="B5">
        <v>9</v>
      </c>
    </row>
    <row r="6" spans="1:2" x14ac:dyDescent="0.25">
      <c r="A6" s="5" t="s">
        <v>26</v>
      </c>
      <c r="B6">
        <v>5</v>
      </c>
    </row>
    <row r="7" spans="1:2" x14ac:dyDescent="0.25">
      <c r="A7" s="5" t="s">
        <v>25</v>
      </c>
      <c r="B7">
        <v>1</v>
      </c>
    </row>
    <row r="8" spans="1:2" x14ac:dyDescent="0.25">
      <c r="A8" s="4" t="s">
        <v>13</v>
      </c>
      <c r="B8">
        <v>290</v>
      </c>
    </row>
    <row r="9" spans="1:2" x14ac:dyDescent="0.25">
      <c r="A9" s="4" t="s">
        <v>11</v>
      </c>
      <c r="B9">
        <v>100</v>
      </c>
    </row>
    <row r="10" spans="1:2" x14ac:dyDescent="0.25">
      <c r="A10" s="4" t="s">
        <v>28</v>
      </c>
      <c r="B10">
        <v>283</v>
      </c>
    </row>
    <row r="11" spans="1:2" x14ac:dyDescent="0.25">
      <c r="A11" s="4" t="s">
        <v>6</v>
      </c>
      <c r="B11">
        <v>150</v>
      </c>
    </row>
    <row r="12" spans="1:2" x14ac:dyDescent="0.25">
      <c r="A12" s="4" t="s">
        <v>21</v>
      </c>
      <c r="B12">
        <v>4</v>
      </c>
    </row>
    <row r="13" spans="1:2" x14ac:dyDescent="0.25">
      <c r="A13" s="4" t="s">
        <v>23</v>
      </c>
      <c r="B13">
        <v>1</v>
      </c>
    </row>
    <row r="14" spans="1:2" x14ac:dyDescent="0.25">
      <c r="A14" s="4" t="s">
        <v>22</v>
      </c>
      <c r="B14">
        <v>47</v>
      </c>
    </row>
    <row r="15" spans="1:2" x14ac:dyDescent="0.25">
      <c r="A15" s="4" t="s">
        <v>3</v>
      </c>
      <c r="B15">
        <v>20</v>
      </c>
    </row>
    <row r="16" spans="1:2" x14ac:dyDescent="0.25">
      <c r="A16" s="4" t="s">
        <v>20</v>
      </c>
      <c r="B16">
        <v>8</v>
      </c>
    </row>
    <row r="17" spans="1:2" x14ac:dyDescent="0.25">
      <c r="A17" s="4" t="s">
        <v>4</v>
      </c>
      <c r="B17">
        <v>130</v>
      </c>
    </row>
    <row r="18" spans="1:2" x14ac:dyDescent="0.25">
      <c r="A18" s="4" t="s">
        <v>7</v>
      </c>
      <c r="B18">
        <v>90</v>
      </c>
    </row>
    <row r="19" spans="1:2" x14ac:dyDescent="0.25">
      <c r="A19" s="4" t="s">
        <v>27</v>
      </c>
      <c r="B19">
        <v>379</v>
      </c>
    </row>
    <row r="20" spans="1:2" x14ac:dyDescent="0.25">
      <c r="A20" s="4" t="s">
        <v>10</v>
      </c>
      <c r="B20">
        <v>65</v>
      </c>
    </row>
    <row r="21" spans="1:2" x14ac:dyDescent="0.25">
      <c r="A21" s="4" t="s">
        <v>35</v>
      </c>
      <c r="B21">
        <v>1582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Montgomery_Fleet_Equipment_Inve</vt:lpstr>
      <vt:lpstr>Pivot Table 1</vt:lpstr>
      <vt:lpstr>Pivot Table 2</vt:lpstr>
      <vt:lpstr>Pivot 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B921</cp:lastModifiedBy>
  <dcterms:created xsi:type="dcterms:W3CDTF">2020-09-01T17:18:12Z</dcterms:created>
  <dcterms:modified xsi:type="dcterms:W3CDTF">2025-06-08T12:16:28Z</dcterms:modified>
</cp:coreProperties>
</file>