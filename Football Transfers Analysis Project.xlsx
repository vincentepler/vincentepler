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E8E2A0D-704E-457B-8D94-91B57B3CA051}" xr6:coauthVersionLast="47" xr6:coauthVersionMax="47" xr10:uidLastSave="{00000000-0000-0000-0000-000000000000}"/>
  <bookViews>
    <workbookView xWindow="-120" yWindow="-120" windowWidth="20730" windowHeight="11040" firstSheet="2" activeTab="4" xr2:uid="{9B00B938-841D-48C8-ADA1-A8A69E61E0CF}"/>
  </bookViews>
  <sheets>
    <sheet name="Database" sheetId="2" r:id="rId1"/>
    <sheet name="Countries" sheetId="4" r:id="rId2"/>
    <sheet name="European Transfers" sheetId="5" r:id="rId3"/>
    <sheet name="European Transfers by Country" sheetId="7" r:id="rId4"/>
    <sheet name="Top 5 Countires Visualization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8" l="1"/>
  <c r="D6" i="8"/>
  <c r="D7" i="8"/>
  <c r="D8" i="8"/>
  <c r="D4" i="8"/>
  <c r="C5" i="8"/>
  <c r="C6" i="8"/>
  <c r="C7" i="8"/>
  <c r="C8" i="8"/>
  <c r="C4" i="8"/>
  <c r="D49" i="7" l="1"/>
  <c r="E49" i="7"/>
  <c r="F49" i="7"/>
  <c r="G49" i="7"/>
  <c r="H49" i="7"/>
  <c r="I49" i="7"/>
  <c r="J49" i="7"/>
  <c r="K49" i="7"/>
  <c r="L49" i="7"/>
  <c r="M49" i="7"/>
  <c r="N49" i="7"/>
  <c r="C49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5" i="7"/>
  <c r="M5" i="7"/>
  <c r="I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D6" i="7"/>
  <c r="D7" i="7"/>
  <c r="D8" i="7"/>
  <c r="D9" i="7"/>
  <c r="D10" i="7"/>
  <c r="D11" i="7"/>
  <c r="E11" i="7" s="1"/>
  <c r="D12" i="7"/>
  <c r="D13" i="7"/>
  <c r="E13" i="7" s="1"/>
  <c r="D14" i="7"/>
  <c r="D15" i="7"/>
  <c r="D16" i="7"/>
  <c r="D17" i="7"/>
  <c r="D18" i="7"/>
  <c r="D19" i="7"/>
  <c r="E19" i="7" s="1"/>
  <c r="D20" i="7"/>
  <c r="D21" i="7"/>
  <c r="E21" i="7" s="1"/>
  <c r="D22" i="7"/>
  <c r="D23" i="7"/>
  <c r="D24" i="7"/>
  <c r="D25" i="7"/>
  <c r="D26" i="7"/>
  <c r="D27" i="7"/>
  <c r="E27" i="7" s="1"/>
  <c r="D28" i="7"/>
  <c r="D29" i="7"/>
  <c r="E29" i="7" s="1"/>
  <c r="D30" i="7"/>
  <c r="D31" i="7"/>
  <c r="D32" i="7"/>
  <c r="E32" i="7" s="1"/>
  <c r="D33" i="7"/>
  <c r="D34" i="7"/>
  <c r="E34" i="7" s="1"/>
  <c r="D35" i="7"/>
  <c r="E35" i="7" s="1"/>
  <c r="D36" i="7"/>
  <c r="D37" i="7"/>
  <c r="E37" i="7" s="1"/>
  <c r="D38" i="7"/>
  <c r="D39" i="7"/>
  <c r="D40" i="7"/>
  <c r="E40" i="7" s="1"/>
  <c r="D41" i="7"/>
  <c r="D42" i="7"/>
  <c r="E42" i="7" s="1"/>
  <c r="D43" i="7"/>
  <c r="E43" i="7" s="1"/>
  <c r="D44" i="7"/>
  <c r="E44" i="7" s="1"/>
  <c r="D45" i="7"/>
  <c r="E45" i="7" s="1"/>
  <c r="D46" i="7"/>
  <c r="D47" i="7"/>
  <c r="D48" i="7"/>
  <c r="E48" i="7" s="1"/>
  <c r="F5" i="7"/>
  <c r="E6" i="7"/>
  <c r="E7" i="7"/>
  <c r="E8" i="7"/>
  <c r="E9" i="7"/>
  <c r="E10" i="7"/>
  <c r="E12" i="7"/>
  <c r="E14" i="7"/>
  <c r="E15" i="7"/>
  <c r="E16" i="7"/>
  <c r="E17" i="7"/>
  <c r="E18" i="7"/>
  <c r="E20" i="7"/>
  <c r="E22" i="7"/>
  <c r="E23" i="7"/>
  <c r="E24" i="7"/>
  <c r="E25" i="7"/>
  <c r="E26" i="7"/>
  <c r="E28" i="7"/>
  <c r="E30" i="7"/>
  <c r="E31" i="7"/>
  <c r="E33" i="7"/>
  <c r="E36" i="7"/>
  <c r="E38" i="7"/>
  <c r="E39" i="7"/>
  <c r="E41" i="7"/>
  <c r="E46" i="7"/>
  <c r="E47" i="7"/>
  <c r="E5" i="7"/>
  <c r="D5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6" i="7"/>
  <c r="C5" i="7"/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4" i="2"/>
  <c r="D7" i="5" l="1"/>
  <c r="C7" i="5"/>
  <c r="C8" i="5"/>
  <c r="D8" i="5"/>
  <c r="C9" i="5" l="1"/>
  <c r="D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24A10C-A395-4B9D-9C58-AF136A1ED3F2}" keepAlive="1" name="Query - Countries" description="Connection to the 'Countries' query in the workbook." type="5" refreshedVersion="0" background="1">
    <dbPr connection="Provider=Microsoft.Mashup.OleDb.1;Data Source=$Workbook$;Location=Countries;Extended Properties=&quot;&quot;" command="SELECT * FROM [Countries]"/>
  </connection>
</connections>
</file>

<file path=xl/sharedStrings.xml><?xml version="1.0" encoding="utf-8"?>
<sst xmlns="http://schemas.openxmlformats.org/spreadsheetml/2006/main" count="10428" uniqueCount="174">
  <si>
    <t>Number of transfers</t>
  </si>
  <si>
    <t>Total club-to-club compensation</t>
  </si>
  <si>
    <t>Albania</t>
  </si>
  <si>
    <t>Austria</t>
  </si>
  <si>
    <t>Azerbaijan</t>
  </si>
  <si>
    <t>Bahrain</t>
  </si>
  <si>
    <t>Bosnia-Herzegovina</t>
  </si>
  <si>
    <t>Brazil</t>
  </si>
  <si>
    <t>Canada</t>
  </si>
  <si>
    <t>Croatia</t>
  </si>
  <si>
    <t>Denmark</t>
  </si>
  <si>
    <t>Spain</t>
  </si>
  <si>
    <t>France</t>
  </si>
  <si>
    <t>Germany</t>
  </si>
  <si>
    <t>Greece</t>
  </si>
  <si>
    <t>Hungary</t>
  </si>
  <si>
    <t>Iran</t>
  </si>
  <si>
    <t>Italy</t>
  </si>
  <si>
    <t>Kenya</t>
  </si>
  <si>
    <t>Saudi Arabia</t>
  </si>
  <si>
    <t>Kosovo</t>
  </si>
  <si>
    <t>FYR Macedonia</t>
  </si>
  <si>
    <t>Malta</t>
  </si>
  <si>
    <t>Montenegro</t>
  </si>
  <si>
    <t>Nigeria</t>
  </si>
  <si>
    <t>Portugal</t>
  </si>
  <si>
    <t>Romania</t>
  </si>
  <si>
    <t>San Marino</t>
  </si>
  <si>
    <t>Serbia</t>
  </si>
  <si>
    <t>Switzerland</t>
  </si>
  <si>
    <t>Slovenia</t>
  </si>
  <si>
    <t>Sweden</t>
  </si>
  <si>
    <t>Ukraine</t>
  </si>
  <si>
    <t>USA</t>
  </si>
  <si>
    <t>Armenia</t>
  </si>
  <si>
    <t>Belgium</t>
  </si>
  <si>
    <t>Bulgaria</t>
  </si>
  <si>
    <t>Côte d'Ivoire</t>
  </si>
  <si>
    <t>Estonia</t>
  </si>
  <si>
    <t>Georgia</t>
  </si>
  <si>
    <t>Kazakhstan</t>
  </si>
  <si>
    <t>Lebanon</t>
  </si>
  <si>
    <t>Morocco</t>
  </si>
  <si>
    <t>Moldova</t>
  </si>
  <si>
    <t>Norway</t>
  </si>
  <si>
    <t>Oman</t>
  </si>
  <si>
    <t>Russia</t>
  </si>
  <si>
    <t>Senegal</t>
  </si>
  <si>
    <t>Australia</t>
  </si>
  <si>
    <t>Czech Republic</t>
  </si>
  <si>
    <t>England</t>
  </si>
  <si>
    <t>Israel</t>
  </si>
  <si>
    <t>Latvia</t>
  </si>
  <si>
    <t>Netherlands</t>
  </si>
  <si>
    <t>Poland</t>
  </si>
  <si>
    <t>Scotland</t>
  </si>
  <si>
    <t>Slovakia</t>
  </si>
  <si>
    <t>Turkey</t>
  </si>
  <si>
    <t>Uruguay</t>
  </si>
  <si>
    <t>Belarus</t>
  </si>
  <si>
    <t>Bolivia</t>
  </si>
  <si>
    <t>Costa Rica</t>
  </si>
  <si>
    <t>Cyprus</t>
  </si>
  <si>
    <t>Egypt</t>
  </si>
  <si>
    <t>Ghana</t>
  </si>
  <si>
    <t>Hong Kong</t>
  </si>
  <si>
    <t>Lithuania</t>
  </si>
  <si>
    <t>Mali</t>
  </si>
  <si>
    <t>Angola</t>
  </si>
  <si>
    <t>Argentina</t>
  </si>
  <si>
    <t>Burkina Faso</t>
  </si>
  <si>
    <t>Congo DR</t>
  </si>
  <si>
    <t>Colombia</t>
  </si>
  <si>
    <t>Finland</t>
  </si>
  <si>
    <t>India</t>
  </si>
  <si>
    <t>Iceland</t>
  </si>
  <si>
    <t>Libya</t>
  </si>
  <si>
    <t>Luxembourg</t>
  </si>
  <si>
    <t>Northern Ireland</t>
  </si>
  <si>
    <t>Paraguay</t>
  </si>
  <si>
    <t>Peru</t>
  </si>
  <si>
    <t>Qatar</t>
  </si>
  <si>
    <t>South Africa</t>
  </si>
  <si>
    <t>Rwanda</t>
  </si>
  <si>
    <t>Trinidad and Tobago</t>
  </si>
  <si>
    <t>Vietnam</t>
  </si>
  <si>
    <t>Wales</t>
  </si>
  <si>
    <t>Uzbekistan</t>
  </si>
  <si>
    <t>Chile</t>
  </si>
  <si>
    <t>China PR</t>
  </si>
  <si>
    <t>Singapore</t>
  </si>
  <si>
    <t>Venezuela</t>
  </si>
  <si>
    <t>Japan</t>
  </si>
  <si>
    <t>Korea Republic</t>
  </si>
  <si>
    <t>Mexico</t>
  </si>
  <si>
    <t>Maldives</t>
  </si>
  <si>
    <t>Sierra Leone</t>
  </si>
  <si>
    <t>Faroe Islands</t>
  </si>
  <si>
    <t>El Salvador</t>
  </si>
  <si>
    <t>Bermuda</t>
  </si>
  <si>
    <t>Indonesia</t>
  </si>
  <si>
    <t>Republic of Ireland</t>
  </si>
  <si>
    <t>Jamaica</t>
  </si>
  <si>
    <t>New Zealand</t>
  </si>
  <si>
    <t>Tunisia</t>
  </si>
  <si>
    <t>United Arab Emirates</t>
  </si>
  <si>
    <t>Cameroon</t>
  </si>
  <si>
    <t>Ecuador</t>
  </si>
  <si>
    <t>Honduras</t>
  </si>
  <si>
    <t>Niger</t>
  </si>
  <si>
    <t>Benin</t>
  </si>
  <si>
    <t>Gambia</t>
  </si>
  <si>
    <t>Thailand</t>
  </si>
  <si>
    <t>Algeria</t>
  </si>
  <si>
    <t>Gabon</t>
  </si>
  <si>
    <t>Haiti</t>
  </si>
  <si>
    <t>Madagascar</t>
  </si>
  <si>
    <t>Kuwait</t>
  </si>
  <si>
    <t>Guinea</t>
  </si>
  <si>
    <t>Liberia</t>
  </si>
  <si>
    <t>Namibia</t>
  </si>
  <si>
    <t>Kyrgyzstan</t>
  </si>
  <si>
    <t>Tajikistan</t>
  </si>
  <si>
    <t>Myanmar</t>
  </si>
  <si>
    <t>Guatemala</t>
  </si>
  <si>
    <t>Cape Verde Islands</t>
  </si>
  <si>
    <t>Puerto Rico</t>
  </si>
  <si>
    <t>Guinea-Bissau</t>
  </si>
  <si>
    <t>Mozambique</t>
  </si>
  <si>
    <t>Jordan</t>
  </si>
  <si>
    <t>Korea DPR</t>
  </si>
  <si>
    <t>Malaysia</t>
  </si>
  <si>
    <t>Panama</t>
  </si>
  <si>
    <t>Togo</t>
  </si>
  <si>
    <t>Zimbabwe</t>
  </si>
  <si>
    <t>Turkmenistan</t>
  </si>
  <si>
    <t>Macau</t>
  </si>
  <si>
    <t>Congo</t>
  </si>
  <si>
    <t>Uganda</t>
  </si>
  <si>
    <t>Syria</t>
  </si>
  <si>
    <t>2021/2022</t>
  </si>
  <si>
    <t>Season</t>
  </si>
  <si>
    <t>Transfers incoming</t>
  </si>
  <si>
    <t>Transfers outgoing</t>
  </si>
  <si>
    <t>Europe</t>
  </si>
  <si>
    <t>Asia</t>
  </si>
  <si>
    <t>Europe/Asia</t>
  </si>
  <si>
    <t>South America</t>
  </si>
  <si>
    <t>North America</t>
  </si>
  <si>
    <t>Africa</t>
  </si>
  <si>
    <t>Oceania</t>
  </si>
  <si>
    <t>SouthAfrica</t>
  </si>
  <si>
    <t>T.I. Continent</t>
  </si>
  <si>
    <t>T.O. Continent</t>
  </si>
  <si>
    <t>Transfers incoming (T.I.)</t>
  </si>
  <si>
    <t>Transfers outgoing (T.O.)</t>
  </si>
  <si>
    <t>Countries</t>
  </si>
  <si>
    <t>Continents</t>
  </si>
  <si>
    <t>List of Continents</t>
  </si>
  <si>
    <t>Analyze European Transfers</t>
  </si>
  <si>
    <t>2022/2023</t>
  </si>
  <si>
    <t># of transfers</t>
  </si>
  <si>
    <t>Net transfers</t>
  </si>
  <si>
    <t>Transfers incoming #</t>
  </si>
  <si>
    <t>Transfers outgoing #</t>
  </si>
  <si>
    <t>Net # of players</t>
  </si>
  <si>
    <t>Transfers incoming $</t>
  </si>
  <si>
    <t>Transfers outgoing $</t>
  </si>
  <si>
    <t>Net value</t>
  </si>
  <si>
    <t>TOTAL</t>
  </si>
  <si>
    <t>Analyze European Transfers by Country</t>
  </si>
  <si>
    <t># of incoming transfers</t>
  </si>
  <si>
    <t>average transfer fee</t>
  </si>
  <si>
    <t>Visualization Top 5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</si>
</sst>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###,###;\(###,###\);\-;"/>
    <numFmt numFmtId="172" formatCode="###,###;\(###,###\)\,\-"/>
  </numFmts>
  <fonts count="18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b/>
      <i/>
      <sz val="10"/>
      <color rgb="FF000000"/>
      <name val="Arial"/>
      <family val="2"/>
    </font>
    <font>
      <sz val="8"/>
      <name val="Arial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1">
    <xf numFmtId="0" fontId="0" fillId="0" borderId="0" xfId="0"/>
    <xf numFmtId="0" fontId="6" fillId="0" borderId="0" xfId="0" applyFont="1" applyFill="1"/>
    <xf numFmtId="0" fontId="7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indent="5"/>
    </xf>
    <xf numFmtId="0" fontId="8" fillId="0" borderId="0" xfId="0" applyFont="1"/>
    <xf numFmtId="0" fontId="10" fillId="0" borderId="0" xfId="0" applyFont="1" applyAlignment="1">
      <alignment horizontal="center"/>
    </xf>
    <xf numFmtId="0" fontId="11" fillId="0" borderId="3" xfId="0" applyFont="1" applyBorder="1"/>
    <xf numFmtId="0" fontId="12" fillId="0" borderId="3" xfId="0" applyFont="1" applyBorder="1"/>
    <xf numFmtId="0" fontId="15" fillId="5" borderId="9" xfId="5" applyFont="1" applyFill="1" applyBorder="1"/>
    <xf numFmtId="0" fontId="3" fillId="4" borderId="0" xfId="2" applyFill="1" applyBorder="1" applyAlignment="1">
      <alignment horizontal="center"/>
    </xf>
    <xf numFmtId="164" fontId="10" fillId="5" borderId="10" xfId="1" applyNumberFormat="1" applyFont="1" applyFill="1" applyBorder="1" applyAlignment="1">
      <alignment horizontal="left"/>
    </xf>
    <xf numFmtId="164" fontId="10" fillId="5" borderId="3" xfId="1" applyNumberFormat="1" applyFont="1" applyFill="1" applyBorder="1" applyAlignment="1">
      <alignment horizontal="left"/>
    </xf>
    <xf numFmtId="0" fontId="14" fillId="7" borderId="4" xfId="5" applyFont="1" applyFill="1" applyBorder="1"/>
    <xf numFmtId="0" fontId="5" fillId="7" borderId="11" xfId="0" applyFont="1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14" fillId="7" borderId="6" xfId="5" applyFont="1" applyFill="1" applyBorder="1"/>
    <xf numFmtId="0" fontId="5" fillId="7" borderId="12" xfId="0" applyFont="1" applyFill="1" applyBorder="1" applyAlignment="1">
      <alignment horizontal="left"/>
    </xf>
    <xf numFmtId="0" fontId="5" fillId="7" borderId="8" xfId="0" applyFont="1" applyFill="1" applyBorder="1" applyAlignment="1">
      <alignment horizontal="left"/>
    </xf>
    <xf numFmtId="164" fontId="5" fillId="7" borderId="13" xfId="1" applyNumberFormat="1" applyFont="1" applyFill="1" applyBorder="1" applyAlignment="1">
      <alignment horizontal="left"/>
    </xf>
    <xf numFmtId="164" fontId="5" fillId="7" borderId="7" xfId="1" applyNumberFormat="1" applyFont="1" applyFill="1" applyBorder="1" applyAlignment="1">
      <alignment horizontal="left"/>
    </xf>
    <xf numFmtId="164" fontId="8" fillId="6" borderId="18" xfId="0" applyNumberFormat="1" applyFont="1" applyFill="1" applyBorder="1"/>
    <xf numFmtId="0" fontId="11" fillId="7" borderId="19" xfId="0" applyFont="1" applyFill="1" applyBorder="1"/>
    <xf numFmtId="0" fontId="9" fillId="7" borderId="14" xfId="0" applyFont="1" applyFill="1" applyBorder="1" applyAlignment="1">
      <alignment horizontal="center"/>
    </xf>
    <xf numFmtId="0" fontId="9" fillId="7" borderId="15" xfId="0" applyFont="1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164" fontId="0" fillId="7" borderId="0" xfId="0" applyNumberFormat="1" applyFill="1"/>
    <xf numFmtId="0" fontId="9" fillId="7" borderId="20" xfId="0" applyFont="1" applyFill="1" applyBorder="1" applyAlignment="1">
      <alignment horizontal="right"/>
    </xf>
    <xf numFmtId="0" fontId="17" fillId="6" borderId="21" xfId="0" applyFont="1" applyFill="1" applyBorder="1"/>
    <xf numFmtId="0" fontId="16" fillId="7" borderId="11" xfId="0" applyFont="1" applyFill="1" applyBorder="1"/>
    <xf numFmtId="0" fontId="16" fillId="7" borderId="13" xfId="0" applyFont="1" applyFill="1" applyBorder="1"/>
    <xf numFmtId="0" fontId="16" fillId="7" borderId="12" xfId="0" applyFont="1" applyFill="1" applyBorder="1"/>
    <xf numFmtId="164" fontId="0" fillId="7" borderId="11" xfId="0" applyNumberFormat="1" applyFill="1" applyBorder="1"/>
    <xf numFmtId="164" fontId="0" fillId="7" borderId="13" xfId="0" applyNumberFormat="1" applyFill="1" applyBorder="1"/>
    <xf numFmtId="164" fontId="0" fillId="7" borderId="12" xfId="0" applyNumberFormat="1" applyFill="1" applyBorder="1"/>
    <xf numFmtId="0" fontId="8" fillId="7" borderId="11" xfId="0" applyFont="1" applyFill="1" applyBorder="1" applyAlignment="1">
      <alignment horizontal="center"/>
    </xf>
    <xf numFmtId="164" fontId="8" fillId="6" borderId="24" xfId="0" applyNumberFormat="1" applyFont="1" applyFill="1" applyBorder="1"/>
    <xf numFmtId="0" fontId="8" fillId="7" borderId="25" xfId="0" applyFont="1" applyFill="1" applyBorder="1" applyAlignment="1">
      <alignment horizontal="center"/>
    </xf>
    <xf numFmtId="0" fontId="0" fillId="7" borderId="11" xfId="0" applyFill="1" applyBorder="1"/>
    <xf numFmtId="0" fontId="0" fillId="7" borderId="13" xfId="0" applyFill="1" applyBorder="1"/>
    <xf numFmtId="0" fontId="0" fillId="7" borderId="12" xfId="0" applyFill="1" applyBorder="1"/>
    <xf numFmtId="0" fontId="9" fillId="8" borderId="15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/>
    </xf>
    <xf numFmtId="164" fontId="0" fillId="8" borderId="11" xfId="0" applyNumberFormat="1" applyFill="1" applyBorder="1"/>
    <xf numFmtId="164" fontId="0" fillId="8" borderId="13" xfId="0" applyNumberFormat="1" applyFill="1" applyBorder="1"/>
    <xf numFmtId="164" fontId="0" fillId="8" borderId="12" xfId="0" applyNumberFormat="1" applyFill="1" applyBorder="1"/>
    <xf numFmtId="0" fontId="0" fillId="8" borderId="11" xfId="0" applyFill="1" applyBorder="1"/>
    <xf numFmtId="0" fontId="0" fillId="8" borderId="13" xfId="0" applyFill="1" applyBorder="1"/>
    <xf numFmtId="0" fontId="0" fillId="8" borderId="12" xfId="0" applyFill="1" applyBorder="1"/>
    <xf numFmtId="0" fontId="9" fillId="8" borderId="16" xfId="0" applyFont="1" applyFill="1" applyBorder="1" applyAlignment="1">
      <alignment horizontal="center"/>
    </xf>
    <xf numFmtId="0" fontId="9" fillId="8" borderId="22" xfId="0" applyFont="1" applyFill="1" applyBorder="1" applyAlignment="1">
      <alignment horizontal="center"/>
    </xf>
    <xf numFmtId="164" fontId="8" fillId="9" borderId="23" xfId="0" applyNumberFormat="1" applyFont="1" applyFill="1" applyBorder="1"/>
    <xf numFmtId="164" fontId="8" fillId="9" borderId="24" xfId="0" applyNumberFormat="1" applyFont="1" applyFill="1" applyBorder="1"/>
    <xf numFmtId="0" fontId="4" fillId="4" borderId="0" xfId="3" applyFill="1" applyBorder="1" applyAlignment="1">
      <alignment horizontal="center"/>
    </xf>
    <xf numFmtId="0" fontId="1" fillId="2" borderId="3" xfId="4" applyBorder="1"/>
    <xf numFmtId="172" fontId="1" fillId="2" borderId="11" xfId="4" applyNumberFormat="1" applyBorder="1"/>
    <xf numFmtId="172" fontId="1" fillId="2" borderId="13" xfId="4" applyNumberFormat="1" applyBorder="1"/>
    <xf numFmtId="172" fontId="1" fillId="2" borderId="12" xfId="4" applyNumberFormat="1" applyBorder="1"/>
    <xf numFmtId="0" fontId="1" fillId="2" borderId="11" xfId="4" applyBorder="1"/>
    <xf numFmtId="0" fontId="1" fillId="2" borderId="13" xfId="4" applyBorder="1"/>
    <xf numFmtId="0" fontId="1" fillId="2" borderId="12" xfId="4" applyBorder="1"/>
  </cellXfs>
  <cellStyles count="6">
    <cellStyle name="20% - Accent1" xfId="4" builtinId="30"/>
    <cellStyle name="20% - Accent5" xfId="5" builtinId="46"/>
    <cellStyle name="Comma" xfId="1" builtinId="3"/>
    <cellStyle name="Heading 1" xfId="2" builtinId="16"/>
    <cellStyle name="Heading 2" xfId="3" builtinId="17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PivotTable Style 1" table="0" count="0" xr9:uid="{7160F5CB-3396-45E4-AC1B-0443F544C5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European Top 5 Countries: Number of transfers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655135553669045E-2"/>
          <c:y val="0.28385034894197519"/>
          <c:w val="0.76067675968202408"/>
          <c:h val="0.548256914132902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Countires Visualization'!$B$3:$B$8</c:f>
              <c:strCache>
                <c:ptCount val="6"/>
                <c:pt idx="1">
                  <c:v>England</c:v>
                </c:pt>
                <c:pt idx="2">
                  <c:v>Spain</c:v>
                </c:pt>
                <c:pt idx="3">
                  <c:v>France</c:v>
                </c:pt>
                <c:pt idx="4">
                  <c:v>Germany</c:v>
                </c:pt>
                <c:pt idx="5">
                  <c:v>Italy</c:v>
                </c:pt>
              </c:strCache>
            </c:strRef>
          </c:cat>
          <c:val>
            <c:numRef>
              <c:f>'Top 5 Countires Visualization'!$C$4:$C$8</c:f>
              <c:numCache>
                <c:formatCode>###,###;\(###,###\)\,\-</c:formatCode>
                <c:ptCount val="5"/>
                <c:pt idx="0">
                  <c:v>1020</c:v>
                </c:pt>
                <c:pt idx="1">
                  <c:v>476</c:v>
                </c:pt>
                <c:pt idx="2">
                  <c:v>438</c:v>
                </c:pt>
                <c:pt idx="3">
                  <c:v>664</c:v>
                </c:pt>
                <c:pt idx="4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F-4C3B-B621-F29B2C0E8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2142281999"/>
        <c:axId val="214228151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'Top 5 Countires Visualization'!$B$3:$B$8</c:f>
              <c:strCache>
                <c:ptCount val="6"/>
                <c:pt idx="1">
                  <c:v>England</c:v>
                </c:pt>
                <c:pt idx="2">
                  <c:v>Spain</c:v>
                </c:pt>
                <c:pt idx="3">
                  <c:v>France</c:v>
                </c:pt>
                <c:pt idx="4">
                  <c:v>Germany</c:v>
                </c:pt>
                <c:pt idx="5">
                  <c:v>Italy</c:v>
                </c:pt>
              </c:strCache>
            </c:strRef>
          </c:cat>
          <c:val>
            <c:numRef>
              <c:f>'Top 5 Countires Visualization'!$D$4:$D$8</c:f>
              <c:numCache>
                <c:formatCode>###,###;\(###,###\)\,\-</c:formatCode>
                <c:ptCount val="5"/>
                <c:pt idx="0">
                  <c:v>2127361.2256838172</c:v>
                </c:pt>
                <c:pt idx="1">
                  <c:v>1231500.2274318419</c:v>
                </c:pt>
                <c:pt idx="2">
                  <c:v>1753915.0085361104</c:v>
                </c:pt>
                <c:pt idx="3">
                  <c:v>969930.79093812511</c:v>
                </c:pt>
                <c:pt idx="4">
                  <c:v>1670692.2407288889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3F-4C3B-B621-F29B2C0E8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4985776"/>
        <c:axId val="897915823"/>
      </c:lineChart>
      <c:catAx>
        <c:axId val="214228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81519"/>
        <c:crosses val="autoZero"/>
        <c:auto val="1"/>
        <c:lblAlgn val="ctr"/>
        <c:lblOffset val="100"/>
        <c:noMultiLvlLbl val="0"/>
      </c:catAx>
      <c:valAx>
        <c:axId val="214228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;\(###,###\)\,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81999"/>
        <c:crosses val="autoZero"/>
        <c:crossBetween val="between"/>
      </c:valAx>
      <c:valAx>
        <c:axId val="897915823"/>
        <c:scaling>
          <c:orientation val="minMax"/>
        </c:scaling>
        <c:delete val="0"/>
        <c:axPos val="r"/>
        <c:numFmt formatCode="###,###;\(###,###\)\,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85776"/>
        <c:crosses val="max"/>
        <c:crossBetween val="between"/>
      </c:valAx>
      <c:catAx>
        <c:axId val="10049857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79158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2</xdr:row>
      <xdr:rowOff>9525</xdr:rowOff>
    </xdr:from>
    <xdr:to>
      <xdr:col>11</xdr:col>
      <xdr:colOff>590550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781353-A661-5F95-B716-0351288D3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DE6DE-F2D8-440B-9722-8B344B577B1C}" name="Table1" displayName="Table1" ref="B3:H3352" totalsRowShown="0" headerRowDxfId="9" dataDxfId="8">
  <autoFilter ref="B3:H3352" xr:uid="{EF1DE6DE-F2D8-440B-9722-8B344B577B1C}"/>
  <tableColumns count="7">
    <tableColumn id="1" xr3:uid="{CC099095-FBC7-4712-A078-0E922C48154E}" name="Season" dataDxfId="7"/>
    <tableColumn id="2" xr3:uid="{D0A3B998-C7D7-4D89-826F-6EE5686E050D}" name="Transfers incoming (T.I.)" dataDxfId="6"/>
    <tableColumn id="3" xr3:uid="{172FAD39-BF9C-4FA3-BE91-F8F416E98DA4}" name="T.I. Continent" dataDxfId="5">
      <calculatedColumnFormula>VLOOKUP(C4,Countries!$B$3:$C$140,2,FALSE)</calculatedColumnFormula>
    </tableColumn>
    <tableColumn id="4" xr3:uid="{619FDCAD-5127-4EF9-A794-E8B67AD2C530}" name="Transfers outgoing (T.O.)" dataDxfId="4"/>
    <tableColumn id="5" xr3:uid="{3183C749-58D2-42DE-B043-81579BEEAACC}" name="T.O. Continent" dataDxfId="3">
      <calculatedColumnFormula>VLOOKUP(E4,Countries!$B$3:$C$140,2,FALSE)</calculatedColumnFormula>
    </tableColumn>
    <tableColumn id="6" xr3:uid="{CBEA2426-2C07-4FD3-BF33-12C9B2619697}" name="Number of transfers" dataDxfId="2"/>
    <tableColumn id="7" xr3:uid="{1D962374-6AB3-4A2B-86E2-628CD1EC155D}" name="Total club-to-club compensation" dataDxfId="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D608C0-4E54-4DF3-9B59-E0E0F42F09D0}" name="Table2" displayName="Table2" ref="B2:C140" totalsRowShown="0" headerRowDxfId="0">
  <autoFilter ref="B2:C140" xr:uid="{91D608C0-4E54-4DF3-9B59-E0E0F42F09D0}">
    <filterColumn colId="1">
      <filters>
        <filter val="Europe"/>
      </filters>
    </filterColumn>
  </autoFilter>
  <sortState xmlns:xlrd2="http://schemas.microsoft.com/office/spreadsheetml/2017/richdata2" ref="B3:C140">
    <sortCondition ref="B2:B140"/>
  </sortState>
  <tableColumns count="2">
    <tableColumn id="1" xr3:uid="{BDBF4085-449D-4F7D-9CEB-A0ED4868CD8E}" name="Countries"/>
    <tableColumn id="2" xr3:uid="{9A0E3A4F-6D03-4C1A-978A-CE35AB647B8F}" name="Continent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71CE-3904-4B19-A62D-8F47A29DD397}">
  <dimension ref="B3:H3352"/>
  <sheetViews>
    <sheetView showGridLines="0" zoomScaleNormal="100" workbookViewId="0">
      <selection activeCell="C25" sqref="C25"/>
    </sheetView>
  </sheetViews>
  <sheetFormatPr defaultRowHeight="12.75" x14ac:dyDescent="0.2"/>
  <cols>
    <col min="1" max="1" width="9.140625" style="1"/>
    <col min="2" max="2" width="15.28515625" style="1" customWidth="1"/>
    <col min="3" max="3" width="32.7109375" style="1" bestFit="1" customWidth="1"/>
    <col min="4" max="4" width="19.28515625" style="1" customWidth="1"/>
    <col min="5" max="5" width="33.5703125" style="1" bestFit="1" customWidth="1"/>
    <col min="6" max="6" width="19.85546875" style="1" customWidth="1"/>
    <col min="7" max="7" width="24.85546875" style="3" customWidth="1"/>
    <col min="8" max="8" width="38.42578125" style="3" customWidth="1"/>
    <col min="9" max="16384" width="9.140625" style="1"/>
  </cols>
  <sheetData>
    <row r="3" spans="2:8" ht="15" x14ac:dyDescent="0.25">
      <c r="B3" s="2" t="s">
        <v>141</v>
      </c>
      <c r="C3" s="2" t="s">
        <v>154</v>
      </c>
      <c r="D3" s="2" t="s">
        <v>152</v>
      </c>
      <c r="E3" s="2" t="s">
        <v>155</v>
      </c>
      <c r="F3" s="2" t="s">
        <v>153</v>
      </c>
      <c r="G3" s="2" t="s">
        <v>0</v>
      </c>
      <c r="H3" s="2" t="s">
        <v>1</v>
      </c>
    </row>
    <row r="4" spans="2:8" x14ac:dyDescent="0.2">
      <c r="B4" s="3" t="s">
        <v>140</v>
      </c>
      <c r="C4" s="3" t="s">
        <v>2</v>
      </c>
      <c r="D4" s="3" t="str">
        <f>VLOOKUP(C4,Countries!$B$3:$C$140,2,FALSE)</f>
        <v>Europe</v>
      </c>
      <c r="E4" s="3" t="s">
        <v>3</v>
      </c>
      <c r="F4" s="3" t="str">
        <f>VLOOKUP(E4,Countries!$B$3:$C$140,2,FALSE)</f>
        <v>Europe</v>
      </c>
      <c r="G4" s="4">
        <v>2</v>
      </c>
      <c r="H4" s="4">
        <v>0</v>
      </c>
    </row>
    <row r="5" spans="2:8" x14ac:dyDescent="0.2">
      <c r="B5" s="3" t="s">
        <v>140</v>
      </c>
      <c r="C5" s="3" t="s">
        <v>2</v>
      </c>
      <c r="D5" s="3" t="str">
        <f>VLOOKUP(C5,Countries!$B$3:$C$140,2,FALSE)</f>
        <v>Europe</v>
      </c>
      <c r="E5" s="3" t="s">
        <v>4</v>
      </c>
      <c r="F5" s="3" t="str">
        <f>VLOOKUP(E5,Countries!$B$3:$C$140,2,FALSE)</f>
        <v>Asia</v>
      </c>
      <c r="G5" s="4">
        <v>2</v>
      </c>
      <c r="H5" s="4">
        <v>0</v>
      </c>
    </row>
    <row r="6" spans="2:8" x14ac:dyDescent="0.2">
      <c r="B6" s="3" t="s">
        <v>140</v>
      </c>
      <c r="C6" s="3" t="s">
        <v>2</v>
      </c>
      <c r="D6" s="3" t="str">
        <f>VLOOKUP(C6,Countries!$B$3:$C$140,2,FALSE)</f>
        <v>Europe</v>
      </c>
      <c r="E6" s="3" t="s">
        <v>5</v>
      </c>
      <c r="F6" s="3" t="str">
        <f>VLOOKUP(E6,Countries!$B$3:$C$140,2,FALSE)</f>
        <v>Asia</v>
      </c>
      <c r="G6" s="4">
        <v>2</v>
      </c>
      <c r="H6" s="4">
        <v>0</v>
      </c>
    </row>
    <row r="7" spans="2:8" x14ac:dyDescent="0.2">
      <c r="B7" s="3" t="s">
        <v>140</v>
      </c>
      <c r="C7" s="3" t="s">
        <v>2</v>
      </c>
      <c r="D7" s="3" t="str">
        <f>VLOOKUP(C7,Countries!$B$3:$C$140,2,FALSE)</f>
        <v>Europe</v>
      </c>
      <c r="E7" s="3" t="s">
        <v>6</v>
      </c>
      <c r="F7" s="3" t="str">
        <f>VLOOKUP(E7,Countries!$B$3:$C$140,2,FALSE)</f>
        <v>Europe</v>
      </c>
      <c r="G7" s="4">
        <v>4</v>
      </c>
      <c r="H7" s="4">
        <v>0</v>
      </c>
    </row>
    <row r="8" spans="2:8" x14ac:dyDescent="0.2">
      <c r="B8" s="3" t="s">
        <v>140</v>
      </c>
      <c r="C8" s="3" t="s">
        <v>2</v>
      </c>
      <c r="D8" s="3" t="str">
        <f>VLOOKUP(C8,Countries!$B$3:$C$140,2,FALSE)</f>
        <v>Europe</v>
      </c>
      <c r="E8" s="3" t="s">
        <v>7</v>
      </c>
      <c r="F8" s="3" t="str">
        <f>VLOOKUP(E8,Countries!$B$3:$C$140,2,FALSE)</f>
        <v>South America</v>
      </c>
      <c r="G8" s="4">
        <v>10</v>
      </c>
      <c r="H8" s="4">
        <v>0</v>
      </c>
    </row>
    <row r="9" spans="2:8" x14ac:dyDescent="0.2">
      <c r="B9" s="3" t="s">
        <v>140</v>
      </c>
      <c r="C9" s="3" t="s">
        <v>2</v>
      </c>
      <c r="D9" s="3" t="str">
        <f>VLOOKUP(C9,Countries!$B$3:$C$140,2,FALSE)</f>
        <v>Europe</v>
      </c>
      <c r="E9" s="3" t="s">
        <v>8</v>
      </c>
      <c r="F9" s="3" t="str">
        <f>VLOOKUP(E9,Countries!$B$3:$C$140,2,FALSE)</f>
        <v>North America</v>
      </c>
      <c r="G9" s="4">
        <v>2</v>
      </c>
      <c r="H9" s="4">
        <v>0</v>
      </c>
    </row>
    <row r="10" spans="2:8" x14ac:dyDescent="0.2">
      <c r="B10" s="3" t="s">
        <v>140</v>
      </c>
      <c r="C10" s="3" t="s">
        <v>2</v>
      </c>
      <c r="D10" s="3" t="str">
        <f>VLOOKUP(C10,Countries!$B$3:$C$140,2,FALSE)</f>
        <v>Europe</v>
      </c>
      <c r="E10" s="3" t="s">
        <v>9</v>
      </c>
      <c r="F10" s="3" t="str">
        <f>VLOOKUP(E10,Countries!$B$3:$C$140,2,FALSE)</f>
        <v>Europe</v>
      </c>
      <c r="G10" s="4">
        <v>6</v>
      </c>
      <c r="H10" s="4">
        <v>0</v>
      </c>
    </row>
    <row r="11" spans="2:8" x14ac:dyDescent="0.2">
      <c r="B11" s="3" t="s">
        <v>140</v>
      </c>
      <c r="C11" s="3" t="s">
        <v>2</v>
      </c>
      <c r="D11" s="3" t="str">
        <f>VLOOKUP(C11,Countries!$B$3:$C$140,2,FALSE)</f>
        <v>Europe</v>
      </c>
      <c r="E11" s="3" t="s">
        <v>10</v>
      </c>
      <c r="F11" s="3" t="str">
        <f>VLOOKUP(E11,Countries!$B$3:$C$140,2,FALSE)</f>
        <v>Europe</v>
      </c>
      <c r="G11" s="4">
        <v>2</v>
      </c>
      <c r="H11" s="4">
        <v>0</v>
      </c>
    </row>
    <row r="12" spans="2:8" x14ac:dyDescent="0.2">
      <c r="B12" s="3" t="s">
        <v>140</v>
      </c>
      <c r="C12" s="3" t="s">
        <v>2</v>
      </c>
      <c r="D12" s="3" t="str">
        <f>VLOOKUP(C12,Countries!$B$3:$C$140,2,FALSE)</f>
        <v>Europe</v>
      </c>
      <c r="E12" s="3" t="s">
        <v>11</v>
      </c>
      <c r="F12" s="3" t="str">
        <f>VLOOKUP(E12,Countries!$B$3:$C$140,2,FALSE)</f>
        <v>Europe</v>
      </c>
      <c r="G12" s="4">
        <v>4</v>
      </c>
      <c r="H12" s="4">
        <v>0</v>
      </c>
    </row>
    <row r="13" spans="2:8" x14ac:dyDescent="0.2">
      <c r="B13" s="3" t="s">
        <v>140</v>
      </c>
      <c r="C13" s="3" t="s">
        <v>2</v>
      </c>
      <c r="D13" s="3" t="str">
        <f>VLOOKUP(C13,Countries!$B$3:$C$140,2,FALSE)</f>
        <v>Europe</v>
      </c>
      <c r="E13" s="3" t="s">
        <v>12</v>
      </c>
      <c r="F13" s="3" t="str">
        <f>VLOOKUP(E13,Countries!$B$3:$C$140,2,FALSE)</f>
        <v>Europe</v>
      </c>
      <c r="G13" s="4">
        <v>2</v>
      </c>
      <c r="H13" s="4">
        <v>0</v>
      </c>
    </row>
    <row r="14" spans="2:8" x14ac:dyDescent="0.2">
      <c r="B14" s="3" t="s">
        <v>140</v>
      </c>
      <c r="C14" s="3" t="s">
        <v>2</v>
      </c>
      <c r="D14" s="3" t="str">
        <f>VLOOKUP(C14,Countries!$B$3:$C$140,2,FALSE)</f>
        <v>Europe</v>
      </c>
      <c r="E14" s="3" t="s">
        <v>13</v>
      </c>
      <c r="F14" s="3" t="str">
        <f>VLOOKUP(E14,Countries!$B$3:$C$140,2,FALSE)</f>
        <v>Europe</v>
      </c>
      <c r="G14" s="4">
        <v>4</v>
      </c>
      <c r="H14" s="4">
        <v>0</v>
      </c>
    </row>
    <row r="15" spans="2:8" x14ac:dyDescent="0.2">
      <c r="B15" s="3" t="s">
        <v>140</v>
      </c>
      <c r="C15" s="3" t="s">
        <v>2</v>
      </c>
      <c r="D15" s="3" t="str">
        <f>VLOOKUP(C15,Countries!$B$3:$C$140,2,FALSE)</f>
        <v>Europe</v>
      </c>
      <c r="E15" s="3" t="s">
        <v>14</v>
      </c>
      <c r="F15" s="3" t="str">
        <f>VLOOKUP(E15,Countries!$B$3:$C$140,2,FALSE)</f>
        <v>Europe</v>
      </c>
      <c r="G15" s="4">
        <v>16</v>
      </c>
      <c r="H15" s="4">
        <v>0</v>
      </c>
    </row>
    <row r="16" spans="2:8" x14ac:dyDescent="0.2">
      <c r="B16" s="3" t="s">
        <v>140</v>
      </c>
      <c r="C16" s="3" t="s">
        <v>2</v>
      </c>
      <c r="D16" s="3" t="str">
        <f>VLOOKUP(C16,Countries!$B$3:$C$140,2,FALSE)</f>
        <v>Europe</v>
      </c>
      <c r="E16" s="3" t="s">
        <v>15</v>
      </c>
      <c r="F16" s="3" t="str">
        <f>VLOOKUP(E16,Countries!$B$3:$C$140,2,FALSE)</f>
        <v>Europe</v>
      </c>
      <c r="G16" s="4">
        <v>2</v>
      </c>
      <c r="H16" s="4">
        <v>80716.618902000002</v>
      </c>
    </row>
    <row r="17" spans="2:8" x14ac:dyDescent="0.2">
      <c r="B17" s="3" t="s">
        <v>140</v>
      </c>
      <c r="C17" s="3" t="s">
        <v>2</v>
      </c>
      <c r="D17" s="3" t="str">
        <f>VLOOKUP(C17,Countries!$B$3:$C$140,2,FALSE)</f>
        <v>Europe</v>
      </c>
      <c r="E17" s="3" t="s">
        <v>16</v>
      </c>
      <c r="F17" s="3" t="str">
        <f>VLOOKUP(E17,Countries!$B$3:$C$140,2,FALSE)</f>
        <v>Asia</v>
      </c>
      <c r="G17" s="4">
        <v>2</v>
      </c>
      <c r="H17" s="4">
        <v>0</v>
      </c>
    </row>
    <row r="18" spans="2:8" x14ac:dyDescent="0.2">
      <c r="B18" s="3" t="s">
        <v>140</v>
      </c>
      <c r="C18" s="3" t="s">
        <v>2</v>
      </c>
      <c r="D18" s="3" t="str">
        <f>VLOOKUP(C18,Countries!$B$3:$C$140,2,FALSE)</f>
        <v>Europe</v>
      </c>
      <c r="E18" s="3" t="s">
        <v>17</v>
      </c>
      <c r="F18" s="3" t="str">
        <f>VLOOKUP(E18,Countries!$B$3:$C$140,2,FALSE)</f>
        <v>Europe</v>
      </c>
      <c r="G18" s="4">
        <v>4</v>
      </c>
      <c r="H18" s="4">
        <v>0</v>
      </c>
    </row>
    <row r="19" spans="2:8" x14ac:dyDescent="0.2">
      <c r="B19" s="3" t="s">
        <v>140</v>
      </c>
      <c r="C19" s="3" t="s">
        <v>2</v>
      </c>
      <c r="D19" s="3" t="str">
        <f>VLOOKUP(C19,Countries!$B$3:$C$140,2,FALSE)</f>
        <v>Europe</v>
      </c>
      <c r="E19" s="3" t="s">
        <v>18</v>
      </c>
      <c r="F19" s="3" t="str">
        <f>VLOOKUP(E19,Countries!$B$3:$C$140,2,FALSE)</f>
        <v>Africa</v>
      </c>
      <c r="G19" s="4">
        <v>4</v>
      </c>
      <c r="H19" s="4">
        <v>282508.166157</v>
      </c>
    </row>
    <row r="20" spans="2:8" x14ac:dyDescent="0.2">
      <c r="B20" s="3" t="s">
        <v>140</v>
      </c>
      <c r="C20" s="3" t="s">
        <v>2</v>
      </c>
      <c r="D20" s="3" t="str">
        <f>VLOOKUP(C20,Countries!$B$3:$C$140,2,FALSE)</f>
        <v>Europe</v>
      </c>
      <c r="E20" s="3" t="s">
        <v>19</v>
      </c>
      <c r="F20" s="3" t="str">
        <f>VLOOKUP(E20,Countries!$B$3:$C$140,2,FALSE)</f>
        <v>Asia</v>
      </c>
      <c r="G20" s="4">
        <v>4</v>
      </c>
      <c r="H20" s="4">
        <v>0</v>
      </c>
    </row>
    <row r="21" spans="2:8" x14ac:dyDescent="0.2">
      <c r="B21" s="3" t="s">
        <v>140</v>
      </c>
      <c r="C21" s="3" t="s">
        <v>2</v>
      </c>
      <c r="D21" s="3" t="str">
        <f>VLOOKUP(C21,Countries!$B$3:$C$140,2,FALSE)</f>
        <v>Europe</v>
      </c>
      <c r="E21" s="3" t="s">
        <v>20</v>
      </c>
      <c r="F21" s="3" t="str">
        <f>VLOOKUP(E21,Countries!$B$3:$C$140,2,FALSE)</f>
        <v>Europe</v>
      </c>
      <c r="G21" s="4">
        <v>4</v>
      </c>
      <c r="H21" s="4">
        <v>0</v>
      </c>
    </row>
    <row r="22" spans="2:8" x14ac:dyDescent="0.2">
      <c r="B22" s="3" t="s">
        <v>140</v>
      </c>
      <c r="C22" s="3" t="s">
        <v>2</v>
      </c>
      <c r="D22" s="3" t="str">
        <f>VLOOKUP(C22,Countries!$B$3:$C$140,2,FALSE)</f>
        <v>Europe</v>
      </c>
      <c r="E22" s="3" t="s">
        <v>21</v>
      </c>
      <c r="F22" s="3" t="str">
        <f>VLOOKUP(E22,Countries!$B$3:$C$140,2,FALSE)</f>
        <v>Europe</v>
      </c>
      <c r="G22" s="4">
        <v>16</v>
      </c>
      <c r="H22" s="4">
        <v>0</v>
      </c>
    </row>
    <row r="23" spans="2:8" x14ac:dyDescent="0.2">
      <c r="B23" s="3" t="s">
        <v>140</v>
      </c>
      <c r="C23" s="3" t="s">
        <v>2</v>
      </c>
      <c r="D23" s="3" t="str">
        <f>VLOOKUP(C23,Countries!$B$3:$C$140,2,FALSE)</f>
        <v>Europe</v>
      </c>
      <c r="E23" s="3" t="s">
        <v>22</v>
      </c>
      <c r="F23" s="3" t="str">
        <f>VLOOKUP(E23,Countries!$B$3:$C$140,2,FALSE)</f>
        <v>Europe</v>
      </c>
      <c r="G23" s="4">
        <v>4</v>
      </c>
      <c r="H23" s="4">
        <v>0</v>
      </c>
    </row>
    <row r="24" spans="2:8" x14ac:dyDescent="0.2">
      <c r="B24" s="3" t="s">
        <v>140</v>
      </c>
      <c r="C24" s="3" t="s">
        <v>2</v>
      </c>
      <c r="D24" s="3" t="str">
        <f>VLOOKUP(C24,Countries!$B$3:$C$140,2,FALSE)</f>
        <v>Europe</v>
      </c>
      <c r="E24" s="3" t="s">
        <v>23</v>
      </c>
      <c r="F24" s="3" t="str">
        <f>VLOOKUP(E24,Countries!$B$3:$C$140,2,FALSE)</f>
        <v>Europe</v>
      </c>
      <c r="G24" s="4">
        <v>10</v>
      </c>
      <c r="H24" s="4">
        <v>0</v>
      </c>
    </row>
    <row r="25" spans="2:8" x14ac:dyDescent="0.2">
      <c r="B25" s="3" t="s">
        <v>140</v>
      </c>
      <c r="C25" s="3" t="s">
        <v>2</v>
      </c>
      <c r="D25" s="3" t="str">
        <f>VLOOKUP(C25,Countries!$B$3:$C$140,2,FALSE)</f>
        <v>Europe</v>
      </c>
      <c r="E25" s="3" t="s">
        <v>24</v>
      </c>
      <c r="F25" s="3" t="str">
        <f>VLOOKUP(E25,Countries!$B$3:$C$140,2,FALSE)</f>
        <v>Africa</v>
      </c>
      <c r="G25" s="4">
        <v>18</v>
      </c>
      <c r="H25" s="4">
        <v>0</v>
      </c>
    </row>
    <row r="26" spans="2:8" x14ac:dyDescent="0.2">
      <c r="B26" s="3" t="s">
        <v>140</v>
      </c>
      <c r="C26" s="3" t="s">
        <v>2</v>
      </c>
      <c r="D26" s="3" t="str">
        <f>VLOOKUP(C26,Countries!$B$3:$C$140,2,FALSE)</f>
        <v>Europe</v>
      </c>
      <c r="E26" s="3" t="s">
        <v>25</v>
      </c>
      <c r="F26" s="3" t="str">
        <f>VLOOKUP(E26,Countries!$B$3:$C$140,2,FALSE)</f>
        <v>Europe</v>
      </c>
      <c r="G26" s="4">
        <v>2</v>
      </c>
      <c r="H26" s="4">
        <v>0</v>
      </c>
    </row>
    <row r="27" spans="2:8" x14ac:dyDescent="0.2">
      <c r="B27" s="3" t="s">
        <v>140</v>
      </c>
      <c r="C27" s="3" t="s">
        <v>2</v>
      </c>
      <c r="D27" s="3" t="str">
        <f>VLOOKUP(C27,Countries!$B$3:$C$140,2,FALSE)</f>
        <v>Europe</v>
      </c>
      <c r="E27" s="3" t="s">
        <v>26</v>
      </c>
      <c r="F27" s="3" t="str">
        <f>VLOOKUP(E27,Countries!$B$3:$C$140,2,FALSE)</f>
        <v>Europe</v>
      </c>
      <c r="G27" s="4">
        <v>2</v>
      </c>
      <c r="H27" s="4">
        <v>0</v>
      </c>
    </row>
    <row r="28" spans="2:8" x14ac:dyDescent="0.2">
      <c r="B28" s="3" t="s">
        <v>140</v>
      </c>
      <c r="C28" s="3" t="s">
        <v>2</v>
      </c>
      <c r="D28" s="3" t="str">
        <f>VLOOKUP(C28,Countries!$B$3:$C$140,2,FALSE)</f>
        <v>Europe</v>
      </c>
      <c r="E28" s="3" t="s">
        <v>27</v>
      </c>
      <c r="F28" s="3" t="str">
        <f>VLOOKUP(E28,Countries!$B$3:$C$140,2,FALSE)</f>
        <v>Europe</v>
      </c>
      <c r="G28" s="4">
        <v>2</v>
      </c>
      <c r="H28" s="4">
        <v>0</v>
      </c>
    </row>
    <row r="29" spans="2:8" x14ac:dyDescent="0.2">
      <c r="B29" s="3" t="s">
        <v>140</v>
      </c>
      <c r="C29" s="3" t="s">
        <v>2</v>
      </c>
      <c r="D29" s="3" t="str">
        <f>VLOOKUP(C29,Countries!$B$3:$C$140,2,FALSE)</f>
        <v>Europe</v>
      </c>
      <c r="E29" s="3" t="s">
        <v>28</v>
      </c>
      <c r="F29" s="3" t="str">
        <f>VLOOKUP(E29,Countries!$B$3:$C$140,2,FALSE)</f>
        <v>Europe</v>
      </c>
      <c r="G29" s="4">
        <v>24</v>
      </c>
      <c r="H29" s="4">
        <v>0</v>
      </c>
    </row>
    <row r="30" spans="2:8" x14ac:dyDescent="0.2">
      <c r="B30" s="3" t="s">
        <v>140</v>
      </c>
      <c r="C30" s="3" t="s">
        <v>2</v>
      </c>
      <c r="D30" s="3" t="str">
        <f>VLOOKUP(C30,Countries!$B$3:$C$140,2,FALSE)</f>
        <v>Europe</v>
      </c>
      <c r="E30" s="3" t="s">
        <v>29</v>
      </c>
      <c r="F30" s="3" t="str">
        <f>VLOOKUP(E30,Countries!$B$3:$C$140,2,FALSE)</f>
        <v>Europe</v>
      </c>
      <c r="G30" s="4">
        <v>2</v>
      </c>
      <c r="H30" s="4">
        <v>0</v>
      </c>
    </row>
    <row r="31" spans="2:8" x14ac:dyDescent="0.2">
      <c r="B31" s="3" t="s">
        <v>140</v>
      </c>
      <c r="C31" s="3" t="s">
        <v>2</v>
      </c>
      <c r="D31" s="3" t="str">
        <f>VLOOKUP(C31,Countries!$B$3:$C$140,2,FALSE)</f>
        <v>Europe</v>
      </c>
      <c r="E31" s="3" t="s">
        <v>30</v>
      </c>
      <c r="F31" s="3" t="str">
        <f>VLOOKUP(E31,Countries!$B$3:$C$140,2,FALSE)</f>
        <v>Europe</v>
      </c>
      <c r="G31" s="4">
        <v>2</v>
      </c>
      <c r="H31" s="4">
        <v>0</v>
      </c>
    </row>
    <row r="32" spans="2:8" x14ac:dyDescent="0.2">
      <c r="B32" s="3" t="s">
        <v>140</v>
      </c>
      <c r="C32" s="3" t="s">
        <v>2</v>
      </c>
      <c r="D32" s="3" t="str">
        <f>VLOOKUP(C32,Countries!$B$3:$C$140,2,FALSE)</f>
        <v>Europe</v>
      </c>
      <c r="E32" s="3" t="s">
        <v>31</v>
      </c>
      <c r="F32" s="3" t="str">
        <f>VLOOKUP(E32,Countries!$B$3:$C$140,2,FALSE)</f>
        <v>Europe</v>
      </c>
      <c r="G32" s="4">
        <v>4</v>
      </c>
      <c r="H32" s="4">
        <v>0</v>
      </c>
    </row>
    <row r="33" spans="2:8" x14ac:dyDescent="0.2">
      <c r="B33" s="3" t="s">
        <v>140</v>
      </c>
      <c r="C33" s="3" t="s">
        <v>2</v>
      </c>
      <c r="D33" s="3" t="str">
        <f>VLOOKUP(C33,Countries!$B$3:$C$140,2,FALSE)</f>
        <v>Europe</v>
      </c>
      <c r="E33" s="3" t="s">
        <v>32</v>
      </c>
      <c r="F33" s="3" t="str">
        <f>VLOOKUP(E33,Countries!$B$3:$C$140,2,FALSE)</f>
        <v>Europe</v>
      </c>
      <c r="G33" s="4">
        <v>2</v>
      </c>
      <c r="H33" s="4">
        <v>0</v>
      </c>
    </row>
    <row r="34" spans="2:8" x14ac:dyDescent="0.2">
      <c r="B34" s="3" t="s">
        <v>140</v>
      </c>
      <c r="C34" s="3" t="s">
        <v>2</v>
      </c>
      <c r="D34" s="3" t="str">
        <f>VLOOKUP(C34,Countries!$B$3:$C$140,2,FALSE)</f>
        <v>Europe</v>
      </c>
      <c r="E34" s="3" t="s">
        <v>33</v>
      </c>
      <c r="F34" s="3" t="str">
        <f>VLOOKUP(E34,Countries!$B$3:$C$140,2,FALSE)</f>
        <v>North America</v>
      </c>
      <c r="G34" s="4">
        <v>2</v>
      </c>
      <c r="H34" s="4">
        <v>30000</v>
      </c>
    </row>
    <row r="35" spans="2:8" x14ac:dyDescent="0.2">
      <c r="B35" s="3" t="s">
        <v>140</v>
      </c>
      <c r="C35" s="3" t="s">
        <v>34</v>
      </c>
      <c r="D35" s="3" t="str">
        <f>VLOOKUP(C35,Countries!$B$3:$C$140,2,FALSE)</f>
        <v>Asia</v>
      </c>
      <c r="E35" s="3" t="s">
        <v>35</v>
      </c>
      <c r="F35" s="3" t="str">
        <f>VLOOKUP(E35,Countries!$B$3:$C$140,2,FALSE)</f>
        <v>Europe</v>
      </c>
      <c r="G35" s="4">
        <v>2</v>
      </c>
      <c r="H35" s="4">
        <v>0</v>
      </c>
    </row>
    <row r="36" spans="2:8" x14ac:dyDescent="0.2">
      <c r="B36" s="3" t="s">
        <v>140</v>
      </c>
      <c r="C36" s="3" t="s">
        <v>34</v>
      </c>
      <c r="D36" s="3" t="str">
        <f>VLOOKUP(C36,Countries!$B$3:$C$140,2,FALSE)</f>
        <v>Asia</v>
      </c>
      <c r="E36" s="3" t="s">
        <v>7</v>
      </c>
      <c r="F36" s="3" t="str">
        <f>VLOOKUP(E36,Countries!$B$3:$C$140,2,FALSE)</f>
        <v>South America</v>
      </c>
      <c r="G36" s="4">
        <v>6</v>
      </c>
      <c r="H36" s="4">
        <v>0</v>
      </c>
    </row>
    <row r="37" spans="2:8" x14ac:dyDescent="0.2">
      <c r="B37" s="3" t="s">
        <v>140</v>
      </c>
      <c r="C37" s="3" t="s">
        <v>34</v>
      </c>
      <c r="D37" s="3" t="str">
        <f>VLOOKUP(C37,Countries!$B$3:$C$140,2,FALSE)</f>
        <v>Asia</v>
      </c>
      <c r="E37" s="3" t="s">
        <v>36</v>
      </c>
      <c r="F37" s="3" t="str">
        <f>VLOOKUP(E37,Countries!$B$3:$C$140,2,FALSE)</f>
        <v>Europe</v>
      </c>
      <c r="G37" s="4">
        <v>2</v>
      </c>
      <c r="H37" s="4">
        <v>0</v>
      </c>
    </row>
    <row r="38" spans="2:8" x14ac:dyDescent="0.2">
      <c r="B38" s="3" t="s">
        <v>140</v>
      </c>
      <c r="C38" s="3" t="s">
        <v>34</v>
      </c>
      <c r="D38" s="3" t="str">
        <f>VLOOKUP(C38,Countries!$B$3:$C$140,2,FALSE)</f>
        <v>Asia</v>
      </c>
      <c r="E38" s="3" t="s">
        <v>37</v>
      </c>
      <c r="F38" s="3" t="str">
        <f>VLOOKUP(E38,Countries!$B$3:$C$140,2,FALSE)</f>
        <v>Africa</v>
      </c>
      <c r="G38" s="4">
        <v>8</v>
      </c>
      <c r="H38" s="4">
        <v>60000</v>
      </c>
    </row>
    <row r="39" spans="2:8" x14ac:dyDescent="0.2">
      <c r="B39" s="3" t="s">
        <v>140</v>
      </c>
      <c r="C39" s="3" t="s">
        <v>34</v>
      </c>
      <c r="D39" s="3" t="str">
        <f>VLOOKUP(C39,Countries!$B$3:$C$140,2,FALSE)</f>
        <v>Asia</v>
      </c>
      <c r="E39" s="3" t="s">
        <v>11</v>
      </c>
      <c r="F39" s="3" t="str">
        <f>VLOOKUP(E39,Countries!$B$3:$C$140,2,FALSE)</f>
        <v>Europe</v>
      </c>
      <c r="G39" s="4">
        <v>4</v>
      </c>
      <c r="H39" s="4">
        <v>0</v>
      </c>
    </row>
    <row r="40" spans="2:8" x14ac:dyDescent="0.2">
      <c r="B40" s="3" t="s">
        <v>140</v>
      </c>
      <c r="C40" s="3" t="s">
        <v>34</v>
      </c>
      <c r="D40" s="3" t="str">
        <f>VLOOKUP(C40,Countries!$B$3:$C$140,2,FALSE)</f>
        <v>Asia</v>
      </c>
      <c r="E40" s="3" t="s">
        <v>38</v>
      </c>
      <c r="F40" s="3" t="str">
        <f>VLOOKUP(E40,Countries!$B$3:$C$140,2,FALSE)</f>
        <v>Europe</v>
      </c>
      <c r="G40" s="4">
        <v>2</v>
      </c>
      <c r="H40" s="4">
        <v>0</v>
      </c>
    </row>
    <row r="41" spans="2:8" x14ac:dyDescent="0.2">
      <c r="B41" s="3" t="s">
        <v>140</v>
      </c>
      <c r="C41" s="3" t="s">
        <v>34</v>
      </c>
      <c r="D41" s="3" t="str">
        <f>VLOOKUP(C41,Countries!$B$3:$C$140,2,FALSE)</f>
        <v>Asia</v>
      </c>
      <c r="E41" s="3" t="s">
        <v>39</v>
      </c>
      <c r="F41" s="3" t="str">
        <f>VLOOKUP(E41,Countries!$B$3:$C$140,2,FALSE)</f>
        <v>Europe/Asia</v>
      </c>
      <c r="G41" s="4">
        <v>8</v>
      </c>
      <c r="H41" s="4">
        <v>0</v>
      </c>
    </row>
    <row r="42" spans="2:8" x14ac:dyDescent="0.2">
      <c r="B42" s="3" t="s">
        <v>140</v>
      </c>
      <c r="C42" s="3" t="s">
        <v>34</v>
      </c>
      <c r="D42" s="3" t="str">
        <f>VLOOKUP(C42,Countries!$B$3:$C$140,2,FALSE)</f>
        <v>Asia</v>
      </c>
      <c r="E42" s="3" t="s">
        <v>16</v>
      </c>
      <c r="F42" s="3" t="str">
        <f>VLOOKUP(E42,Countries!$B$3:$C$140,2,FALSE)</f>
        <v>Asia</v>
      </c>
      <c r="G42" s="4">
        <v>6</v>
      </c>
      <c r="H42" s="4">
        <v>0</v>
      </c>
    </row>
    <row r="43" spans="2:8" x14ac:dyDescent="0.2">
      <c r="B43" s="3" t="s">
        <v>140</v>
      </c>
      <c r="C43" s="3" t="s">
        <v>34</v>
      </c>
      <c r="D43" s="3" t="str">
        <f>VLOOKUP(C43,Countries!$B$3:$C$140,2,FALSE)</f>
        <v>Asia</v>
      </c>
      <c r="E43" s="3" t="s">
        <v>40</v>
      </c>
      <c r="F43" s="3" t="str">
        <f>VLOOKUP(E43,Countries!$B$3:$C$140,2,FALSE)</f>
        <v>Asia</v>
      </c>
      <c r="G43" s="4">
        <v>2</v>
      </c>
      <c r="H43" s="4">
        <v>0</v>
      </c>
    </row>
    <row r="44" spans="2:8" x14ac:dyDescent="0.2">
      <c r="B44" s="3" t="s">
        <v>140</v>
      </c>
      <c r="C44" s="3" t="s">
        <v>34</v>
      </c>
      <c r="D44" s="3" t="str">
        <f>VLOOKUP(C44,Countries!$B$3:$C$140,2,FALSE)</f>
        <v>Asia</v>
      </c>
      <c r="E44" s="3" t="s">
        <v>41</v>
      </c>
      <c r="F44" s="3" t="str">
        <f>VLOOKUP(E44,Countries!$B$3:$C$140,2,FALSE)</f>
        <v>Asia</v>
      </c>
      <c r="G44" s="4">
        <v>2</v>
      </c>
      <c r="H44" s="4">
        <v>0</v>
      </c>
    </row>
    <row r="45" spans="2:8" x14ac:dyDescent="0.2">
      <c r="B45" s="3" t="s">
        <v>140</v>
      </c>
      <c r="C45" s="3" t="s">
        <v>34</v>
      </c>
      <c r="D45" s="3" t="str">
        <f>VLOOKUP(C45,Countries!$B$3:$C$140,2,FALSE)</f>
        <v>Asia</v>
      </c>
      <c r="E45" s="3" t="s">
        <v>42</v>
      </c>
      <c r="F45" s="3" t="str">
        <f>VLOOKUP(E45,Countries!$B$3:$C$140,2,FALSE)</f>
        <v>Africa</v>
      </c>
      <c r="G45" s="4">
        <v>2</v>
      </c>
      <c r="H45" s="4">
        <v>0</v>
      </c>
    </row>
    <row r="46" spans="2:8" x14ac:dyDescent="0.2">
      <c r="B46" s="3" t="s">
        <v>140</v>
      </c>
      <c r="C46" s="3" t="s">
        <v>34</v>
      </c>
      <c r="D46" s="3" t="str">
        <f>VLOOKUP(C46,Countries!$B$3:$C$140,2,FALSE)</f>
        <v>Asia</v>
      </c>
      <c r="E46" s="3" t="s">
        <v>43</v>
      </c>
      <c r="F46" s="3" t="str">
        <f>VLOOKUP(E46,Countries!$B$3:$C$140,2,FALSE)</f>
        <v>Europe</v>
      </c>
      <c r="G46" s="4">
        <v>4</v>
      </c>
      <c r="H46" s="4">
        <v>30000</v>
      </c>
    </row>
    <row r="47" spans="2:8" x14ac:dyDescent="0.2">
      <c r="B47" s="3" t="s">
        <v>140</v>
      </c>
      <c r="C47" s="3" t="s">
        <v>34</v>
      </c>
      <c r="D47" s="3" t="str">
        <f>VLOOKUP(C47,Countries!$B$3:$C$140,2,FALSE)</f>
        <v>Asia</v>
      </c>
      <c r="E47" s="3" t="s">
        <v>44</v>
      </c>
      <c r="F47" s="3" t="str">
        <f>VLOOKUP(E47,Countries!$B$3:$C$140,2,FALSE)</f>
        <v>Europe</v>
      </c>
      <c r="G47" s="4">
        <v>2</v>
      </c>
      <c r="H47" s="4">
        <v>0</v>
      </c>
    </row>
    <row r="48" spans="2:8" x14ac:dyDescent="0.2">
      <c r="B48" s="3" t="s">
        <v>140</v>
      </c>
      <c r="C48" s="3" t="s">
        <v>34</v>
      </c>
      <c r="D48" s="3" t="str">
        <f>VLOOKUP(C48,Countries!$B$3:$C$140,2,FALSE)</f>
        <v>Asia</v>
      </c>
      <c r="E48" s="3" t="s">
        <v>45</v>
      </c>
      <c r="F48" s="3" t="str">
        <f>VLOOKUP(E48,Countries!$B$3:$C$140,2,FALSE)</f>
        <v>Asia</v>
      </c>
      <c r="G48" s="4">
        <v>2</v>
      </c>
      <c r="H48" s="4">
        <v>0</v>
      </c>
    </row>
    <row r="49" spans="2:8" x14ac:dyDescent="0.2">
      <c r="B49" s="3" t="s">
        <v>140</v>
      </c>
      <c r="C49" s="3" t="s">
        <v>34</v>
      </c>
      <c r="D49" s="3" t="str">
        <f>VLOOKUP(C49,Countries!$B$3:$C$140,2,FALSE)</f>
        <v>Asia</v>
      </c>
      <c r="E49" s="3" t="s">
        <v>25</v>
      </c>
      <c r="F49" s="3" t="str">
        <f>VLOOKUP(E49,Countries!$B$3:$C$140,2,FALSE)</f>
        <v>Europe</v>
      </c>
      <c r="G49" s="4">
        <v>2</v>
      </c>
      <c r="H49" s="4">
        <v>0</v>
      </c>
    </row>
    <row r="50" spans="2:8" x14ac:dyDescent="0.2">
      <c r="B50" s="3" t="s">
        <v>140</v>
      </c>
      <c r="C50" s="3" t="s">
        <v>34</v>
      </c>
      <c r="D50" s="3" t="str">
        <f>VLOOKUP(C50,Countries!$B$3:$C$140,2,FALSE)</f>
        <v>Asia</v>
      </c>
      <c r="E50" s="3" t="s">
        <v>46</v>
      </c>
      <c r="F50" s="3" t="str">
        <f>VLOOKUP(E50,Countries!$B$3:$C$140,2,FALSE)</f>
        <v>Europe/Asia</v>
      </c>
      <c r="G50" s="4">
        <v>14</v>
      </c>
      <c r="H50" s="4">
        <v>0</v>
      </c>
    </row>
    <row r="51" spans="2:8" x14ac:dyDescent="0.2">
      <c r="B51" s="3" t="s">
        <v>140</v>
      </c>
      <c r="C51" s="3" t="s">
        <v>34</v>
      </c>
      <c r="D51" s="3" t="str">
        <f>VLOOKUP(C51,Countries!$B$3:$C$140,2,FALSE)</f>
        <v>Asia</v>
      </c>
      <c r="E51" s="3" t="s">
        <v>47</v>
      </c>
      <c r="F51" s="3" t="str">
        <f>VLOOKUP(E51,Countries!$B$3:$C$140,2,FALSE)</f>
        <v>Africa</v>
      </c>
      <c r="G51" s="4">
        <v>2</v>
      </c>
      <c r="H51" s="4">
        <v>0</v>
      </c>
    </row>
    <row r="52" spans="2:8" x14ac:dyDescent="0.2">
      <c r="B52" s="3" t="s">
        <v>140</v>
      </c>
      <c r="C52" s="3" t="s">
        <v>34</v>
      </c>
      <c r="D52" s="3" t="str">
        <f>VLOOKUP(C52,Countries!$B$3:$C$140,2,FALSE)</f>
        <v>Asia</v>
      </c>
      <c r="E52" s="3" t="s">
        <v>28</v>
      </c>
      <c r="F52" s="3" t="str">
        <f>VLOOKUP(E52,Countries!$B$3:$C$140,2,FALSE)</f>
        <v>Europe</v>
      </c>
      <c r="G52" s="4">
        <v>6</v>
      </c>
      <c r="H52" s="4">
        <v>0</v>
      </c>
    </row>
    <row r="53" spans="2:8" x14ac:dyDescent="0.2">
      <c r="B53" s="3" t="s">
        <v>140</v>
      </c>
      <c r="C53" s="3" t="s">
        <v>34</v>
      </c>
      <c r="D53" s="3" t="str">
        <f>VLOOKUP(C53,Countries!$B$3:$C$140,2,FALSE)</f>
        <v>Asia</v>
      </c>
      <c r="E53" s="3" t="s">
        <v>30</v>
      </c>
      <c r="F53" s="3" t="str">
        <f>VLOOKUP(E53,Countries!$B$3:$C$140,2,FALSE)</f>
        <v>Europe</v>
      </c>
      <c r="G53" s="4">
        <v>2</v>
      </c>
      <c r="H53" s="4">
        <v>0</v>
      </c>
    </row>
    <row r="54" spans="2:8" x14ac:dyDescent="0.2">
      <c r="B54" s="3" t="s">
        <v>140</v>
      </c>
      <c r="C54" s="3" t="s">
        <v>34</v>
      </c>
      <c r="D54" s="3" t="str">
        <f>VLOOKUP(C54,Countries!$B$3:$C$140,2,FALSE)</f>
        <v>Asia</v>
      </c>
      <c r="E54" s="3" t="s">
        <v>32</v>
      </c>
      <c r="F54" s="3" t="str">
        <f>VLOOKUP(E54,Countries!$B$3:$C$140,2,FALSE)</f>
        <v>Europe</v>
      </c>
      <c r="G54" s="4">
        <v>8</v>
      </c>
      <c r="H54" s="4">
        <v>0</v>
      </c>
    </row>
    <row r="55" spans="2:8" x14ac:dyDescent="0.2">
      <c r="B55" s="3" t="s">
        <v>140</v>
      </c>
      <c r="C55" s="3" t="s">
        <v>3</v>
      </c>
      <c r="D55" s="3" t="str">
        <f>VLOOKUP(C55,Countries!$B$3:$C$140,2,FALSE)</f>
        <v>Europe</v>
      </c>
      <c r="E55" s="3" t="s">
        <v>2</v>
      </c>
      <c r="F55" s="3" t="str">
        <f>VLOOKUP(E55,Countries!$B$3:$C$140,2,FALSE)</f>
        <v>Europe</v>
      </c>
      <c r="G55" s="4">
        <v>2</v>
      </c>
      <c r="H55" s="4">
        <v>0</v>
      </c>
    </row>
    <row r="56" spans="2:8" x14ac:dyDescent="0.2">
      <c r="B56" s="3" t="s">
        <v>140</v>
      </c>
      <c r="C56" s="3" t="s">
        <v>3</v>
      </c>
      <c r="D56" s="3" t="str">
        <f>VLOOKUP(C56,Countries!$B$3:$C$140,2,FALSE)</f>
        <v>Europe</v>
      </c>
      <c r="E56" s="3" t="s">
        <v>48</v>
      </c>
      <c r="F56" s="3" t="str">
        <f>VLOOKUP(E56,Countries!$B$3:$C$140,2,FALSE)</f>
        <v>Oceania</v>
      </c>
      <c r="G56" s="4">
        <v>2</v>
      </c>
      <c r="H56" s="4">
        <v>0</v>
      </c>
    </row>
    <row r="57" spans="2:8" x14ac:dyDescent="0.2">
      <c r="B57" s="3" t="s">
        <v>140</v>
      </c>
      <c r="C57" s="3" t="s">
        <v>3</v>
      </c>
      <c r="D57" s="3" t="str">
        <f>VLOOKUP(C57,Countries!$B$3:$C$140,2,FALSE)</f>
        <v>Europe</v>
      </c>
      <c r="E57" s="3" t="s">
        <v>35</v>
      </c>
      <c r="F57" s="3" t="str">
        <f>VLOOKUP(E57,Countries!$B$3:$C$140,2,FALSE)</f>
        <v>Europe</v>
      </c>
      <c r="G57" s="4">
        <v>2</v>
      </c>
      <c r="H57" s="4">
        <v>0</v>
      </c>
    </row>
    <row r="58" spans="2:8" x14ac:dyDescent="0.2">
      <c r="B58" s="3" t="s">
        <v>140</v>
      </c>
      <c r="C58" s="3" t="s">
        <v>3</v>
      </c>
      <c r="D58" s="3" t="str">
        <f>VLOOKUP(C58,Countries!$B$3:$C$140,2,FALSE)</f>
        <v>Europe</v>
      </c>
      <c r="E58" s="3" t="s">
        <v>6</v>
      </c>
      <c r="F58" s="3" t="str">
        <f>VLOOKUP(E58,Countries!$B$3:$C$140,2,FALSE)</f>
        <v>Europe</v>
      </c>
      <c r="G58" s="4">
        <v>2</v>
      </c>
      <c r="H58" s="4">
        <v>0</v>
      </c>
    </row>
    <row r="59" spans="2:8" x14ac:dyDescent="0.2">
      <c r="B59" s="3" t="s">
        <v>140</v>
      </c>
      <c r="C59" s="3" t="s">
        <v>3</v>
      </c>
      <c r="D59" s="3" t="str">
        <f>VLOOKUP(C59,Countries!$B$3:$C$140,2,FALSE)</f>
        <v>Europe</v>
      </c>
      <c r="E59" s="3" t="s">
        <v>7</v>
      </c>
      <c r="F59" s="3" t="str">
        <f>VLOOKUP(E59,Countries!$B$3:$C$140,2,FALSE)</f>
        <v>South America</v>
      </c>
      <c r="G59" s="4">
        <v>16</v>
      </c>
      <c r="H59" s="4">
        <v>5085146.9908259995</v>
      </c>
    </row>
    <row r="60" spans="2:8" x14ac:dyDescent="0.2">
      <c r="B60" s="3" t="s">
        <v>140</v>
      </c>
      <c r="C60" s="3" t="s">
        <v>3</v>
      </c>
      <c r="D60" s="3" t="str">
        <f>VLOOKUP(C60,Countries!$B$3:$C$140,2,FALSE)</f>
        <v>Europe</v>
      </c>
      <c r="E60" s="3" t="s">
        <v>9</v>
      </c>
      <c r="F60" s="3" t="str">
        <f>VLOOKUP(E60,Countries!$B$3:$C$140,2,FALSE)</f>
        <v>Europe</v>
      </c>
      <c r="G60" s="4">
        <v>10</v>
      </c>
      <c r="H60" s="4">
        <v>1008957.7362749999</v>
      </c>
    </row>
    <row r="61" spans="2:8" x14ac:dyDescent="0.2">
      <c r="B61" s="3" t="s">
        <v>140</v>
      </c>
      <c r="C61" s="3" t="s">
        <v>3</v>
      </c>
      <c r="D61" s="3" t="str">
        <f>VLOOKUP(C61,Countries!$B$3:$C$140,2,FALSE)</f>
        <v>Europe</v>
      </c>
      <c r="E61" s="3" t="s">
        <v>49</v>
      </c>
      <c r="F61" s="3" t="str">
        <f>VLOOKUP(E61,Countries!$B$3:$C$140,2,FALSE)</f>
        <v>Europe</v>
      </c>
      <c r="G61" s="4">
        <v>6</v>
      </c>
      <c r="H61" s="4">
        <v>242149.85670599999</v>
      </c>
    </row>
    <row r="62" spans="2:8" x14ac:dyDescent="0.2">
      <c r="B62" s="3" t="s">
        <v>140</v>
      </c>
      <c r="C62" s="3" t="s">
        <v>3</v>
      </c>
      <c r="D62" s="3" t="str">
        <f>VLOOKUP(C62,Countries!$B$3:$C$140,2,FALSE)</f>
        <v>Europe</v>
      </c>
      <c r="E62" s="3" t="s">
        <v>10</v>
      </c>
      <c r="F62" s="3" t="str">
        <f>VLOOKUP(E62,Countries!$B$3:$C$140,2,FALSE)</f>
        <v>Europe</v>
      </c>
      <c r="G62" s="4">
        <v>2</v>
      </c>
      <c r="H62" s="4">
        <v>0</v>
      </c>
    </row>
    <row r="63" spans="2:8" x14ac:dyDescent="0.2">
      <c r="B63" s="3" t="s">
        <v>140</v>
      </c>
      <c r="C63" s="3" t="s">
        <v>3</v>
      </c>
      <c r="D63" s="3" t="str">
        <f>VLOOKUP(C63,Countries!$B$3:$C$140,2,FALSE)</f>
        <v>Europe</v>
      </c>
      <c r="E63" s="3" t="s">
        <v>50</v>
      </c>
      <c r="F63" s="3" t="str">
        <f>VLOOKUP(E63,Countries!$B$3:$C$140,2,FALSE)</f>
        <v>Europe</v>
      </c>
      <c r="G63" s="4">
        <v>2</v>
      </c>
      <c r="H63" s="4">
        <v>5448371.7758849999</v>
      </c>
    </row>
    <row r="64" spans="2:8" x14ac:dyDescent="0.2">
      <c r="B64" s="3" t="s">
        <v>140</v>
      </c>
      <c r="C64" s="3" t="s">
        <v>3</v>
      </c>
      <c r="D64" s="3" t="str">
        <f>VLOOKUP(C64,Countries!$B$3:$C$140,2,FALSE)</f>
        <v>Europe</v>
      </c>
      <c r="E64" s="3" t="s">
        <v>11</v>
      </c>
      <c r="F64" s="3" t="str">
        <f>VLOOKUP(E64,Countries!$B$3:$C$140,2,FALSE)</f>
        <v>Europe</v>
      </c>
      <c r="G64" s="4">
        <v>22</v>
      </c>
      <c r="H64" s="4">
        <v>4035830.9450999997</v>
      </c>
    </row>
    <row r="65" spans="2:8" x14ac:dyDescent="0.2">
      <c r="B65" s="3" t="s">
        <v>140</v>
      </c>
      <c r="C65" s="3" t="s">
        <v>3</v>
      </c>
      <c r="D65" s="3" t="str">
        <f>VLOOKUP(C65,Countries!$B$3:$C$140,2,FALSE)</f>
        <v>Europe</v>
      </c>
      <c r="E65" s="3" t="s">
        <v>39</v>
      </c>
      <c r="F65" s="3" t="str">
        <f>VLOOKUP(E65,Countries!$B$3:$C$140,2,FALSE)</f>
        <v>Europe/Asia</v>
      </c>
      <c r="G65" s="4">
        <v>2</v>
      </c>
      <c r="H65" s="4">
        <v>0</v>
      </c>
    </row>
    <row r="66" spans="2:8" x14ac:dyDescent="0.2">
      <c r="B66" s="3" t="s">
        <v>140</v>
      </c>
      <c r="C66" s="3" t="s">
        <v>3</v>
      </c>
      <c r="D66" s="3" t="str">
        <f>VLOOKUP(C66,Countries!$B$3:$C$140,2,FALSE)</f>
        <v>Europe</v>
      </c>
      <c r="E66" s="3" t="s">
        <v>13</v>
      </c>
      <c r="F66" s="3" t="str">
        <f>VLOOKUP(E66,Countries!$B$3:$C$140,2,FALSE)</f>
        <v>Europe</v>
      </c>
      <c r="G66" s="4">
        <v>30</v>
      </c>
      <c r="H66" s="4">
        <v>0</v>
      </c>
    </row>
    <row r="67" spans="2:8" x14ac:dyDescent="0.2">
      <c r="B67" s="3" t="s">
        <v>140</v>
      </c>
      <c r="C67" s="3" t="s">
        <v>3</v>
      </c>
      <c r="D67" s="3" t="str">
        <f>VLOOKUP(C67,Countries!$B$3:$C$140,2,FALSE)</f>
        <v>Europe</v>
      </c>
      <c r="E67" s="3" t="s">
        <v>14</v>
      </c>
      <c r="F67" s="3" t="str">
        <f>VLOOKUP(E67,Countries!$B$3:$C$140,2,FALSE)</f>
        <v>Europe</v>
      </c>
      <c r="G67" s="4">
        <v>2</v>
      </c>
      <c r="H67" s="4">
        <v>0</v>
      </c>
    </row>
    <row r="68" spans="2:8" x14ac:dyDescent="0.2">
      <c r="B68" s="3" t="s">
        <v>140</v>
      </c>
      <c r="C68" s="3" t="s">
        <v>3</v>
      </c>
      <c r="D68" s="3" t="str">
        <f>VLOOKUP(C68,Countries!$B$3:$C$140,2,FALSE)</f>
        <v>Europe</v>
      </c>
      <c r="E68" s="3" t="s">
        <v>15</v>
      </c>
      <c r="F68" s="3" t="str">
        <f>VLOOKUP(E68,Countries!$B$3:$C$140,2,FALSE)</f>
        <v>Europe</v>
      </c>
      <c r="G68" s="4">
        <v>8</v>
      </c>
      <c r="H68" s="4">
        <v>0</v>
      </c>
    </row>
    <row r="69" spans="2:8" x14ac:dyDescent="0.2">
      <c r="B69" s="3" t="s">
        <v>140</v>
      </c>
      <c r="C69" s="3" t="s">
        <v>3</v>
      </c>
      <c r="D69" s="3" t="str">
        <f>VLOOKUP(C69,Countries!$B$3:$C$140,2,FALSE)</f>
        <v>Europe</v>
      </c>
      <c r="E69" s="3" t="s">
        <v>51</v>
      </c>
      <c r="F69" s="3" t="str">
        <f>VLOOKUP(E69,Countries!$B$3:$C$140,2,FALSE)</f>
        <v>Asia</v>
      </c>
      <c r="G69" s="4">
        <v>2</v>
      </c>
      <c r="H69" s="4">
        <v>0</v>
      </c>
    </row>
    <row r="70" spans="2:8" x14ac:dyDescent="0.2">
      <c r="B70" s="3" t="s">
        <v>140</v>
      </c>
      <c r="C70" s="3" t="s">
        <v>3</v>
      </c>
      <c r="D70" s="3" t="str">
        <f>VLOOKUP(C70,Countries!$B$3:$C$140,2,FALSE)</f>
        <v>Europe</v>
      </c>
      <c r="E70" s="3" t="s">
        <v>17</v>
      </c>
      <c r="F70" s="3" t="str">
        <f>VLOOKUP(E70,Countries!$B$3:$C$140,2,FALSE)</f>
        <v>Europe</v>
      </c>
      <c r="G70" s="4">
        <v>2</v>
      </c>
      <c r="H70" s="4">
        <v>0</v>
      </c>
    </row>
    <row r="71" spans="2:8" x14ac:dyDescent="0.2">
      <c r="B71" s="3" t="s">
        <v>140</v>
      </c>
      <c r="C71" s="3" t="s">
        <v>3</v>
      </c>
      <c r="D71" s="3" t="str">
        <f>VLOOKUP(C71,Countries!$B$3:$C$140,2,FALSE)</f>
        <v>Europe</v>
      </c>
      <c r="E71" s="3" t="s">
        <v>52</v>
      </c>
      <c r="F71" s="3" t="str">
        <f>VLOOKUP(E71,Countries!$B$3:$C$140,2,FALSE)</f>
        <v>Europe</v>
      </c>
      <c r="G71" s="4">
        <v>2</v>
      </c>
      <c r="H71" s="4">
        <v>0</v>
      </c>
    </row>
    <row r="72" spans="2:8" x14ac:dyDescent="0.2">
      <c r="B72" s="3" t="s">
        <v>140</v>
      </c>
      <c r="C72" s="3" t="s">
        <v>3</v>
      </c>
      <c r="D72" s="3" t="str">
        <f>VLOOKUP(C72,Countries!$B$3:$C$140,2,FALSE)</f>
        <v>Europe</v>
      </c>
      <c r="E72" s="3" t="s">
        <v>23</v>
      </c>
      <c r="F72" s="3" t="str">
        <f>VLOOKUP(E72,Countries!$B$3:$C$140,2,FALSE)</f>
        <v>Europe</v>
      </c>
      <c r="G72" s="4">
        <v>2</v>
      </c>
      <c r="H72" s="4">
        <v>0</v>
      </c>
    </row>
    <row r="73" spans="2:8" x14ac:dyDescent="0.2">
      <c r="B73" s="3" t="s">
        <v>140</v>
      </c>
      <c r="C73" s="3" t="s">
        <v>3</v>
      </c>
      <c r="D73" s="3" t="str">
        <f>VLOOKUP(C73,Countries!$B$3:$C$140,2,FALSE)</f>
        <v>Europe</v>
      </c>
      <c r="E73" s="3" t="s">
        <v>53</v>
      </c>
      <c r="F73" s="3" t="str">
        <f>VLOOKUP(E73,Countries!$B$3:$C$140,2,FALSE)</f>
        <v>Europe</v>
      </c>
      <c r="G73" s="4">
        <v>10</v>
      </c>
      <c r="H73" s="4">
        <v>403583.09450999997</v>
      </c>
    </row>
    <row r="74" spans="2:8" x14ac:dyDescent="0.2">
      <c r="B74" s="3" t="s">
        <v>140</v>
      </c>
      <c r="C74" s="3" t="s">
        <v>3</v>
      </c>
      <c r="D74" s="3" t="str">
        <f>VLOOKUP(C74,Countries!$B$3:$C$140,2,FALSE)</f>
        <v>Europe</v>
      </c>
      <c r="E74" s="3" t="s">
        <v>54</v>
      </c>
      <c r="F74" s="3" t="str">
        <f>VLOOKUP(E74,Countries!$B$3:$C$140,2,FALSE)</f>
        <v>Europe</v>
      </c>
      <c r="G74" s="4">
        <v>4</v>
      </c>
      <c r="H74" s="4">
        <v>0</v>
      </c>
    </row>
    <row r="75" spans="2:8" x14ac:dyDescent="0.2">
      <c r="B75" s="3" t="s">
        <v>140</v>
      </c>
      <c r="C75" s="3" t="s">
        <v>3</v>
      </c>
      <c r="D75" s="3" t="str">
        <f>VLOOKUP(C75,Countries!$B$3:$C$140,2,FALSE)</f>
        <v>Europe</v>
      </c>
      <c r="E75" s="3" t="s">
        <v>25</v>
      </c>
      <c r="F75" s="3" t="str">
        <f>VLOOKUP(E75,Countries!$B$3:$C$140,2,FALSE)</f>
        <v>Europe</v>
      </c>
      <c r="G75" s="4">
        <v>2</v>
      </c>
      <c r="H75" s="4">
        <v>0</v>
      </c>
    </row>
    <row r="76" spans="2:8" x14ac:dyDescent="0.2">
      <c r="B76" s="3" t="s">
        <v>140</v>
      </c>
      <c r="C76" s="3" t="s">
        <v>3</v>
      </c>
      <c r="D76" s="3" t="str">
        <f>VLOOKUP(C76,Countries!$B$3:$C$140,2,FALSE)</f>
        <v>Europe</v>
      </c>
      <c r="E76" s="3" t="s">
        <v>55</v>
      </c>
      <c r="F76" s="3" t="str">
        <f>VLOOKUP(E76,Countries!$B$3:$C$140,2,FALSE)</f>
        <v>Europe</v>
      </c>
      <c r="G76" s="4">
        <v>2</v>
      </c>
      <c r="H76" s="4">
        <v>0</v>
      </c>
    </row>
    <row r="77" spans="2:8" x14ac:dyDescent="0.2">
      <c r="B77" s="3" t="s">
        <v>140</v>
      </c>
      <c r="C77" s="3" t="s">
        <v>3</v>
      </c>
      <c r="D77" s="3" t="str">
        <f>VLOOKUP(C77,Countries!$B$3:$C$140,2,FALSE)</f>
        <v>Europe</v>
      </c>
      <c r="E77" s="3" t="s">
        <v>28</v>
      </c>
      <c r="F77" s="3" t="str">
        <f>VLOOKUP(E77,Countries!$B$3:$C$140,2,FALSE)</f>
        <v>Europe</v>
      </c>
      <c r="G77" s="4">
        <v>2</v>
      </c>
      <c r="H77" s="4">
        <v>0</v>
      </c>
    </row>
    <row r="78" spans="2:8" x14ac:dyDescent="0.2">
      <c r="B78" s="3" t="s">
        <v>140</v>
      </c>
      <c r="C78" s="3" t="s">
        <v>3</v>
      </c>
      <c r="D78" s="3" t="str">
        <f>VLOOKUP(C78,Countries!$B$3:$C$140,2,FALSE)</f>
        <v>Europe</v>
      </c>
      <c r="E78" s="3" t="s">
        <v>29</v>
      </c>
      <c r="F78" s="3" t="str">
        <f>VLOOKUP(E78,Countries!$B$3:$C$140,2,FALSE)</f>
        <v>Europe</v>
      </c>
      <c r="G78" s="4">
        <v>8</v>
      </c>
      <c r="H78" s="4">
        <v>282508.166157</v>
      </c>
    </row>
    <row r="79" spans="2:8" x14ac:dyDescent="0.2">
      <c r="B79" s="3" t="s">
        <v>140</v>
      </c>
      <c r="C79" s="3" t="s">
        <v>3</v>
      </c>
      <c r="D79" s="3" t="str">
        <f>VLOOKUP(C79,Countries!$B$3:$C$140,2,FALSE)</f>
        <v>Europe</v>
      </c>
      <c r="E79" s="3" t="s">
        <v>56</v>
      </c>
      <c r="F79" s="3" t="str">
        <f>VLOOKUP(E79,Countries!$B$3:$C$140,2,FALSE)</f>
        <v>Europe</v>
      </c>
      <c r="G79" s="4">
        <v>8</v>
      </c>
      <c r="H79" s="4">
        <v>0</v>
      </c>
    </row>
    <row r="80" spans="2:8" x14ac:dyDescent="0.2">
      <c r="B80" s="3" t="s">
        <v>140</v>
      </c>
      <c r="C80" s="3" t="s">
        <v>3</v>
      </c>
      <c r="D80" s="3" t="str">
        <f>VLOOKUP(C80,Countries!$B$3:$C$140,2,FALSE)</f>
        <v>Europe</v>
      </c>
      <c r="E80" s="3" t="s">
        <v>30</v>
      </c>
      <c r="F80" s="3" t="str">
        <f>VLOOKUP(E80,Countries!$B$3:$C$140,2,FALSE)</f>
        <v>Europe</v>
      </c>
      <c r="G80" s="4">
        <v>2</v>
      </c>
      <c r="H80" s="4">
        <v>0</v>
      </c>
    </row>
    <row r="81" spans="2:8" x14ac:dyDescent="0.2">
      <c r="B81" s="3" t="s">
        <v>140</v>
      </c>
      <c r="C81" s="3" t="s">
        <v>3</v>
      </c>
      <c r="D81" s="3" t="str">
        <f>VLOOKUP(C81,Countries!$B$3:$C$140,2,FALSE)</f>
        <v>Europe</v>
      </c>
      <c r="E81" s="3" t="s">
        <v>57</v>
      </c>
      <c r="F81" s="3" t="str">
        <f>VLOOKUP(E81,Countries!$B$3:$C$140,2,FALSE)</f>
        <v>Europe/Asia</v>
      </c>
      <c r="G81" s="4">
        <v>2</v>
      </c>
      <c r="H81" s="4">
        <v>0</v>
      </c>
    </row>
    <row r="82" spans="2:8" x14ac:dyDescent="0.2">
      <c r="B82" s="3" t="s">
        <v>140</v>
      </c>
      <c r="C82" s="3" t="s">
        <v>3</v>
      </c>
      <c r="D82" s="3" t="str">
        <f>VLOOKUP(C82,Countries!$B$3:$C$140,2,FALSE)</f>
        <v>Europe</v>
      </c>
      <c r="E82" s="3" t="s">
        <v>58</v>
      </c>
      <c r="F82" s="3" t="str">
        <f>VLOOKUP(E82,Countries!$B$3:$C$140,2,FALSE)</f>
        <v>South America</v>
      </c>
      <c r="G82" s="4">
        <v>2</v>
      </c>
      <c r="H82" s="4">
        <v>0</v>
      </c>
    </row>
    <row r="83" spans="2:8" x14ac:dyDescent="0.2">
      <c r="B83" s="3" t="s">
        <v>140</v>
      </c>
      <c r="C83" s="3" t="s">
        <v>3</v>
      </c>
      <c r="D83" s="3" t="str">
        <f>VLOOKUP(C83,Countries!$B$3:$C$140,2,FALSE)</f>
        <v>Europe</v>
      </c>
      <c r="E83" s="3" t="s">
        <v>33</v>
      </c>
      <c r="F83" s="3" t="str">
        <f>VLOOKUP(E83,Countries!$B$3:$C$140,2,FALSE)</f>
        <v>North America</v>
      </c>
      <c r="G83" s="4">
        <v>2</v>
      </c>
      <c r="H83" s="4">
        <v>0</v>
      </c>
    </row>
    <row r="84" spans="2:8" x14ac:dyDescent="0.2">
      <c r="B84" s="3" t="s">
        <v>140</v>
      </c>
      <c r="C84" s="3" t="s">
        <v>4</v>
      </c>
      <c r="D84" s="3" t="str">
        <f>VLOOKUP(C84,Countries!$B$3:$C$140,2,FALSE)</f>
        <v>Asia</v>
      </c>
      <c r="E84" s="3" t="s">
        <v>3</v>
      </c>
      <c r="F84" s="3" t="str">
        <f>VLOOKUP(E84,Countries!$B$3:$C$140,2,FALSE)</f>
        <v>Europe</v>
      </c>
      <c r="G84" s="4">
        <v>2</v>
      </c>
      <c r="H84" s="4">
        <v>0</v>
      </c>
    </row>
    <row r="85" spans="2:8" x14ac:dyDescent="0.2">
      <c r="B85" s="3" t="s">
        <v>140</v>
      </c>
      <c r="C85" s="3" t="s">
        <v>4</v>
      </c>
      <c r="D85" s="3" t="str">
        <f>VLOOKUP(C85,Countries!$B$3:$C$140,2,FALSE)</f>
        <v>Asia</v>
      </c>
      <c r="E85" s="3" t="s">
        <v>35</v>
      </c>
      <c r="F85" s="3" t="str">
        <f>VLOOKUP(E85,Countries!$B$3:$C$140,2,FALSE)</f>
        <v>Europe</v>
      </c>
      <c r="G85" s="4">
        <v>2</v>
      </c>
      <c r="H85" s="4">
        <v>0</v>
      </c>
    </row>
    <row r="86" spans="2:8" x14ac:dyDescent="0.2">
      <c r="B86" s="3" t="s">
        <v>140</v>
      </c>
      <c r="C86" s="3" t="s">
        <v>4</v>
      </c>
      <c r="D86" s="3" t="str">
        <f>VLOOKUP(C86,Countries!$B$3:$C$140,2,FALSE)</f>
        <v>Asia</v>
      </c>
      <c r="E86" s="3" t="s">
        <v>6</v>
      </c>
      <c r="F86" s="3" t="str">
        <f>VLOOKUP(E86,Countries!$B$3:$C$140,2,FALSE)</f>
        <v>Europe</v>
      </c>
      <c r="G86" s="4">
        <v>6</v>
      </c>
      <c r="H86" s="4">
        <v>0</v>
      </c>
    </row>
    <row r="87" spans="2:8" x14ac:dyDescent="0.2">
      <c r="B87" s="3" t="s">
        <v>140</v>
      </c>
      <c r="C87" s="3" t="s">
        <v>4</v>
      </c>
      <c r="D87" s="3" t="str">
        <f>VLOOKUP(C87,Countries!$B$3:$C$140,2,FALSE)</f>
        <v>Asia</v>
      </c>
      <c r="E87" s="3" t="s">
        <v>59</v>
      </c>
      <c r="F87" s="3" t="str">
        <f>VLOOKUP(E87,Countries!$B$3:$C$140,2,FALSE)</f>
        <v>Europe</v>
      </c>
      <c r="G87" s="4">
        <v>4</v>
      </c>
      <c r="H87" s="4">
        <v>0</v>
      </c>
    </row>
    <row r="88" spans="2:8" x14ac:dyDescent="0.2">
      <c r="B88" s="3" t="s">
        <v>140</v>
      </c>
      <c r="C88" s="3" t="s">
        <v>4</v>
      </c>
      <c r="D88" s="3" t="str">
        <f>VLOOKUP(C88,Countries!$B$3:$C$140,2,FALSE)</f>
        <v>Asia</v>
      </c>
      <c r="E88" s="3" t="s">
        <v>60</v>
      </c>
      <c r="F88" s="3" t="str">
        <f>VLOOKUP(E88,Countries!$B$3:$C$140,2,FALSE)</f>
        <v>South America</v>
      </c>
      <c r="G88" s="4">
        <v>2</v>
      </c>
      <c r="H88" s="4">
        <v>0</v>
      </c>
    </row>
    <row r="89" spans="2:8" x14ac:dyDescent="0.2">
      <c r="B89" s="3" t="s">
        <v>140</v>
      </c>
      <c r="C89" s="3" t="s">
        <v>4</v>
      </c>
      <c r="D89" s="3" t="str">
        <f>VLOOKUP(C89,Countries!$B$3:$C$140,2,FALSE)</f>
        <v>Asia</v>
      </c>
      <c r="E89" s="3" t="s">
        <v>7</v>
      </c>
      <c r="F89" s="3" t="str">
        <f>VLOOKUP(E89,Countries!$B$3:$C$140,2,FALSE)</f>
        <v>South America</v>
      </c>
      <c r="G89" s="4">
        <v>2</v>
      </c>
      <c r="H89" s="4">
        <v>0</v>
      </c>
    </row>
    <row r="90" spans="2:8" x14ac:dyDescent="0.2">
      <c r="B90" s="3" t="s">
        <v>140</v>
      </c>
      <c r="C90" s="3" t="s">
        <v>4</v>
      </c>
      <c r="D90" s="3" t="str">
        <f>VLOOKUP(C90,Countries!$B$3:$C$140,2,FALSE)</f>
        <v>Asia</v>
      </c>
      <c r="E90" s="3" t="s">
        <v>36</v>
      </c>
      <c r="F90" s="3" t="str">
        <f>VLOOKUP(E90,Countries!$B$3:$C$140,2,FALSE)</f>
        <v>Europe</v>
      </c>
      <c r="G90" s="4">
        <v>2</v>
      </c>
      <c r="H90" s="4">
        <v>0</v>
      </c>
    </row>
    <row r="91" spans="2:8" x14ac:dyDescent="0.2">
      <c r="B91" s="3" t="s">
        <v>140</v>
      </c>
      <c r="C91" s="3" t="s">
        <v>4</v>
      </c>
      <c r="D91" s="3" t="str">
        <f>VLOOKUP(C91,Countries!$B$3:$C$140,2,FALSE)</f>
        <v>Asia</v>
      </c>
      <c r="E91" s="3" t="s">
        <v>61</v>
      </c>
      <c r="F91" s="3" t="str">
        <f>VLOOKUP(E91,Countries!$B$3:$C$140,2,FALSE)</f>
        <v>North America</v>
      </c>
      <c r="G91" s="4">
        <v>2</v>
      </c>
      <c r="H91" s="4">
        <v>0</v>
      </c>
    </row>
    <row r="92" spans="2:8" x14ac:dyDescent="0.2">
      <c r="B92" s="3" t="s">
        <v>140</v>
      </c>
      <c r="C92" s="3" t="s">
        <v>4</v>
      </c>
      <c r="D92" s="3" t="str">
        <f>VLOOKUP(C92,Countries!$B$3:$C$140,2,FALSE)</f>
        <v>Asia</v>
      </c>
      <c r="E92" s="3" t="s">
        <v>9</v>
      </c>
      <c r="F92" s="3" t="str">
        <f>VLOOKUP(E92,Countries!$B$3:$C$140,2,FALSE)</f>
        <v>Europe</v>
      </c>
      <c r="G92" s="4">
        <v>6</v>
      </c>
      <c r="H92" s="4">
        <v>0</v>
      </c>
    </row>
    <row r="93" spans="2:8" x14ac:dyDescent="0.2">
      <c r="B93" s="3" t="s">
        <v>140</v>
      </c>
      <c r="C93" s="3" t="s">
        <v>4</v>
      </c>
      <c r="D93" s="3" t="str">
        <f>VLOOKUP(C93,Countries!$B$3:$C$140,2,FALSE)</f>
        <v>Asia</v>
      </c>
      <c r="E93" s="3" t="s">
        <v>62</v>
      </c>
      <c r="F93" s="3" t="str">
        <f>VLOOKUP(E93,Countries!$B$3:$C$140,2,FALSE)</f>
        <v>Asia</v>
      </c>
      <c r="G93" s="4">
        <v>8</v>
      </c>
      <c r="H93" s="4">
        <v>0</v>
      </c>
    </row>
    <row r="94" spans="2:8" x14ac:dyDescent="0.2">
      <c r="B94" s="3" t="s">
        <v>140</v>
      </c>
      <c r="C94" s="3" t="s">
        <v>4</v>
      </c>
      <c r="D94" s="3" t="str">
        <f>VLOOKUP(C94,Countries!$B$3:$C$140,2,FALSE)</f>
        <v>Asia</v>
      </c>
      <c r="E94" s="3" t="s">
        <v>63</v>
      </c>
      <c r="F94" s="3" t="str">
        <f>VLOOKUP(E94,Countries!$B$3:$C$140,2,FALSE)</f>
        <v>Africa</v>
      </c>
      <c r="G94" s="4">
        <v>6</v>
      </c>
      <c r="H94" s="4">
        <v>0</v>
      </c>
    </row>
    <row r="95" spans="2:8" x14ac:dyDescent="0.2">
      <c r="B95" s="3" t="s">
        <v>140</v>
      </c>
      <c r="C95" s="3" t="s">
        <v>4</v>
      </c>
      <c r="D95" s="3" t="str">
        <f>VLOOKUP(C95,Countries!$B$3:$C$140,2,FALSE)</f>
        <v>Asia</v>
      </c>
      <c r="E95" s="3" t="s">
        <v>11</v>
      </c>
      <c r="F95" s="3" t="str">
        <f>VLOOKUP(E95,Countries!$B$3:$C$140,2,FALSE)</f>
        <v>Europe</v>
      </c>
      <c r="G95" s="4">
        <v>4</v>
      </c>
      <c r="H95" s="4">
        <v>0</v>
      </c>
    </row>
    <row r="96" spans="2:8" x14ac:dyDescent="0.2">
      <c r="B96" s="3" t="s">
        <v>140</v>
      </c>
      <c r="C96" s="3" t="s">
        <v>4</v>
      </c>
      <c r="D96" s="3" t="str">
        <f>VLOOKUP(C96,Countries!$B$3:$C$140,2,FALSE)</f>
        <v>Asia</v>
      </c>
      <c r="E96" s="3" t="s">
        <v>38</v>
      </c>
      <c r="F96" s="3" t="str">
        <f>VLOOKUP(E96,Countries!$B$3:$C$140,2,FALSE)</f>
        <v>Europe</v>
      </c>
      <c r="G96" s="4">
        <v>2</v>
      </c>
      <c r="H96" s="4">
        <v>0</v>
      </c>
    </row>
    <row r="97" spans="2:8" x14ac:dyDescent="0.2">
      <c r="B97" s="3" t="s">
        <v>140</v>
      </c>
      <c r="C97" s="3" t="s">
        <v>4</v>
      </c>
      <c r="D97" s="3" t="str">
        <f>VLOOKUP(C97,Countries!$B$3:$C$140,2,FALSE)</f>
        <v>Asia</v>
      </c>
      <c r="E97" s="3" t="s">
        <v>12</v>
      </c>
      <c r="F97" s="3" t="str">
        <f>VLOOKUP(E97,Countries!$B$3:$C$140,2,FALSE)</f>
        <v>Europe</v>
      </c>
      <c r="G97" s="4">
        <v>2</v>
      </c>
      <c r="H97" s="4">
        <v>0</v>
      </c>
    </row>
    <row r="98" spans="2:8" x14ac:dyDescent="0.2">
      <c r="B98" s="3" t="s">
        <v>140</v>
      </c>
      <c r="C98" s="3" t="s">
        <v>4</v>
      </c>
      <c r="D98" s="3" t="str">
        <f>VLOOKUP(C98,Countries!$B$3:$C$140,2,FALSE)</f>
        <v>Asia</v>
      </c>
      <c r="E98" s="3" t="s">
        <v>39</v>
      </c>
      <c r="F98" s="3" t="str">
        <f>VLOOKUP(E98,Countries!$B$3:$C$140,2,FALSE)</f>
        <v>Europe/Asia</v>
      </c>
      <c r="G98" s="4">
        <v>6</v>
      </c>
      <c r="H98" s="4">
        <v>0</v>
      </c>
    </row>
    <row r="99" spans="2:8" x14ac:dyDescent="0.2">
      <c r="B99" s="3" t="s">
        <v>140</v>
      </c>
      <c r="C99" s="3" t="s">
        <v>4</v>
      </c>
      <c r="D99" s="3" t="str">
        <f>VLOOKUP(C99,Countries!$B$3:$C$140,2,FALSE)</f>
        <v>Asia</v>
      </c>
      <c r="E99" s="3" t="s">
        <v>13</v>
      </c>
      <c r="F99" s="3" t="str">
        <f>VLOOKUP(E99,Countries!$B$3:$C$140,2,FALSE)</f>
        <v>Europe</v>
      </c>
      <c r="G99" s="4">
        <v>2</v>
      </c>
      <c r="H99" s="4">
        <v>0</v>
      </c>
    </row>
    <row r="100" spans="2:8" x14ac:dyDescent="0.2">
      <c r="B100" s="3" t="s">
        <v>140</v>
      </c>
      <c r="C100" s="3" t="s">
        <v>4</v>
      </c>
      <c r="D100" s="3" t="str">
        <f>VLOOKUP(C100,Countries!$B$3:$C$140,2,FALSE)</f>
        <v>Asia</v>
      </c>
      <c r="E100" s="3" t="s">
        <v>64</v>
      </c>
      <c r="F100" s="3" t="str">
        <f>VLOOKUP(E100,Countries!$B$3:$C$140,2,FALSE)</f>
        <v>Africa</v>
      </c>
      <c r="G100" s="4">
        <v>2</v>
      </c>
      <c r="H100" s="4">
        <v>0</v>
      </c>
    </row>
    <row r="101" spans="2:8" x14ac:dyDescent="0.2">
      <c r="B101" s="3" t="s">
        <v>140</v>
      </c>
      <c r="C101" s="3" t="s">
        <v>4</v>
      </c>
      <c r="D101" s="3" t="str">
        <f>VLOOKUP(C101,Countries!$B$3:$C$140,2,FALSE)</f>
        <v>Asia</v>
      </c>
      <c r="E101" s="3" t="s">
        <v>14</v>
      </c>
      <c r="F101" s="3" t="str">
        <f>VLOOKUP(E101,Countries!$B$3:$C$140,2,FALSE)</f>
        <v>Europe</v>
      </c>
      <c r="G101" s="4">
        <v>4</v>
      </c>
      <c r="H101" s="4">
        <v>0</v>
      </c>
    </row>
    <row r="102" spans="2:8" x14ac:dyDescent="0.2">
      <c r="B102" s="3" t="s">
        <v>140</v>
      </c>
      <c r="C102" s="3" t="s">
        <v>4</v>
      </c>
      <c r="D102" s="3" t="str">
        <f>VLOOKUP(C102,Countries!$B$3:$C$140,2,FALSE)</f>
        <v>Asia</v>
      </c>
      <c r="E102" s="3" t="s">
        <v>65</v>
      </c>
      <c r="F102" s="3" t="str">
        <f>VLOOKUP(E102,Countries!$B$3:$C$140,2,FALSE)</f>
        <v>Asia</v>
      </c>
      <c r="G102" s="4">
        <v>2</v>
      </c>
      <c r="H102" s="4">
        <v>0</v>
      </c>
    </row>
    <row r="103" spans="2:8" x14ac:dyDescent="0.2">
      <c r="B103" s="3" t="s">
        <v>140</v>
      </c>
      <c r="C103" s="3" t="s">
        <v>4</v>
      </c>
      <c r="D103" s="3" t="str">
        <f>VLOOKUP(C103,Countries!$B$3:$C$140,2,FALSE)</f>
        <v>Asia</v>
      </c>
      <c r="E103" s="3" t="s">
        <v>16</v>
      </c>
      <c r="F103" s="3" t="str">
        <f>VLOOKUP(E103,Countries!$B$3:$C$140,2,FALSE)</f>
        <v>Asia</v>
      </c>
      <c r="G103" s="4">
        <v>4</v>
      </c>
      <c r="H103" s="4">
        <v>0</v>
      </c>
    </row>
    <row r="104" spans="2:8" x14ac:dyDescent="0.2">
      <c r="B104" s="3" t="s">
        <v>140</v>
      </c>
      <c r="C104" s="3" t="s">
        <v>4</v>
      </c>
      <c r="D104" s="3" t="str">
        <f>VLOOKUP(C104,Countries!$B$3:$C$140,2,FALSE)</f>
        <v>Asia</v>
      </c>
      <c r="E104" s="3" t="s">
        <v>40</v>
      </c>
      <c r="F104" s="3" t="str">
        <f>VLOOKUP(E104,Countries!$B$3:$C$140,2,FALSE)</f>
        <v>Asia</v>
      </c>
      <c r="G104" s="4">
        <v>4</v>
      </c>
      <c r="H104" s="4">
        <v>0</v>
      </c>
    </row>
    <row r="105" spans="2:8" x14ac:dyDescent="0.2">
      <c r="B105" s="3" t="s">
        <v>140</v>
      </c>
      <c r="C105" s="3" t="s">
        <v>4</v>
      </c>
      <c r="D105" s="3" t="str">
        <f>VLOOKUP(C105,Countries!$B$3:$C$140,2,FALSE)</f>
        <v>Asia</v>
      </c>
      <c r="E105" s="3" t="s">
        <v>19</v>
      </c>
      <c r="F105" s="3" t="str">
        <f>VLOOKUP(E105,Countries!$B$3:$C$140,2,FALSE)</f>
        <v>Asia</v>
      </c>
      <c r="G105" s="4">
        <v>2</v>
      </c>
      <c r="H105" s="4">
        <v>0</v>
      </c>
    </row>
    <row r="106" spans="2:8" x14ac:dyDescent="0.2">
      <c r="B106" s="3" t="s">
        <v>140</v>
      </c>
      <c r="C106" s="3" t="s">
        <v>4</v>
      </c>
      <c r="D106" s="3" t="str">
        <f>VLOOKUP(C106,Countries!$B$3:$C$140,2,FALSE)</f>
        <v>Asia</v>
      </c>
      <c r="E106" s="3" t="s">
        <v>66</v>
      </c>
      <c r="F106" s="3" t="str">
        <f>VLOOKUP(E106,Countries!$B$3:$C$140,2,FALSE)</f>
        <v>Europe</v>
      </c>
      <c r="G106" s="4">
        <v>2</v>
      </c>
      <c r="H106" s="4">
        <v>0</v>
      </c>
    </row>
    <row r="107" spans="2:8" x14ac:dyDescent="0.2">
      <c r="B107" s="3" t="s">
        <v>140</v>
      </c>
      <c r="C107" s="3" t="s">
        <v>4</v>
      </c>
      <c r="D107" s="3" t="str">
        <f>VLOOKUP(C107,Countries!$B$3:$C$140,2,FALSE)</f>
        <v>Asia</v>
      </c>
      <c r="E107" s="3" t="s">
        <v>52</v>
      </c>
      <c r="F107" s="3" t="str">
        <f>VLOOKUP(E107,Countries!$B$3:$C$140,2,FALSE)</f>
        <v>Europe</v>
      </c>
      <c r="G107" s="4">
        <v>2</v>
      </c>
      <c r="H107" s="4">
        <v>0</v>
      </c>
    </row>
    <row r="108" spans="2:8" x14ac:dyDescent="0.2">
      <c r="B108" s="3" t="s">
        <v>140</v>
      </c>
      <c r="C108" s="3" t="s">
        <v>4</v>
      </c>
      <c r="D108" s="3" t="str">
        <f>VLOOKUP(C108,Countries!$B$3:$C$140,2,FALSE)</f>
        <v>Asia</v>
      </c>
      <c r="E108" s="3" t="s">
        <v>43</v>
      </c>
      <c r="F108" s="3" t="str">
        <f>VLOOKUP(E108,Countries!$B$3:$C$140,2,FALSE)</f>
        <v>Europe</v>
      </c>
      <c r="G108" s="4">
        <v>6</v>
      </c>
      <c r="H108" s="4">
        <v>150000</v>
      </c>
    </row>
    <row r="109" spans="2:8" x14ac:dyDescent="0.2">
      <c r="B109" s="3" t="s">
        <v>140</v>
      </c>
      <c r="C109" s="3" t="s">
        <v>4</v>
      </c>
      <c r="D109" s="3" t="str">
        <f>VLOOKUP(C109,Countries!$B$3:$C$140,2,FALSE)</f>
        <v>Asia</v>
      </c>
      <c r="E109" s="3" t="s">
        <v>21</v>
      </c>
      <c r="F109" s="3" t="str">
        <f>VLOOKUP(E109,Countries!$B$3:$C$140,2,FALSE)</f>
        <v>Europe</v>
      </c>
      <c r="G109" s="4">
        <v>2</v>
      </c>
      <c r="H109" s="4">
        <v>0</v>
      </c>
    </row>
    <row r="110" spans="2:8" x14ac:dyDescent="0.2">
      <c r="B110" s="3" t="s">
        <v>140</v>
      </c>
      <c r="C110" s="3" t="s">
        <v>4</v>
      </c>
      <c r="D110" s="3" t="str">
        <f>VLOOKUP(C110,Countries!$B$3:$C$140,2,FALSE)</f>
        <v>Asia</v>
      </c>
      <c r="E110" s="3" t="s">
        <v>67</v>
      </c>
      <c r="F110" s="3" t="str">
        <f>VLOOKUP(E110,Countries!$B$3:$C$140,2,FALSE)</f>
        <v>Africa</v>
      </c>
      <c r="G110" s="4">
        <v>4</v>
      </c>
      <c r="H110" s="4">
        <v>0</v>
      </c>
    </row>
    <row r="111" spans="2:8" x14ac:dyDescent="0.2">
      <c r="B111" s="3" t="s">
        <v>140</v>
      </c>
      <c r="C111" s="3" t="s">
        <v>4</v>
      </c>
      <c r="D111" s="3" t="str">
        <f>VLOOKUP(C111,Countries!$B$3:$C$140,2,FALSE)</f>
        <v>Asia</v>
      </c>
      <c r="E111" s="3" t="s">
        <v>23</v>
      </c>
      <c r="F111" s="3" t="str">
        <f>VLOOKUP(E111,Countries!$B$3:$C$140,2,FALSE)</f>
        <v>Europe</v>
      </c>
      <c r="G111" s="4">
        <v>2</v>
      </c>
      <c r="H111" s="4">
        <v>0</v>
      </c>
    </row>
    <row r="112" spans="2:8" x14ac:dyDescent="0.2">
      <c r="B112" s="3" t="s">
        <v>140</v>
      </c>
      <c r="C112" s="3" t="s">
        <v>4</v>
      </c>
      <c r="D112" s="3" t="str">
        <f>VLOOKUP(C112,Countries!$B$3:$C$140,2,FALSE)</f>
        <v>Asia</v>
      </c>
      <c r="E112" s="3" t="s">
        <v>45</v>
      </c>
      <c r="F112" s="3" t="str">
        <f>VLOOKUP(E112,Countries!$B$3:$C$140,2,FALSE)</f>
        <v>Asia</v>
      </c>
      <c r="G112" s="4">
        <v>2</v>
      </c>
      <c r="H112" s="4">
        <v>0</v>
      </c>
    </row>
    <row r="113" spans="2:8" x14ac:dyDescent="0.2">
      <c r="B113" s="3" t="s">
        <v>140</v>
      </c>
      <c r="C113" s="3" t="s">
        <v>4</v>
      </c>
      <c r="D113" s="3" t="str">
        <f>VLOOKUP(C113,Countries!$B$3:$C$140,2,FALSE)</f>
        <v>Asia</v>
      </c>
      <c r="E113" s="3" t="s">
        <v>25</v>
      </c>
      <c r="F113" s="3" t="str">
        <f>VLOOKUP(E113,Countries!$B$3:$C$140,2,FALSE)</f>
        <v>Europe</v>
      </c>
      <c r="G113" s="4">
        <v>2</v>
      </c>
      <c r="H113" s="4">
        <v>0</v>
      </c>
    </row>
    <row r="114" spans="2:8" x14ac:dyDescent="0.2">
      <c r="B114" s="3" t="s">
        <v>140</v>
      </c>
      <c r="C114" s="3" t="s">
        <v>4</v>
      </c>
      <c r="D114" s="3" t="str">
        <f>VLOOKUP(C114,Countries!$B$3:$C$140,2,FALSE)</f>
        <v>Asia</v>
      </c>
      <c r="E114" s="3" t="s">
        <v>26</v>
      </c>
      <c r="F114" s="3" t="str">
        <f>VLOOKUP(E114,Countries!$B$3:$C$140,2,FALSE)</f>
        <v>Europe</v>
      </c>
      <c r="G114" s="4">
        <v>10</v>
      </c>
      <c r="H114" s="4">
        <v>510000</v>
      </c>
    </row>
    <row r="115" spans="2:8" x14ac:dyDescent="0.2">
      <c r="B115" s="3" t="s">
        <v>140</v>
      </c>
      <c r="C115" s="3" t="s">
        <v>4</v>
      </c>
      <c r="D115" s="3" t="str">
        <f>VLOOKUP(C115,Countries!$B$3:$C$140,2,FALSE)</f>
        <v>Asia</v>
      </c>
      <c r="E115" s="3" t="s">
        <v>46</v>
      </c>
      <c r="F115" s="3" t="str">
        <f>VLOOKUP(E115,Countries!$B$3:$C$140,2,FALSE)</f>
        <v>Europe/Asia</v>
      </c>
      <c r="G115" s="4">
        <v>20</v>
      </c>
      <c r="H115" s="4">
        <v>0</v>
      </c>
    </row>
    <row r="116" spans="2:8" x14ac:dyDescent="0.2">
      <c r="B116" s="3" t="s">
        <v>140</v>
      </c>
      <c r="C116" s="3" t="s">
        <v>4</v>
      </c>
      <c r="D116" s="3" t="str">
        <f>VLOOKUP(C116,Countries!$B$3:$C$140,2,FALSE)</f>
        <v>Asia</v>
      </c>
      <c r="E116" s="3" t="s">
        <v>55</v>
      </c>
      <c r="F116" s="3" t="str">
        <f>VLOOKUP(E116,Countries!$B$3:$C$140,2,FALSE)</f>
        <v>Europe</v>
      </c>
      <c r="G116" s="4">
        <v>2</v>
      </c>
      <c r="H116" s="4">
        <v>0</v>
      </c>
    </row>
    <row r="117" spans="2:8" x14ac:dyDescent="0.2">
      <c r="B117" s="3" t="s">
        <v>140</v>
      </c>
      <c r="C117" s="3" t="s">
        <v>4</v>
      </c>
      <c r="D117" s="3" t="str">
        <f>VLOOKUP(C117,Countries!$B$3:$C$140,2,FALSE)</f>
        <v>Asia</v>
      </c>
      <c r="E117" s="3" t="s">
        <v>28</v>
      </c>
      <c r="F117" s="3" t="str">
        <f>VLOOKUP(E117,Countries!$B$3:$C$140,2,FALSE)</f>
        <v>Europe</v>
      </c>
      <c r="G117" s="4">
        <v>8</v>
      </c>
      <c r="H117" s="4">
        <v>675000</v>
      </c>
    </row>
    <row r="118" spans="2:8" x14ac:dyDescent="0.2">
      <c r="B118" s="3" t="s">
        <v>140</v>
      </c>
      <c r="C118" s="3" t="s">
        <v>4</v>
      </c>
      <c r="D118" s="3" t="str">
        <f>VLOOKUP(C118,Countries!$B$3:$C$140,2,FALSE)</f>
        <v>Asia</v>
      </c>
      <c r="E118" s="3" t="s">
        <v>29</v>
      </c>
      <c r="F118" s="3" t="str">
        <f>VLOOKUP(E118,Countries!$B$3:$C$140,2,FALSE)</f>
        <v>Europe</v>
      </c>
      <c r="G118" s="4">
        <v>2</v>
      </c>
      <c r="H118" s="4">
        <v>0</v>
      </c>
    </row>
    <row r="119" spans="2:8" x14ac:dyDescent="0.2">
      <c r="B119" s="3" t="s">
        <v>140</v>
      </c>
      <c r="C119" s="3" t="s">
        <v>4</v>
      </c>
      <c r="D119" s="3" t="str">
        <f>VLOOKUP(C119,Countries!$B$3:$C$140,2,FALSE)</f>
        <v>Asia</v>
      </c>
      <c r="E119" s="3" t="s">
        <v>30</v>
      </c>
      <c r="F119" s="3" t="str">
        <f>VLOOKUP(E119,Countries!$B$3:$C$140,2,FALSE)</f>
        <v>Europe</v>
      </c>
      <c r="G119" s="4">
        <v>4</v>
      </c>
      <c r="H119" s="4">
        <v>150000</v>
      </c>
    </row>
    <row r="120" spans="2:8" x14ac:dyDescent="0.2">
      <c r="B120" s="3" t="s">
        <v>140</v>
      </c>
      <c r="C120" s="3" t="s">
        <v>4</v>
      </c>
      <c r="D120" s="3" t="str">
        <f>VLOOKUP(C120,Countries!$B$3:$C$140,2,FALSE)</f>
        <v>Asia</v>
      </c>
      <c r="E120" s="3" t="s">
        <v>31</v>
      </c>
      <c r="F120" s="3" t="str">
        <f>VLOOKUP(E120,Countries!$B$3:$C$140,2,FALSE)</f>
        <v>Europe</v>
      </c>
      <c r="G120" s="4">
        <v>2</v>
      </c>
      <c r="H120" s="4">
        <v>55500</v>
      </c>
    </row>
    <row r="121" spans="2:8" x14ac:dyDescent="0.2">
      <c r="B121" s="3" t="s">
        <v>140</v>
      </c>
      <c r="C121" s="3" t="s">
        <v>4</v>
      </c>
      <c r="D121" s="3" t="str">
        <f>VLOOKUP(C121,Countries!$B$3:$C$140,2,FALSE)</f>
        <v>Asia</v>
      </c>
      <c r="E121" s="3" t="s">
        <v>57</v>
      </c>
      <c r="F121" s="3" t="str">
        <f>VLOOKUP(E121,Countries!$B$3:$C$140,2,FALSE)</f>
        <v>Europe/Asia</v>
      </c>
      <c r="G121" s="4">
        <v>10</v>
      </c>
      <c r="H121" s="4">
        <v>0</v>
      </c>
    </row>
    <row r="122" spans="2:8" x14ac:dyDescent="0.2">
      <c r="B122" s="3" t="s">
        <v>140</v>
      </c>
      <c r="C122" s="3" t="s">
        <v>4</v>
      </c>
      <c r="D122" s="3" t="str">
        <f>VLOOKUP(C122,Countries!$B$3:$C$140,2,FALSE)</f>
        <v>Asia</v>
      </c>
      <c r="E122" s="3" t="s">
        <v>32</v>
      </c>
      <c r="F122" s="3" t="str">
        <f>VLOOKUP(E122,Countries!$B$3:$C$140,2,FALSE)</f>
        <v>Europe</v>
      </c>
      <c r="G122" s="4">
        <v>8</v>
      </c>
      <c r="H122" s="4">
        <v>0</v>
      </c>
    </row>
    <row r="123" spans="2:8" x14ac:dyDescent="0.2">
      <c r="B123" s="3" t="s">
        <v>140</v>
      </c>
      <c r="C123" s="3" t="s">
        <v>35</v>
      </c>
      <c r="D123" s="3" t="str">
        <f>VLOOKUP(C123,Countries!$B$3:$C$140,2,FALSE)</f>
        <v>Europe</v>
      </c>
      <c r="E123" s="3" t="s">
        <v>68</v>
      </c>
      <c r="F123" s="3" t="str">
        <f>VLOOKUP(E123,Countries!$B$3:$C$140,2,FALSE)</f>
        <v>Africa</v>
      </c>
      <c r="G123" s="4">
        <v>2</v>
      </c>
      <c r="H123" s="4">
        <v>0</v>
      </c>
    </row>
    <row r="124" spans="2:8" x14ac:dyDescent="0.2">
      <c r="B124" s="3" t="s">
        <v>140</v>
      </c>
      <c r="C124" s="3" t="s">
        <v>35</v>
      </c>
      <c r="D124" s="3" t="str">
        <f>VLOOKUP(C124,Countries!$B$3:$C$140,2,FALSE)</f>
        <v>Europe</v>
      </c>
      <c r="E124" s="3" t="s">
        <v>69</v>
      </c>
      <c r="F124" s="3" t="str">
        <f>VLOOKUP(E124,Countries!$B$3:$C$140,2,FALSE)</f>
        <v>South America</v>
      </c>
      <c r="G124" s="4">
        <v>2</v>
      </c>
      <c r="H124" s="4">
        <v>3430456.3033349998</v>
      </c>
    </row>
    <row r="125" spans="2:8" x14ac:dyDescent="0.2">
      <c r="B125" s="3" t="s">
        <v>140</v>
      </c>
      <c r="C125" s="3" t="s">
        <v>35</v>
      </c>
      <c r="D125" s="3" t="str">
        <f>VLOOKUP(C125,Countries!$B$3:$C$140,2,FALSE)</f>
        <v>Europe</v>
      </c>
      <c r="E125" s="3" t="s">
        <v>70</v>
      </c>
      <c r="F125" s="3" t="str">
        <f>VLOOKUP(E125,Countries!$B$3:$C$140,2,FALSE)</f>
        <v>Africa</v>
      </c>
      <c r="G125" s="4">
        <v>2</v>
      </c>
      <c r="H125" s="4">
        <v>0</v>
      </c>
    </row>
    <row r="126" spans="2:8" x14ac:dyDescent="0.2">
      <c r="B126" s="3" t="s">
        <v>140</v>
      </c>
      <c r="C126" s="3" t="s">
        <v>35</v>
      </c>
      <c r="D126" s="3" t="str">
        <f>VLOOKUP(C126,Countries!$B$3:$C$140,2,FALSE)</f>
        <v>Europe</v>
      </c>
      <c r="E126" s="3" t="s">
        <v>6</v>
      </c>
      <c r="F126" s="3" t="str">
        <f>VLOOKUP(E126,Countries!$B$3:$C$140,2,FALSE)</f>
        <v>Europe</v>
      </c>
      <c r="G126" s="4">
        <v>4</v>
      </c>
      <c r="H126" s="4">
        <v>0</v>
      </c>
    </row>
    <row r="127" spans="2:8" x14ac:dyDescent="0.2">
      <c r="B127" s="3" t="s">
        <v>140</v>
      </c>
      <c r="C127" s="3" t="s">
        <v>35</v>
      </c>
      <c r="D127" s="3" t="str">
        <f>VLOOKUP(C127,Countries!$B$3:$C$140,2,FALSE)</f>
        <v>Europe</v>
      </c>
      <c r="E127" s="3" t="s">
        <v>7</v>
      </c>
      <c r="F127" s="3" t="str">
        <f>VLOOKUP(E127,Countries!$B$3:$C$140,2,FALSE)</f>
        <v>South America</v>
      </c>
      <c r="G127" s="4">
        <v>16</v>
      </c>
      <c r="H127" s="4">
        <v>1493257.4496869999</v>
      </c>
    </row>
    <row r="128" spans="2:8" x14ac:dyDescent="0.2">
      <c r="B128" s="3" t="s">
        <v>140</v>
      </c>
      <c r="C128" s="3" t="s">
        <v>35</v>
      </c>
      <c r="D128" s="3" t="str">
        <f>VLOOKUP(C128,Countries!$B$3:$C$140,2,FALSE)</f>
        <v>Europe</v>
      </c>
      <c r="E128" s="3" t="s">
        <v>36</v>
      </c>
      <c r="F128" s="3" t="str">
        <f>VLOOKUP(E128,Countries!$B$3:$C$140,2,FALSE)</f>
        <v>Europe</v>
      </c>
      <c r="G128" s="4">
        <v>2</v>
      </c>
      <c r="H128" s="4">
        <v>0</v>
      </c>
    </row>
    <row r="129" spans="2:8" x14ac:dyDescent="0.2">
      <c r="B129" s="3" t="s">
        <v>140</v>
      </c>
      <c r="C129" s="3" t="s">
        <v>35</v>
      </c>
      <c r="D129" s="3" t="str">
        <f>VLOOKUP(C129,Countries!$B$3:$C$140,2,FALSE)</f>
        <v>Europe</v>
      </c>
      <c r="E129" s="3" t="s">
        <v>8</v>
      </c>
      <c r="F129" s="3" t="str">
        <f>VLOOKUP(E129,Countries!$B$3:$C$140,2,FALSE)</f>
        <v>North America</v>
      </c>
      <c r="G129" s="4">
        <v>2</v>
      </c>
      <c r="H129" s="4">
        <v>0</v>
      </c>
    </row>
    <row r="130" spans="2:8" x14ac:dyDescent="0.2">
      <c r="B130" s="3" t="s">
        <v>140</v>
      </c>
      <c r="C130" s="3" t="s">
        <v>35</v>
      </c>
      <c r="D130" s="3" t="str">
        <f>VLOOKUP(C130,Countries!$B$3:$C$140,2,FALSE)</f>
        <v>Europe</v>
      </c>
      <c r="E130" s="3" t="s">
        <v>71</v>
      </c>
      <c r="F130" s="3" t="str">
        <f>VLOOKUP(E130,Countries!$B$3:$C$140,2,FALSE)</f>
        <v>Africa</v>
      </c>
      <c r="G130" s="4">
        <v>4</v>
      </c>
      <c r="H130" s="4">
        <v>1008957.7362749999</v>
      </c>
    </row>
    <row r="131" spans="2:8" x14ac:dyDescent="0.2">
      <c r="B131" s="3" t="s">
        <v>140</v>
      </c>
      <c r="C131" s="3" t="s">
        <v>35</v>
      </c>
      <c r="D131" s="3" t="str">
        <f>VLOOKUP(C131,Countries!$B$3:$C$140,2,FALSE)</f>
        <v>Europe</v>
      </c>
      <c r="E131" s="3" t="s">
        <v>72</v>
      </c>
      <c r="F131" s="3" t="str">
        <f>VLOOKUP(E131,Countries!$B$3:$C$140,2,FALSE)</f>
        <v>South America</v>
      </c>
      <c r="G131" s="4">
        <v>4</v>
      </c>
      <c r="H131" s="4">
        <v>6750000</v>
      </c>
    </row>
    <row r="132" spans="2:8" x14ac:dyDescent="0.2">
      <c r="B132" s="3" t="s">
        <v>140</v>
      </c>
      <c r="C132" s="3" t="s">
        <v>35</v>
      </c>
      <c r="D132" s="3" t="str">
        <f>VLOOKUP(C132,Countries!$B$3:$C$140,2,FALSE)</f>
        <v>Europe</v>
      </c>
      <c r="E132" s="3" t="s">
        <v>9</v>
      </c>
      <c r="F132" s="3" t="str">
        <f>VLOOKUP(E132,Countries!$B$3:$C$140,2,FALSE)</f>
        <v>Europe</v>
      </c>
      <c r="G132" s="4">
        <v>4</v>
      </c>
      <c r="H132" s="4">
        <v>4035830.9450999997</v>
      </c>
    </row>
    <row r="133" spans="2:8" x14ac:dyDescent="0.2">
      <c r="B133" s="3" t="s">
        <v>140</v>
      </c>
      <c r="C133" s="3" t="s">
        <v>35</v>
      </c>
      <c r="D133" s="3" t="str">
        <f>VLOOKUP(C133,Countries!$B$3:$C$140,2,FALSE)</f>
        <v>Europe</v>
      </c>
      <c r="E133" s="3" t="s">
        <v>62</v>
      </c>
      <c r="F133" s="3" t="str">
        <f>VLOOKUP(E133,Countries!$B$3:$C$140,2,FALSE)</f>
        <v>Asia</v>
      </c>
      <c r="G133" s="4">
        <v>6</v>
      </c>
      <c r="H133" s="4">
        <v>0</v>
      </c>
    </row>
    <row r="134" spans="2:8" x14ac:dyDescent="0.2">
      <c r="B134" s="3" t="s">
        <v>140</v>
      </c>
      <c r="C134" s="3" t="s">
        <v>35</v>
      </c>
      <c r="D134" s="3" t="str">
        <f>VLOOKUP(C134,Countries!$B$3:$C$140,2,FALSE)</f>
        <v>Europe</v>
      </c>
      <c r="E134" s="3" t="s">
        <v>49</v>
      </c>
      <c r="F134" s="3" t="str">
        <f>VLOOKUP(E134,Countries!$B$3:$C$140,2,FALSE)</f>
        <v>Europe</v>
      </c>
      <c r="G134" s="4">
        <v>4</v>
      </c>
      <c r="H134" s="4">
        <v>821291.59732785006</v>
      </c>
    </row>
    <row r="135" spans="2:8" x14ac:dyDescent="0.2">
      <c r="B135" s="3" t="s">
        <v>140</v>
      </c>
      <c r="C135" s="3" t="s">
        <v>35</v>
      </c>
      <c r="D135" s="3" t="str">
        <f>VLOOKUP(C135,Countries!$B$3:$C$140,2,FALSE)</f>
        <v>Europe</v>
      </c>
      <c r="E135" s="3" t="s">
        <v>10</v>
      </c>
      <c r="F135" s="3" t="str">
        <f>VLOOKUP(E135,Countries!$B$3:$C$140,2,FALSE)</f>
        <v>Europe</v>
      </c>
      <c r="G135" s="4">
        <v>4</v>
      </c>
      <c r="H135" s="4">
        <v>847524.498471</v>
      </c>
    </row>
    <row r="136" spans="2:8" x14ac:dyDescent="0.2">
      <c r="B136" s="3" t="s">
        <v>140</v>
      </c>
      <c r="C136" s="3" t="s">
        <v>35</v>
      </c>
      <c r="D136" s="3" t="str">
        <f>VLOOKUP(C136,Countries!$B$3:$C$140,2,FALSE)</f>
        <v>Europe</v>
      </c>
      <c r="E136" s="3" t="s">
        <v>63</v>
      </c>
      <c r="F136" s="3" t="str">
        <f>VLOOKUP(E136,Countries!$B$3:$C$140,2,FALSE)</f>
        <v>Africa</v>
      </c>
      <c r="G136" s="4">
        <v>6</v>
      </c>
      <c r="H136" s="4">
        <v>0</v>
      </c>
    </row>
    <row r="137" spans="2:8" x14ac:dyDescent="0.2">
      <c r="B137" s="3" t="s">
        <v>140</v>
      </c>
      <c r="C137" s="3" t="s">
        <v>35</v>
      </c>
      <c r="D137" s="3" t="str">
        <f>VLOOKUP(C137,Countries!$B$3:$C$140,2,FALSE)</f>
        <v>Europe</v>
      </c>
      <c r="E137" s="3" t="s">
        <v>50</v>
      </c>
      <c r="F137" s="3" t="str">
        <f>VLOOKUP(E137,Countries!$B$3:$C$140,2,FALSE)</f>
        <v>Europe</v>
      </c>
      <c r="G137" s="4">
        <v>22</v>
      </c>
      <c r="H137" s="4">
        <v>2219707.0198050002</v>
      </c>
    </row>
    <row r="138" spans="2:8" x14ac:dyDescent="0.2">
      <c r="B138" s="3" t="s">
        <v>140</v>
      </c>
      <c r="C138" s="3" t="s">
        <v>35</v>
      </c>
      <c r="D138" s="3" t="str">
        <f>VLOOKUP(C138,Countries!$B$3:$C$140,2,FALSE)</f>
        <v>Europe</v>
      </c>
      <c r="E138" s="3" t="s">
        <v>11</v>
      </c>
      <c r="F138" s="3" t="str">
        <f>VLOOKUP(E138,Countries!$B$3:$C$140,2,FALSE)</f>
        <v>Europe</v>
      </c>
      <c r="G138" s="4">
        <v>22</v>
      </c>
      <c r="H138" s="4">
        <v>0</v>
      </c>
    </row>
    <row r="139" spans="2:8" x14ac:dyDescent="0.2">
      <c r="B139" s="3" t="s">
        <v>140</v>
      </c>
      <c r="C139" s="3" t="s">
        <v>35</v>
      </c>
      <c r="D139" s="3" t="str">
        <f>VLOOKUP(C139,Countries!$B$3:$C$140,2,FALSE)</f>
        <v>Europe</v>
      </c>
      <c r="E139" s="3" t="s">
        <v>38</v>
      </c>
      <c r="F139" s="3" t="str">
        <f>VLOOKUP(E139,Countries!$B$3:$C$140,2,FALSE)</f>
        <v>Europe</v>
      </c>
      <c r="G139" s="4">
        <v>2</v>
      </c>
      <c r="H139" s="4">
        <v>0</v>
      </c>
    </row>
    <row r="140" spans="2:8" x14ac:dyDescent="0.2">
      <c r="B140" s="3" t="s">
        <v>140</v>
      </c>
      <c r="C140" s="3" t="s">
        <v>35</v>
      </c>
      <c r="D140" s="3" t="str">
        <f>VLOOKUP(C140,Countries!$B$3:$C$140,2,FALSE)</f>
        <v>Europe</v>
      </c>
      <c r="E140" s="3" t="s">
        <v>73</v>
      </c>
      <c r="F140" s="3" t="str">
        <f>VLOOKUP(E140,Countries!$B$3:$C$140,2,FALSE)</f>
        <v>Europe</v>
      </c>
      <c r="G140" s="4">
        <v>6</v>
      </c>
      <c r="H140" s="4">
        <v>1109853.5099025001</v>
      </c>
    </row>
    <row r="141" spans="2:8" x14ac:dyDescent="0.2">
      <c r="B141" s="3" t="s">
        <v>140</v>
      </c>
      <c r="C141" s="3" t="s">
        <v>35</v>
      </c>
      <c r="D141" s="3" t="str">
        <f>VLOOKUP(C141,Countries!$B$3:$C$140,2,FALSE)</f>
        <v>Europe</v>
      </c>
      <c r="E141" s="3" t="s">
        <v>12</v>
      </c>
      <c r="F141" s="3" t="str">
        <f>VLOOKUP(E141,Countries!$B$3:$C$140,2,FALSE)</f>
        <v>Europe</v>
      </c>
      <c r="G141" s="4">
        <v>74</v>
      </c>
      <c r="H141" s="4">
        <v>25425734.954130001</v>
      </c>
    </row>
    <row r="142" spans="2:8" x14ac:dyDescent="0.2">
      <c r="B142" s="3" t="s">
        <v>140</v>
      </c>
      <c r="C142" s="3" t="s">
        <v>35</v>
      </c>
      <c r="D142" s="3" t="str">
        <f>VLOOKUP(C142,Countries!$B$3:$C$140,2,FALSE)</f>
        <v>Europe</v>
      </c>
      <c r="E142" s="3" t="s">
        <v>13</v>
      </c>
      <c r="F142" s="3" t="str">
        <f>VLOOKUP(E142,Countries!$B$3:$C$140,2,FALSE)</f>
        <v>Europe</v>
      </c>
      <c r="G142" s="4">
        <v>22</v>
      </c>
      <c r="H142" s="4">
        <v>0</v>
      </c>
    </row>
    <row r="143" spans="2:8" x14ac:dyDescent="0.2">
      <c r="B143" s="3" t="s">
        <v>140</v>
      </c>
      <c r="C143" s="3" t="s">
        <v>35</v>
      </c>
      <c r="D143" s="3" t="str">
        <f>VLOOKUP(C143,Countries!$B$3:$C$140,2,FALSE)</f>
        <v>Europe</v>
      </c>
      <c r="E143" s="3" t="s">
        <v>64</v>
      </c>
      <c r="F143" s="3" t="str">
        <f>VLOOKUP(E143,Countries!$B$3:$C$140,2,FALSE)</f>
        <v>Africa</v>
      </c>
      <c r="G143" s="4">
        <v>2</v>
      </c>
      <c r="H143" s="4">
        <v>201791.54725499998</v>
      </c>
    </row>
    <row r="144" spans="2:8" x14ac:dyDescent="0.2">
      <c r="B144" s="3" t="s">
        <v>140</v>
      </c>
      <c r="C144" s="3" t="s">
        <v>35</v>
      </c>
      <c r="D144" s="3" t="str">
        <f>VLOOKUP(C144,Countries!$B$3:$C$140,2,FALSE)</f>
        <v>Europe</v>
      </c>
      <c r="E144" s="3" t="s">
        <v>14</v>
      </c>
      <c r="F144" s="3" t="str">
        <f>VLOOKUP(E144,Countries!$B$3:$C$140,2,FALSE)</f>
        <v>Europe</v>
      </c>
      <c r="G144" s="4">
        <v>12</v>
      </c>
      <c r="H144" s="4">
        <v>0</v>
      </c>
    </row>
    <row r="145" spans="2:8" x14ac:dyDescent="0.2">
      <c r="B145" s="3" t="s">
        <v>140</v>
      </c>
      <c r="C145" s="3" t="s">
        <v>35</v>
      </c>
      <c r="D145" s="3" t="str">
        <f>VLOOKUP(C145,Countries!$B$3:$C$140,2,FALSE)</f>
        <v>Europe</v>
      </c>
      <c r="E145" s="3" t="s">
        <v>15</v>
      </c>
      <c r="F145" s="3" t="str">
        <f>VLOOKUP(E145,Countries!$B$3:$C$140,2,FALSE)</f>
        <v>Europe</v>
      </c>
      <c r="G145" s="4">
        <v>2</v>
      </c>
      <c r="H145" s="4">
        <v>0</v>
      </c>
    </row>
    <row r="146" spans="2:8" x14ac:dyDescent="0.2">
      <c r="B146" s="3" t="s">
        <v>140</v>
      </c>
      <c r="C146" s="3" t="s">
        <v>35</v>
      </c>
      <c r="D146" s="3" t="str">
        <f>VLOOKUP(C146,Countries!$B$3:$C$140,2,FALSE)</f>
        <v>Europe</v>
      </c>
      <c r="E146" s="3" t="s">
        <v>74</v>
      </c>
      <c r="F146" s="3" t="str">
        <f>VLOOKUP(E146,Countries!$B$3:$C$140,2,FALSE)</f>
        <v>Asia</v>
      </c>
      <c r="G146" s="4">
        <v>2</v>
      </c>
      <c r="H146" s="4">
        <v>0</v>
      </c>
    </row>
    <row r="147" spans="2:8" x14ac:dyDescent="0.2">
      <c r="B147" s="3" t="s">
        <v>140</v>
      </c>
      <c r="C147" s="3" t="s">
        <v>35</v>
      </c>
      <c r="D147" s="3" t="str">
        <f>VLOOKUP(C147,Countries!$B$3:$C$140,2,FALSE)</f>
        <v>Europe</v>
      </c>
      <c r="E147" s="3" t="s">
        <v>75</v>
      </c>
      <c r="F147" s="3" t="str">
        <f>VLOOKUP(E147,Countries!$B$3:$C$140,2,FALSE)</f>
        <v>Europe</v>
      </c>
      <c r="G147" s="4">
        <v>2</v>
      </c>
      <c r="H147" s="4">
        <v>1049316.0457259999</v>
      </c>
    </row>
    <row r="148" spans="2:8" x14ac:dyDescent="0.2">
      <c r="B148" s="3" t="s">
        <v>140</v>
      </c>
      <c r="C148" s="3" t="s">
        <v>35</v>
      </c>
      <c r="D148" s="3" t="str">
        <f>VLOOKUP(C148,Countries!$B$3:$C$140,2,FALSE)</f>
        <v>Europe</v>
      </c>
      <c r="E148" s="3" t="s">
        <v>51</v>
      </c>
      <c r="F148" s="3" t="str">
        <f>VLOOKUP(E148,Countries!$B$3:$C$140,2,FALSE)</f>
        <v>Asia</v>
      </c>
      <c r="G148" s="4">
        <v>20</v>
      </c>
      <c r="H148" s="4">
        <v>12268926.073104002</v>
      </c>
    </row>
    <row r="149" spans="2:8" x14ac:dyDescent="0.2">
      <c r="B149" s="3" t="s">
        <v>140</v>
      </c>
      <c r="C149" s="3" t="s">
        <v>35</v>
      </c>
      <c r="D149" s="3" t="str">
        <f>VLOOKUP(C149,Countries!$B$3:$C$140,2,FALSE)</f>
        <v>Europe</v>
      </c>
      <c r="E149" s="3" t="s">
        <v>17</v>
      </c>
      <c r="F149" s="3" t="str">
        <f>VLOOKUP(E149,Countries!$B$3:$C$140,2,FALSE)</f>
        <v>Europe</v>
      </c>
      <c r="G149" s="4">
        <v>48</v>
      </c>
      <c r="H149" s="4">
        <v>6134463.0365520008</v>
      </c>
    </row>
    <row r="150" spans="2:8" x14ac:dyDescent="0.2">
      <c r="B150" s="3" t="s">
        <v>140</v>
      </c>
      <c r="C150" s="3" t="s">
        <v>35</v>
      </c>
      <c r="D150" s="3" t="str">
        <f>VLOOKUP(C150,Countries!$B$3:$C$140,2,FALSE)</f>
        <v>Europe</v>
      </c>
      <c r="E150" s="3" t="s">
        <v>18</v>
      </c>
      <c r="F150" s="3" t="str">
        <f>VLOOKUP(E150,Countries!$B$3:$C$140,2,FALSE)</f>
        <v>Africa</v>
      </c>
      <c r="G150" s="4">
        <v>4</v>
      </c>
      <c r="H150" s="4">
        <v>0</v>
      </c>
    </row>
    <row r="151" spans="2:8" x14ac:dyDescent="0.2">
      <c r="B151" s="3" t="s">
        <v>140</v>
      </c>
      <c r="C151" s="3" t="s">
        <v>35</v>
      </c>
      <c r="D151" s="3" t="str">
        <f>VLOOKUP(C151,Countries!$B$3:$C$140,2,FALSE)</f>
        <v>Europe</v>
      </c>
      <c r="E151" s="3" t="s">
        <v>19</v>
      </c>
      <c r="F151" s="3" t="str">
        <f>VLOOKUP(E151,Countries!$B$3:$C$140,2,FALSE)</f>
        <v>Asia</v>
      </c>
      <c r="G151" s="4">
        <v>2</v>
      </c>
      <c r="H151" s="4">
        <v>0</v>
      </c>
    </row>
    <row r="152" spans="2:8" x14ac:dyDescent="0.2">
      <c r="B152" s="3" t="s">
        <v>140</v>
      </c>
      <c r="C152" s="3" t="s">
        <v>35</v>
      </c>
      <c r="D152" s="3" t="str">
        <f>VLOOKUP(C152,Countries!$B$3:$C$140,2,FALSE)</f>
        <v>Europe</v>
      </c>
      <c r="E152" s="3" t="s">
        <v>76</v>
      </c>
      <c r="F152" s="3" t="str">
        <f>VLOOKUP(E152,Countries!$B$3:$C$140,2,FALSE)</f>
        <v>Africa</v>
      </c>
      <c r="G152" s="4">
        <v>2</v>
      </c>
      <c r="H152" s="4">
        <v>0</v>
      </c>
    </row>
    <row r="153" spans="2:8" x14ac:dyDescent="0.2">
      <c r="B153" s="3" t="s">
        <v>140</v>
      </c>
      <c r="C153" s="3" t="s">
        <v>35</v>
      </c>
      <c r="D153" s="3" t="str">
        <f>VLOOKUP(C153,Countries!$B$3:$C$140,2,FALSE)</f>
        <v>Europe</v>
      </c>
      <c r="E153" s="3" t="s">
        <v>77</v>
      </c>
      <c r="F153" s="3" t="str">
        <f>VLOOKUP(E153,Countries!$B$3:$C$140,2,FALSE)</f>
        <v>Europe</v>
      </c>
      <c r="G153" s="4">
        <v>6</v>
      </c>
      <c r="H153" s="4">
        <v>0</v>
      </c>
    </row>
    <row r="154" spans="2:8" x14ac:dyDescent="0.2">
      <c r="B154" s="3" t="s">
        <v>140</v>
      </c>
      <c r="C154" s="3" t="s">
        <v>35</v>
      </c>
      <c r="D154" s="3" t="str">
        <f>VLOOKUP(C154,Countries!$B$3:$C$140,2,FALSE)</f>
        <v>Europe</v>
      </c>
      <c r="E154" s="3" t="s">
        <v>53</v>
      </c>
      <c r="F154" s="3" t="str">
        <f>VLOOKUP(E154,Countries!$B$3:$C$140,2,FALSE)</f>
        <v>Europe</v>
      </c>
      <c r="G154" s="4">
        <v>62</v>
      </c>
      <c r="H154" s="4">
        <v>17725369.5108792</v>
      </c>
    </row>
    <row r="155" spans="2:8" x14ac:dyDescent="0.2">
      <c r="B155" s="3" t="s">
        <v>140</v>
      </c>
      <c r="C155" s="3" t="s">
        <v>35</v>
      </c>
      <c r="D155" s="3" t="str">
        <f>VLOOKUP(C155,Countries!$B$3:$C$140,2,FALSE)</f>
        <v>Europe</v>
      </c>
      <c r="E155" s="3" t="s">
        <v>24</v>
      </c>
      <c r="F155" s="3" t="str">
        <f>VLOOKUP(E155,Countries!$B$3:$C$140,2,FALSE)</f>
        <v>Africa</v>
      </c>
      <c r="G155" s="4">
        <v>2</v>
      </c>
      <c r="H155" s="4">
        <v>0</v>
      </c>
    </row>
    <row r="156" spans="2:8" x14ac:dyDescent="0.2">
      <c r="B156" s="3" t="s">
        <v>140</v>
      </c>
      <c r="C156" s="3" t="s">
        <v>35</v>
      </c>
      <c r="D156" s="3" t="str">
        <f>VLOOKUP(C156,Countries!$B$3:$C$140,2,FALSE)</f>
        <v>Europe</v>
      </c>
      <c r="E156" s="3" t="s">
        <v>78</v>
      </c>
      <c r="F156" s="3" t="str">
        <f>VLOOKUP(E156,Countries!$B$3:$C$140,2,FALSE)</f>
        <v>Europe</v>
      </c>
      <c r="G156" s="4">
        <v>2</v>
      </c>
      <c r="H156" s="4">
        <v>0</v>
      </c>
    </row>
    <row r="157" spans="2:8" x14ac:dyDescent="0.2">
      <c r="B157" s="3" t="s">
        <v>140</v>
      </c>
      <c r="C157" s="3" t="s">
        <v>35</v>
      </c>
      <c r="D157" s="3" t="str">
        <f>VLOOKUP(C157,Countries!$B$3:$C$140,2,FALSE)</f>
        <v>Europe</v>
      </c>
      <c r="E157" s="3" t="s">
        <v>44</v>
      </c>
      <c r="F157" s="3" t="str">
        <f>VLOOKUP(E157,Countries!$B$3:$C$140,2,FALSE)</f>
        <v>Europe</v>
      </c>
      <c r="G157" s="4">
        <v>12</v>
      </c>
      <c r="H157" s="4">
        <v>15929424.7403097</v>
      </c>
    </row>
    <row r="158" spans="2:8" x14ac:dyDescent="0.2">
      <c r="B158" s="3" t="s">
        <v>140</v>
      </c>
      <c r="C158" s="3" t="s">
        <v>35</v>
      </c>
      <c r="D158" s="3" t="str">
        <f>VLOOKUP(C158,Countries!$B$3:$C$140,2,FALSE)</f>
        <v>Europe</v>
      </c>
      <c r="E158" s="3" t="s">
        <v>79</v>
      </c>
      <c r="F158" s="3" t="str">
        <f>VLOOKUP(E158,Countries!$B$3:$C$140,2,FALSE)</f>
        <v>South America</v>
      </c>
      <c r="G158" s="4">
        <v>2</v>
      </c>
      <c r="H158" s="4">
        <v>0</v>
      </c>
    </row>
    <row r="159" spans="2:8" x14ac:dyDescent="0.2">
      <c r="B159" s="3" t="s">
        <v>140</v>
      </c>
      <c r="C159" s="3" t="s">
        <v>35</v>
      </c>
      <c r="D159" s="3" t="str">
        <f>VLOOKUP(C159,Countries!$B$3:$C$140,2,FALSE)</f>
        <v>Europe</v>
      </c>
      <c r="E159" s="3" t="s">
        <v>80</v>
      </c>
      <c r="F159" s="3" t="str">
        <f>VLOOKUP(E159,Countries!$B$3:$C$140,2,FALSE)</f>
        <v>South America</v>
      </c>
      <c r="G159" s="4">
        <v>2</v>
      </c>
      <c r="H159" s="4">
        <v>0</v>
      </c>
    </row>
    <row r="160" spans="2:8" x14ac:dyDescent="0.2">
      <c r="B160" s="3" t="s">
        <v>140</v>
      </c>
      <c r="C160" s="3" t="s">
        <v>35</v>
      </c>
      <c r="D160" s="3" t="str">
        <f>VLOOKUP(C160,Countries!$B$3:$C$140,2,FALSE)</f>
        <v>Europe</v>
      </c>
      <c r="E160" s="3" t="s">
        <v>54</v>
      </c>
      <c r="F160" s="3" t="str">
        <f>VLOOKUP(E160,Countries!$B$3:$C$140,2,FALSE)</f>
        <v>Europe</v>
      </c>
      <c r="G160" s="4">
        <v>2</v>
      </c>
      <c r="H160" s="4">
        <v>4439414.0396100003</v>
      </c>
    </row>
    <row r="161" spans="2:8" x14ac:dyDescent="0.2">
      <c r="B161" s="3" t="s">
        <v>140</v>
      </c>
      <c r="C161" s="3" t="s">
        <v>35</v>
      </c>
      <c r="D161" s="3" t="str">
        <f>VLOOKUP(C161,Countries!$B$3:$C$140,2,FALSE)</f>
        <v>Europe</v>
      </c>
      <c r="E161" s="3" t="s">
        <v>25</v>
      </c>
      <c r="F161" s="3" t="str">
        <f>VLOOKUP(E161,Countries!$B$3:$C$140,2,FALSE)</f>
        <v>Europe</v>
      </c>
      <c r="G161" s="4">
        <v>12</v>
      </c>
      <c r="H161" s="4">
        <v>1331824.2118829999</v>
      </c>
    </row>
    <row r="162" spans="2:8" x14ac:dyDescent="0.2">
      <c r="B162" s="3" t="s">
        <v>140</v>
      </c>
      <c r="C162" s="3" t="s">
        <v>35</v>
      </c>
      <c r="D162" s="3" t="str">
        <f>VLOOKUP(C162,Countries!$B$3:$C$140,2,FALSE)</f>
        <v>Europe</v>
      </c>
      <c r="E162" s="3" t="s">
        <v>81</v>
      </c>
      <c r="F162" s="3" t="str">
        <f>VLOOKUP(E162,Countries!$B$3:$C$140,2,FALSE)</f>
        <v>Asia</v>
      </c>
      <c r="G162" s="4">
        <v>2</v>
      </c>
      <c r="H162" s="4">
        <v>0</v>
      </c>
    </row>
    <row r="163" spans="2:8" x14ac:dyDescent="0.2">
      <c r="B163" s="3" t="s">
        <v>140</v>
      </c>
      <c r="C163" s="3" t="s">
        <v>35</v>
      </c>
      <c r="D163" s="3" t="str">
        <f>VLOOKUP(C163,Countries!$B$3:$C$140,2,FALSE)</f>
        <v>Europe</v>
      </c>
      <c r="E163" s="3" t="s">
        <v>26</v>
      </c>
      <c r="F163" s="3" t="str">
        <f>VLOOKUP(E163,Countries!$B$3:$C$140,2,FALSE)</f>
        <v>Europe</v>
      </c>
      <c r="G163" s="4">
        <v>4</v>
      </c>
      <c r="H163" s="4">
        <v>0</v>
      </c>
    </row>
    <row r="164" spans="2:8" x14ac:dyDescent="0.2">
      <c r="B164" s="3" t="s">
        <v>140</v>
      </c>
      <c r="C164" s="3" t="s">
        <v>35</v>
      </c>
      <c r="D164" s="3" t="str">
        <f>VLOOKUP(C164,Countries!$B$3:$C$140,2,FALSE)</f>
        <v>Europe</v>
      </c>
      <c r="E164" s="3" t="s">
        <v>82</v>
      </c>
      <c r="F164" s="3" t="e">
        <f>VLOOKUP(E164,Countries!$B$3:$C$140,2,FALSE)</f>
        <v>#N/A</v>
      </c>
      <c r="G164" s="4">
        <v>12</v>
      </c>
      <c r="H164" s="4">
        <v>4989296.0058798902</v>
      </c>
    </row>
    <row r="165" spans="2:8" x14ac:dyDescent="0.2">
      <c r="B165" s="3" t="s">
        <v>140</v>
      </c>
      <c r="C165" s="3" t="s">
        <v>35</v>
      </c>
      <c r="D165" s="3" t="str">
        <f>VLOOKUP(C165,Countries!$B$3:$C$140,2,FALSE)</f>
        <v>Europe</v>
      </c>
      <c r="E165" s="3" t="s">
        <v>46</v>
      </c>
      <c r="F165" s="3" t="str">
        <f>VLOOKUP(E165,Countries!$B$3:$C$140,2,FALSE)</f>
        <v>Europe/Asia</v>
      </c>
      <c r="G165" s="4">
        <v>6</v>
      </c>
      <c r="H165" s="4">
        <v>8071661.8901999993</v>
      </c>
    </row>
    <row r="166" spans="2:8" x14ac:dyDescent="0.2">
      <c r="B166" s="3" t="s">
        <v>140</v>
      </c>
      <c r="C166" s="3" t="s">
        <v>35</v>
      </c>
      <c r="D166" s="3" t="str">
        <f>VLOOKUP(C166,Countries!$B$3:$C$140,2,FALSE)</f>
        <v>Europe</v>
      </c>
      <c r="E166" s="3" t="s">
        <v>83</v>
      </c>
      <c r="F166" s="3" t="str">
        <f>VLOOKUP(E166,Countries!$B$3:$C$140,2,FALSE)</f>
        <v>Africa</v>
      </c>
      <c r="G166" s="4">
        <v>2</v>
      </c>
      <c r="H166" s="4">
        <v>322866.47560800001</v>
      </c>
    </row>
    <row r="167" spans="2:8" x14ac:dyDescent="0.2">
      <c r="B167" s="3" t="s">
        <v>140</v>
      </c>
      <c r="C167" s="3" t="s">
        <v>35</v>
      </c>
      <c r="D167" s="3" t="str">
        <f>VLOOKUP(C167,Countries!$B$3:$C$140,2,FALSE)</f>
        <v>Europe</v>
      </c>
      <c r="E167" s="3" t="s">
        <v>28</v>
      </c>
      <c r="F167" s="3" t="str">
        <f>VLOOKUP(E167,Countries!$B$3:$C$140,2,FALSE)</f>
        <v>Europe</v>
      </c>
      <c r="G167" s="4">
        <v>6</v>
      </c>
      <c r="H167" s="4">
        <v>0</v>
      </c>
    </row>
    <row r="168" spans="2:8" x14ac:dyDescent="0.2">
      <c r="B168" s="3" t="s">
        <v>140</v>
      </c>
      <c r="C168" s="3" t="s">
        <v>35</v>
      </c>
      <c r="D168" s="3" t="str">
        <f>VLOOKUP(C168,Countries!$B$3:$C$140,2,FALSE)</f>
        <v>Europe</v>
      </c>
      <c r="E168" s="3" t="s">
        <v>29</v>
      </c>
      <c r="F168" s="3" t="str">
        <f>VLOOKUP(E168,Countries!$B$3:$C$140,2,FALSE)</f>
        <v>Europe</v>
      </c>
      <c r="G168" s="4">
        <v>4</v>
      </c>
      <c r="H168" s="4">
        <v>0</v>
      </c>
    </row>
    <row r="169" spans="2:8" x14ac:dyDescent="0.2">
      <c r="B169" s="3" t="s">
        <v>140</v>
      </c>
      <c r="C169" s="3" t="s">
        <v>35</v>
      </c>
      <c r="D169" s="3" t="str">
        <f>VLOOKUP(C169,Countries!$B$3:$C$140,2,FALSE)</f>
        <v>Europe</v>
      </c>
      <c r="E169" s="3" t="s">
        <v>31</v>
      </c>
      <c r="F169" s="3" t="str">
        <f>VLOOKUP(E169,Countries!$B$3:$C$140,2,FALSE)</f>
        <v>Europe</v>
      </c>
      <c r="G169" s="4">
        <v>4</v>
      </c>
      <c r="H169" s="4">
        <v>4894453.9786700401</v>
      </c>
    </row>
    <row r="170" spans="2:8" x14ac:dyDescent="0.2">
      <c r="B170" s="3" t="s">
        <v>140</v>
      </c>
      <c r="C170" s="3" t="s">
        <v>35</v>
      </c>
      <c r="D170" s="3" t="str">
        <f>VLOOKUP(C170,Countries!$B$3:$C$140,2,FALSE)</f>
        <v>Europe</v>
      </c>
      <c r="E170" s="3" t="s">
        <v>84</v>
      </c>
      <c r="F170" s="3" t="str">
        <f>VLOOKUP(E170,Countries!$B$3:$C$140,2,FALSE)</f>
        <v>North America</v>
      </c>
      <c r="G170" s="4">
        <v>2</v>
      </c>
      <c r="H170" s="4">
        <v>0</v>
      </c>
    </row>
    <row r="171" spans="2:8" x14ac:dyDescent="0.2">
      <c r="B171" s="3" t="s">
        <v>140</v>
      </c>
      <c r="C171" s="3" t="s">
        <v>35</v>
      </c>
      <c r="D171" s="3" t="str">
        <f>VLOOKUP(C171,Countries!$B$3:$C$140,2,FALSE)</f>
        <v>Europe</v>
      </c>
      <c r="E171" s="3" t="s">
        <v>57</v>
      </c>
      <c r="F171" s="3" t="str">
        <f>VLOOKUP(E171,Countries!$B$3:$C$140,2,FALSE)</f>
        <v>Europe/Asia</v>
      </c>
      <c r="G171" s="4">
        <v>12</v>
      </c>
      <c r="H171" s="4">
        <v>0</v>
      </c>
    </row>
    <row r="172" spans="2:8" x14ac:dyDescent="0.2">
      <c r="B172" s="3" t="s">
        <v>140</v>
      </c>
      <c r="C172" s="3" t="s">
        <v>35</v>
      </c>
      <c r="D172" s="3" t="str">
        <f>VLOOKUP(C172,Countries!$B$3:$C$140,2,FALSE)</f>
        <v>Europe</v>
      </c>
      <c r="E172" s="3" t="s">
        <v>32</v>
      </c>
      <c r="F172" s="3" t="str">
        <f>VLOOKUP(E172,Countries!$B$3:$C$140,2,FALSE)</f>
        <v>Europe</v>
      </c>
      <c r="G172" s="4">
        <v>2</v>
      </c>
      <c r="H172" s="4">
        <v>0</v>
      </c>
    </row>
    <row r="173" spans="2:8" x14ac:dyDescent="0.2">
      <c r="B173" s="3" t="s">
        <v>140</v>
      </c>
      <c r="C173" s="3" t="s">
        <v>35</v>
      </c>
      <c r="D173" s="3" t="str">
        <f>VLOOKUP(C173,Countries!$B$3:$C$140,2,FALSE)</f>
        <v>Europe</v>
      </c>
      <c r="E173" s="3" t="s">
        <v>58</v>
      </c>
      <c r="F173" s="3" t="str">
        <f>VLOOKUP(E173,Countries!$B$3:$C$140,2,FALSE)</f>
        <v>South America</v>
      </c>
      <c r="G173" s="4">
        <v>14</v>
      </c>
      <c r="H173" s="4">
        <v>0</v>
      </c>
    </row>
    <row r="174" spans="2:8" x14ac:dyDescent="0.2">
      <c r="B174" s="3" t="s">
        <v>140</v>
      </c>
      <c r="C174" s="3" t="s">
        <v>35</v>
      </c>
      <c r="D174" s="3" t="str">
        <f>VLOOKUP(C174,Countries!$B$3:$C$140,2,FALSE)</f>
        <v>Europe</v>
      </c>
      <c r="E174" s="3" t="s">
        <v>33</v>
      </c>
      <c r="F174" s="3" t="str">
        <f>VLOOKUP(E174,Countries!$B$3:$C$140,2,FALSE)</f>
        <v>North America</v>
      </c>
      <c r="G174" s="4">
        <v>4</v>
      </c>
      <c r="H174" s="4">
        <v>0</v>
      </c>
    </row>
    <row r="175" spans="2:8" x14ac:dyDescent="0.2">
      <c r="B175" s="3" t="s">
        <v>140</v>
      </c>
      <c r="C175" s="3" t="s">
        <v>35</v>
      </c>
      <c r="D175" s="3" t="str">
        <f>VLOOKUP(C175,Countries!$B$3:$C$140,2,FALSE)</f>
        <v>Europe</v>
      </c>
      <c r="E175" s="3" t="s">
        <v>85</v>
      </c>
      <c r="F175" s="3" t="str">
        <f>VLOOKUP(E175,Countries!$B$3:$C$140,2,FALSE)</f>
        <v>Asia</v>
      </c>
      <c r="G175" s="4">
        <v>2</v>
      </c>
      <c r="H175" s="4">
        <v>0</v>
      </c>
    </row>
    <row r="176" spans="2:8" x14ac:dyDescent="0.2">
      <c r="B176" s="3" t="s">
        <v>140</v>
      </c>
      <c r="C176" s="3" t="s">
        <v>35</v>
      </c>
      <c r="D176" s="3" t="str">
        <f>VLOOKUP(C176,Countries!$B$3:$C$140,2,FALSE)</f>
        <v>Europe</v>
      </c>
      <c r="E176" s="3" t="s">
        <v>86</v>
      </c>
      <c r="F176" s="3" t="str">
        <f>VLOOKUP(E176,Countries!$B$3:$C$140,2,FALSE)</f>
        <v>Europe</v>
      </c>
      <c r="G176" s="4">
        <v>2</v>
      </c>
      <c r="H176" s="4">
        <v>0</v>
      </c>
    </row>
    <row r="177" spans="2:8" x14ac:dyDescent="0.2">
      <c r="B177" s="3" t="s">
        <v>140</v>
      </c>
      <c r="C177" s="3" t="s">
        <v>6</v>
      </c>
      <c r="D177" s="3" t="str">
        <f>VLOOKUP(C177,Countries!$B$3:$C$140,2,FALSE)</f>
        <v>Europe</v>
      </c>
      <c r="E177" s="3" t="s">
        <v>2</v>
      </c>
      <c r="F177" s="3" t="str">
        <f>VLOOKUP(E177,Countries!$B$3:$C$140,2,FALSE)</f>
        <v>Europe</v>
      </c>
      <c r="G177" s="4">
        <v>2</v>
      </c>
      <c r="H177" s="4">
        <v>0</v>
      </c>
    </row>
    <row r="178" spans="2:8" x14ac:dyDescent="0.2">
      <c r="B178" s="3" t="s">
        <v>140</v>
      </c>
      <c r="C178" s="3" t="s">
        <v>6</v>
      </c>
      <c r="D178" s="3" t="str">
        <f>VLOOKUP(C178,Countries!$B$3:$C$140,2,FALSE)</f>
        <v>Europe</v>
      </c>
      <c r="E178" s="3" t="s">
        <v>34</v>
      </c>
      <c r="F178" s="3" t="str">
        <f>VLOOKUP(E178,Countries!$B$3:$C$140,2,FALSE)</f>
        <v>Asia</v>
      </c>
      <c r="G178" s="4">
        <v>2</v>
      </c>
      <c r="H178" s="4">
        <v>0</v>
      </c>
    </row>
    <row r="179" spans="2:8" x14ac:dyDescent="0.2">
      <c r="B179" s="3" t="s">
        <v>140</v>
      </c>
      <c r="C179" s="3" t="s">
        <v>6</v>
      </c>
      <c r="D179" s="3" t="str">
        <f>VLOOKUP(C179,Countries!$B$3:$C$140,2,FALSE)</f>
        <v>Europe</v>
      </c>
      <c r="E179" s="3" t="s">
        <v>4</v>
      </c>
      <c r="F179" s="3" t="str">
        <f>VLOOKUP(E179,Countries!$B$3:$C$140,2,FALSE)</f>
        <v>Asia</v>
      </c>
      <c r="G179" s="4">
        <v>6</v>
      </c>
      <c r="H179" s="4">
        <v>0</v>
      </c>
    </row>
    <row r="180" spans="2:8" x14ac:dyDescent="0.2">
      <c r="B180" s="3" t="s">
        <v>140</v>
      </c>
      <c r="C180" s="3" t="s">
        <v>6</v>
      </c>
      <c r="D180" s="3" t="str">
        <f>VLOOKUP(C180,Countries!$B$3:$C$140,2,FALSE)</f>
        <v>Europe</v>
      </c>
      <c r="E180" s="3" t="s">
        <v>35</v>
      </c>
      <c r="F180" s="3" t="str">
        <f>VLOOKUP(E180,Countries!$B$3:$C$140,2,FALSE)</f>
        <v>Europe</v>
      </c>
      <c r="G180" s="4">
        <v>4</v>
      </c>
      <c r="H180" s="4">
        <v>0</v>
      </c>
    </row>
    <row r="181" spans="2:8" x14ac:dyDescent="0.2">
      <c r="B181" s="3" t="s">
        <v>140</v>
      </c>
      <c r="C181" s="3" t="s">
        <v>6</v>
      </c>
      <c r="D181" s="3" t="str">
        <f>VLOOKUP(C181,Countries!$B$3:$C$140,2,FALSE)</f>
        <v>Europe</v>
      </c>
      <c r="E181" s="3" t="s">
        <v>9</v>
      </c>
      <c r="F181" s="3" t="str">
        <f>VLOOKUP(E181,Countries!$B$3:$C$140,2,FALSE)</f>
        <v>Europe</v>
      </c>
      <c r="G181" s="4">
        <v>32</v>
      </c>
      <c r="H181" s="4">
        <v>0</v>
      </c>
    </row>
    <row r="182" spans="2:8" x14ac:dyDescent="0.2">
      <c r="B182" s="3" t="s">
        <v>140</v>
      </c>
      <c r="C182" s="3" t="s">
        <v>6</v>
      </c>
      <c r="D182" s="3" t="str">
        <f>VLOOKUP(C182,Countries!$B$3:$C$140,2,FALSE)</f>
        <v>Europe</v>
      </c>
      <c r="E182" s="3" t="s">
        <v>49</v>
      </c>
      <c r="F182" s="3" t="str">
        <f>VLOOKUP(E182,Countries!$B$3:$C$140,2,FALSE)</f>
        <v>Europe</v>
      </c>
      <c r="G182" s="4">
        <v>8</v>
      </c>
      <c r="H182" s="4">
        <v>0</v>
      </c>
    </row>
    <row r="183" spans="2:8" x14ac:dyDescent="0.2">
      <c r="B183" s="3" t="s">
        <v>140</v>
      </c>
      <c r="C183" s="3" t="s">
        <v>6</v>
      </c>
      <c r="D183" s="3" t="str">
        <f>VLOOKUP(C183,Countries!$B$3:$C$140,2,FALSE)</f>
        <v>Europe</v>
      </c>
      <c r="E183" s="3" t="s">
        <v>13</v>
      </c>
      <c r="F183" s="3" t="str">
        <f>VLOOKUP(E183,Countries!$B$3:$C$140,2,FALSE)</f>
        <v>Europe</v>
      </c>
      <c r="G183" s="4">
        <v>4</v>
      </c>
      <c r="H183" s="4">
        <v>0</v>
      </c>
    </row>
    <row r="184" spans="2:8" x14ac:dyDescent="0.2">
      <c r="B184" s="3" t="s">
        <v>140</v>
      </c>
      <c r="C184" s="3" t="s">
        <v>6</v>
      </c>
      <c r="D184" s="3" t="str">
        <f>VLOOKUP(C184,Countries!$B$3:$C$140,2,FALSE)</f>
        <v>Europe</v>
      </c>
      <c r="E184" s="3" t="s">
        <v>14</v>
      </c>
      <c r="F184" s="3" t="str">
        <f>VLOOKUP(E184,Countries!$B$3:$C$140,2,FALSE)</f>
        <v>Europe</v>
      </c>
      <c r="G184" s="4">
        <v>2</v>
      </c>
      <c r="H184" s="4">
        <v>0</v>
      </c>
    </row>
    <row r="185" spans="2:8" x14ac:dyDescent="0.2">
      <c r="B185" s="3" t="s">
        <v>140</v>
      </c>
      <c r="C185" s="3" t="s">
        <v>6</v>
      </c>
      <c r="D185" s="3" t="str">
        <f>VLOOKUP(C185,Countries!$B$3:$C$140,2,FALSE)</f>
        <v>Europe</v>
      </c>
      <c r="E185" s="3" t="s">
        <v>16</v>
      </c>
      <c r="F185" s="3" t="str">
        <f>VLOOKUP(E185,Countries!$B$3:$C$140,2,FALSE)</f>
        <v>Asia</v>
      </c>
      <c r="G185" s="4">
        <v>2</v>
      </c>
      <c r="H185" s="4">
        <v>0</v>
      </c>
    </row>
    <row r="186" spans="2:8" x14ac:dyDescent="0.2">
      <c r="B186" s="3" t="s">
        <v>140</v>
      </c>
      <c r="C186" s="3" t="s">
        <v>6</v>
      </c>
      <c r="D186" s="3" t="str">
        <f>VLOOKUP(C186,Countries!$B$3:$C$140,2,FALSE)</f>
        <v>Europe</v>
      </c>
      <c r="E186" s="3" t="s">
        <v>40</v>
      </c>
      <c r="F186" s="3" t="str">
        <f>VLOOKUP(E186,Countries!$B$3:$C$140,2,FALSE)</f>
        <v>Asia</v>
      </c>
      <c r="G186" s="4">
        <v>2</v>
      </c>
      <c r="H186" s="4">
        <v>0</v>
      </c>
    </row>
    <row r="187" spans="2:8" x14ac:dyDescent="0.2">
      <c r="B187" s="3" t="s">
        <v>140</v>
      </c>
      <c r="C187" s="3" t="s">
        <v>6</v>
      </c>
      <c r="D187" s="3" t="str">
        <f>VLOOKUP(C187,Countries!$B$3:$C$140,2,FALSE)</f>
        <v>Europe</v>
      </c>
      <c r="E187" s="3" t="s">
        <v>21</v>
      </c>
      <c r="F187" s="3" t="str">
        <f>VLOOKUP(E187,Countries!$B$3:$C$140,2,FALSE)</f>
        <v>Europe</v>
      </c>
      <c r="G187" s="4">
        <v>6</v>
      </c>
      <c r="H187" s="4">
        <v>0</v>
      </c>
    </row>
    <row r="188" spans="2:8" x14ac:dyDescent="0.2">
      <c r="B188" s="3" t="s">
        <v>140</v>
      </c>
      <c r="C188" s="3" t="s">
        <v>6</v>
      </c>
      <c r="D188" s="3" t="str">
        <f>VLOOKUP(C188,Countries!$B$3:$C$140,2,FALSE)</f>
        <v>Europe</v>
      </c>
      <c r="E188" s="3" t="s">
        <v>23</v>
      </c>
      <c r="F188" s="3" t="str">
        <f>VLOOKUP(E188,Countries!$B$3:$C$140,2,FALSE)</f>
        <v>Europe</v>
      </c>
      <c r="G188" s="4">
        <v>2</v>
      </c>
      <c r="H188" s="4">
        <v>0</v>
      </c>
    </row>
    <row r="189" spans="2:8" x14ac:dyDescent="0.2">
      <c r="B189" s="3" t="s">
        <v>140</v>
      </c>
      <c r="C189" s="3" t="s">
        <v>6</v>
      </c>
      <c r="D189" s="3" t="str">
        <f>VLOOKUP(C189,Countries!$B$3:$C$140,2,FALSE)</f>
        <v>Europe</v>
      </c>
      <c r="E189" s="3" t="s">
        <v>54</v>
      </c>
      <c r="F189" s="3" t="str">
        <f>VLOOKUP(E189,Countries!$B$3:$C$140,2,FALSE)</f>
        <v>Europe</v>
      </c>
      <c r="G189" s="4">
        <v>6</v>
      </c>
      <c r="H189" s="4">
        <v>0</v>
      </c>
    </row>
    <row r="190" spans="2:8" x14ac:dyDescent="0.2">
      <c r="B190" s="3" t="s">
        <v>140</v>
      </c>
      <c r="C190" s="3" t="s">
        <v>6</v>
      </c>
      <c r="D190" s="3" t="str">
        <f>VLOOKUP(C190,Countries!$B$3:$C$140,2,FALSE)</f>
        <v>Europe</v>
      </c>
      <c r="E190" s="3" t="s">
        <v>26</v>
      </c>
      <c r="F190" s="3" t="str">
        <f>VLOOKUP(E190,Countries!$B$3:$C$140,2,FALSE)</f>
        <v>Europe</v>
      </c>
      <c r="G190" s="4">
        <v>6</v>
      </c>
      <c r="H190" s="4">
        <v>0</v>
      </c>
    </row>
    <row r="191" spans="2:8" x14ac:dyDescent="0.2">
      <c r="B191" s="3" t="s">
        <v>140</v>
      </c>
      <c r="C191" s="3" t="s">
        <v>6</v>
      </c>
      <c r="D191" s="3" t="str">
        <f>VLOOKUP(C191,Countries!$B$3:$C$140,2,FALSE)</f>
        <v>Europe</v>
      </c>
      <c r="E191" s="3" t="s">
        <v>46</v>
      </c>
      <c r="F191" s="3" t="str">
        <f>VLOOKUP(E191,Countries!$B$3:$C$140,2,FALSE)</f>
        <v>Europe/Asia</v>
      </c>
      <c r="G191" s="4">
        <v>4</v>
      </c>
      <c r="H191" s="4">
        <v>0</v>
      </c>
    </row>
    <row r="192" spans="2:8" x14ac:dyDescent="0.2">
      <c r="B192" s="3" t="s">
        <v>140</v>
      </c>
      <c r="C192" s="3" t="s">
        <v>6</v>
      </c>
      <c r="D192" s="3" t="str">
        <f>VLOOKUP(C192,Countries!$B$3:$C$140,2,FALSE)</f>
        <v>Europe</v>
      </c>
      <c r="E192" s="3" t="s">
        <v>28</v>
      </c>
      <c r="F192" s="3" t="str">
        <f>VLOOKUP(E192,Countries!$B$3:$C$140,2,FALSE)</f>
        <v>Europe</v>
      </c>
      <c r="G192" s="4">
        <v>30</v>
      </c>
      <c r="H192" s="4">
        <v>0</v>
      </c>
    </row>
    <row r="193" spans="2:8" x14ac:dyDescent="0.2">
      <c r="B193" s="3" t="s">
        <v>140</v>
      </c>
      <c r="C193" s="3" t="s">
        <v>6</v>
      </c>
      <c r="D193" s="3" t="str">
        <f>VLOOKUP(C193,Countries!$B$3:$C$140,2,FALSE)</f>
        <v>Europe</v>
      </c>
      <c r="E193" s="3" t="s">
        <v>56</v>
      </c>
      <c r="F193" s="3" t="str">
        <f>VLOOKUP(E193,Countries!$B$3:$C$140,2,FALSE)</f>
        <v>Europe</v>
      </c>
      <c r="G193" s="4">
        <v>8</v>
      </c>
      <c r="H193" s="4">
        <v>0</v>
      </c>
    </row>
    <row r="194" spans="2:8" x14ac:dyDescent="0.2">
      <c r="B194" s="3" t="s">
        <v>140</v>
      </c>
      <c r="C194" s="3" t="s">
        <v>59</v>
      </c>
      <c r="D194" s="3" t="str">
        <f>VLOOKUP(C194,Countries!$B$3:$C$140,2,FALSE)</f>
        <v>Europe</v>
      </c>
      <c r="E194" s="3" t="s">
        <v>34</v>
      </c>
      <c r="F194" s="3" t="str">
        <f>VLOOKUP(E194,Countries!$B$3:$C$140,2,FALSE)</f>
        <v>Asia</v>
      </c>
      <c r="G194" s="4">
        <v>12</v>
      </c>
      <c r="H194" s="4">
        <v>645732.95121600002</v>
      </c>
    </row>
    <row r="195" spans="2:8" x14ac:dyDescent="0.2">
      <c r="B195" s="3" t="s">
        <v>140</v>
      </c>
      <c r="C195" s="3" t="s">
        <v>59</v>
      </c>
      <c r="D195" s="3" t="str">
        <f>VLOOKUP(C195,Countries!$B$3:$C$140,2,FALSE)</f>
        <v>Europe</v>
      </c>
      <c r="E195" s="3" t="s">
        <v>4</v>
      </c>
      <c r="F195" s="3" t="str">
        <f>VLOOKUP(E195,Countries!$B$3:$C$140,2,FALSE)</f>
        <v>Asia</v>
      </c>
      <c r="G195" s="4">
        <v>4</v>
      </c>
      <c r="H195" s="4">
        <v>0</v>
      </c>
    </row>
    <row r="196" spans="2:8" x14ac:dyDescent="0.2">
      <c r="B196" s="3" t="s">
        <v>140</v>
      </c>
      <c r="C196" s="3" t="s">
        <v>59</v>
      </c>
      <c r="D196" s="3" t="str">
        <f>VLOOKUP(C196,Countries!$B$3:$C$140,2,FALSE)</f>
        <v>Europe</v>
      </c>
      <c r="E196" s="3" t="s">
        <v>7</v>
      </c>
      <c r="F196" s="3" t="str">
        <f>VLOOKUP(E196,Countries!$B$3:$C$140,2,FALSE)</f>
        <v>South America</v>
      </c>
      <c r="G196" s="4">
        <v>2</v>
      </c>
      <c r="H196" s="4">
        <v>1500000</v>
      </c>
    </row>
    <row r="197" spans="2:8" x14ac:dyDescent="0.2">
      <c r="B197" s="3" t="s">
        <v>140</v>
      </c>
      <c r="C197" s="3" t="s">
        <v>59</v>
      </c>
      <c r="D197" s="3" t="str">
        <f>VLOOKUP(C197,Countries!$B$3:$C$140,2,FALSE)</f>
        <v>Europe</v>
      </c>
      <c r="E197" s="3" t="s">
        <v>49</v>
      </c>
      <c r="F197" s="3" t="str">
        <f>VLOOKUP(E197,Countries!$B$3:$C$140,2,FALSE)</f>
        <v>Europe</v>
      </c>
      <c r="G197" s="4">
        <v>2</v>
      </c>
      <c r="H197" s="4">
        <v>0</v>
      </c>
    </row>
    <row r="198" spans="2:8" x14ac:dyDescent="0.2">
      <c r="B198" s="3" t="s">
        <v>140</v>
      </c>
      <c r="C198" s="3" t="s">
        <v>59</v>
      </c>
      <c r="D198" s="3" t="str">
        <f>VLOOKUP(C198,Countries!$B$3:$C$140,2,FALSE)</f>
        <v>Europe</v>
      </c>
      <c r="E198" s="3" t="s">
        <v>39</v>
      </c>
      <c r="F198" s="3" t="str">
        <f>VLOOKUP(E198,Countries!$B$3:$C$140,2,FALSE)</f>
        <v>Europe/Asia</v>
      </c>
      <c r="G198" s="4">
        <v>2</v>
      </c>
      <c r="H198" s="4">
        <v>0</v>
      </c>
    </row>
    <row r="199" spans="2:8" x14ac:dyDescent="0.2">
      <c r="B199" s="3" t="s">
        <v>140</v>
      </c>
      <c r="C199" s="3" t="s">
        <v>59</v>
      </c>
      <c r="D199" s="3" t="str">
        <f>VLOOKUP(C199,Countries!$B$3:$C$140,2,FALSE)</f>
        <v>Europe</v>
      </c>
      <c r="E199" s="3" t="s">
        <v>13</v>
      </c>
      <c r="F199" s="3" t="str">
        <f>VLOOKUP(E199,Countries!$B$3:$C$140,2,FALSE)</f>
        <v>Europe</v>
      </c>
      <c r="G199" s="4">
        <v>2</v>
      </c>
      <c r="H199" s="4">
        <v>0</v>
      </c>
    </row>
    <row r="200" spans="2:8" x14ac:dyDescent="0.2">
      <c r="B200" s="3" t="s">
        <v>140</v>
      </c>
      <c r="C200" s="3" t="s">
        <v>59</v>
      </c>
      <c r="D200" s="3" t="str">
        <f>VLOOKUP(C200,Countries!$B$3:$C$140,2,FALSE)</f>
        <v>Europe</v>
      </c>
      <c r="E200" s="3" t="s">
        <v>65</v>
      </c>
      <c r="F200" s="3" t="str">
        <f>VLOOKUP(E200,Countries!$B$3:$C$140,2,FALSE)</f>
        <v>Asia</v>
      </c>
      <c r="G200" s="4">
        <v>2</v>
      </c>
      <c r="H200" s="4">
        <v>0</v>
      </c>
    </row>
    <row r="201" spans="2:8" x14ac:dyDescent="0.2">
      <c r="B201" s="3" t="s">
        <v>140</v>
      </c>
      <c r="C201" s="3" t="s">
        <v>59</v>
      </c>
      <c r="D201" s="3" t="str">
        <f>VLOOKUP(C201,Countries!$B$3:$C$140,2,FALSE)</f>
        <v>Europe</v>
      </c>
      <c r="E201" s="3" t="s">
        <v>40</v>
      </c>
      <c r="F201" s="3" t="str">
        <f>VLOOKUP(E201,Countries!$B$3:$C$140,2,FALSE)</f>
        <v>Asia</v>
      </c>
      <c r="G201" s="4">
        <v>2</v>
      </c>
      <c r="H201" s="4">
        <v>0</v>
      </c>
    </row>
    <row r="202" spans="2:8" x14ac:dyDescent="0.2">
      <c r="B202" s="3" t="s">
        <v>140</v>
      </c>
      <c r="C202" s="3" t="s">
        <v>59</v>
      </c>
      <c r="D202" s="3" t="str">
        <f>VLOOKUP(C202,Countries!$B$3:$C$140,2,FALSE)</f>
        <v>Europe</v>
      </c>
      <c r="E202" s="3" t="s">
        <v>52</v>
      </c>
      <c r="F202" s="3" t="str">
        <f>VLOOKUP(E202,Countries!$B$3:$C$140,2,FALSE)</f>
        <v>Europe</v>
      </c>
      <c r="G202" s="4">
        <v>4</v>
      </c>
      <c r="H202" s="4">
        <v>0</v>
      </c>
    </row>
    <row r="203" spans="2:8" x14ac:dyDescent="0.2">
      <c r="B203" s="3" t="s">
        <v>140</v>
      </c>
      <c r="C203" s="3" t="s">
        <v>59</v>
      </c>
      <c r="D203" s="3" t="str">
        <f>VLOOKUP(C203,Countries!$B$3:$C$140,2,FALSE)</f>
        <v>Europe</v>
      </c>
      <c r="E203" s="3" t="s">
        <v>43</v>
      </c>
      <c r="F203" s="3" t="str">
        <f>VLOOKUP(E203,Countries!$B$3:$C$140,2,FALSE)</f>
        <v>Europe</v>
      </c>
      <c r="G203" s="4">
        <v>2</v>
      </c>
      <c r="H203" s="4">
        <v>0</v>
      </c>
    </row>
    <row r="204" spans="2:8" x14ac:dyDescent="0.2">
      <c r="B204" s="3" t="s">
        <v>140</v>
      </c>
      <c r="C204" s="3" t="s">
        <v>59</v>
      </c>
      <c r="D204" s="3" t="str">
        <f>VLOOKUP(C204,Countries!$B$3:$C$140,2,FALSE)</f>
        <v>Europe</v>
      </c>
      <c r="E204" s="3" t="s">
        <v>21</v>
      </c>
      <c r="F204" s="3" t="str">
        <f>VLOOKUP(E204,Countries!$B$3:$C$140,2,FALSE)</f>
        <v>Europe</v>
      </c>
      <c r="G204" s="4">
        <v>2</v>
      </c>
      <c r="H204" s="4">
        <v>121074.928353</v>
      </c>
    </row>
    <row r="205" spans="2:8" x14ac:dyDescent="0.2">
      <c r="B205" s="3" t="s">
        <v>140</v>
      </c>
      <c r="C205" s="3" t="s">
        <v>59</v>
      </c>
      <c r="D205" s="3" t="str">
        <f>VLOOKUP(C205,Countries!$B$3:$C$140,2,FALSE)</f>
        <v>Europe</v>
      </c>
      <c r="E205" s="3" t="s">
        <v>24</v>
      </c>
      <c r="F205" s="3" t="str">
        <f>VLOOKUP(E205,Countries!$B$3:$C$140,2,FALSE)</f>
        <v>Africa</v>
      </c>
      <c r="G205" s="4">
        <v>2</v>
      </c>
      <c r="H205" s="4">
        <v>0</v>
      </c>
    </row>
    <row r="206" spans="2:8" x14ac:dyDescent="0.2">
      <c r="B206" s="3" t="s">
        <v>140</v>
      </c>
      <c r="C206" s="3" t="s">
        <v>59</v>
      </c>
      <c r="D206" s="3" t="str">
        <f>VLOOKUP(C206,Countries!$B$3:$C$140,2,FALSE)</f>
        <v>Europe</v>
      </c>
      <c r="E206" s="3" t="s">
        <v>54</v>
      </c>
      <c r="F206" s="3" t="str">
        <f>VLOOKUP(E206,Countries!$B$3:$C$140,2,FALSE)</f>
        <v>Europe</v>
      </c>
      <c r="G206" s="4">
        <v>18</v>
      </c>
      <c r="H206" s="4">
        <v>30000</v>
      </c>
    </row>
    <row r="207" spans="2:8" x14ac:dyDescent="0.2">
      <c r="B207" s="3" t="s">
        <v>140</v>
      </c>
      <c r="C207" s="3" t="s">
        <v>59</v>
      </c>
      <c r="D207" s="3" t="str">
        <f>VLOOKUP(C207,Countries!$B$3:$C$140,2,FALSE)</f>
        <v>Europe</v>
      </c>
      <c r="E207" s="3" t="s">
        <v>46</v>
      </c>
      <c r="F207" s="3" t="str">
        <f>VLOOKUP(E207,Countries!$B$3:$C$140,2,FALSE)</f>
        <v>Europe/Asia</v>
      </c>
      <c r="G207" s="4">
        <v>16</v>
      </c>
      <c r="H207" s="4">
        <v>1890000</v>
      </c>
    </row>
    <row r="208" spans="2:8" x14ac:dyDescent="0.2">
      <c r="B208" s="3" t="s">
        <v>140</v>
      </c>
      <c r="C208" s="3" t="s">
        <v>59</v>
      </c>
      <c r="D208" s="3" t="str">
        <f>VLOOKUP(C208,Countries!$B$3:$C$140,2,FALSE)</f>
        <v>Europe</v>
      </c>
      <c r="E208" s="3" t="s">
        <v>28</v>
      </c>
      <c r="F208" s="3" t="str">
        <f>VLOOKUP(E208,Countries!$B$3:$C$140,2,FALSE)</f>
        <v>Europe</v>
      </c>
      <c r="G208" s="4">
        <v>8</v>
      </c>
      <c r="H208" s="4">
        <v>605374.64176500007</v>
      </c>
    </row>
    <row r="209" spans="2:8" x14ac:dyDescent="0.2">
      <c r="B209" s="3" t="s">
        <v>140</v>
      </c>
      <c r="C209" s="3" t="s">
        <v>59</v>
      </c>
      <c r="D209" s="3" t="str">
        <f>VLOOKUP(C209,Countries!$B$3:$C$140,2,FALSE)</f>
        <v>Europe</v>
      </c>
      <c r="E209" s="3" t="s">
        <v>32</v>
      </c>
      <c r="F209" s="3" t="str">
        <f>VLOOKUP(E209,Countries!$B$3:$C$140,2,FALSE)</f>
        <v>Europe</v>
      </c>
      <c r="G209" s="4">
        <v>42</v>
      </c>
      <c r="H209" s="4">
        <v>180000</v>
      </c>
    </row>
    <row r="210" spans="2:8" x14ac:dyDescent="0.2">
      <c r="B210" s="3" t="s">
        <v>140</v>
      </c>
      <c r="C210" s="3" t="s">
        <v>59</v>
      </c>
      <c r="D210" s="3" t="str">
        <f>VLOOKUP(C210,Countries!$B$3:$C$140,2,FALSE)</f>
        <v>Europe</v>
      </c>
      <c r="E210" s="3" t="s">
        <v>87</v>
      </c>
      <c r="F210" s="3" t="str">
        <f>VLOOKUP(E210,Countries!$B$3:$C$140,2,FALSE)</f>
        <v>Asia</v>
      </c>
      <c r="G210" s="4">
        <v>4</v>
      </c>
      <c r="H210" s="4">
        <v>0</v>
      </c>
    </row>
    <row r="211" spans="2:8" x14ac:dyDescent="0.2">
      <c r="B211" s="3" t="s">
        <v>140</v>
      </c>
      <c r="C211" s="3" t="s">
        <v>36</v>
      </c>
      <c r="D211" s="3" t="str">
        <f>VLOOKUP(C211,Countries!$B$3:$C$140,2,FALSE)</f>
        <v>Europe</v>
      </c>
      <c r="E211" s="3" t="s">
        <v>2</v>
      </c>
      <c r="F211" s="3" t="str">
        <f>VLOOKUP(E211,Countries!$B$3:$C$140,2,FALSE)</f>
        <v>Europe</v>
      </c>
      <c r="G211" s="4">
        <v>2</v>
      </c>
      <c r="H211" s="4">
        <v>403583.09450999997</v>
      </c>
    </row>
    <row r="212" spans="2:8" x14ac:dyDescent="0.2">
      <c r="B212" s="3" t="s">
        <v>140</v>
      </c>
      <c r="C212" s="3" t="s">
        <v>36</v>
      </c>
      <c r="D212" s="3" t="str">
        <f>VLOOKUP(C212,Countries!$B$3:$C$140,2,FALSE)</f>
        <v>Europe</v>
      </c>
      <c r="E212" s="3" t="s">
        <v>69</v>
      </c>
      <c r="F212" s="3" t="str">
        <f>VLOOKUP(E212,Countries!$B$3:$C$140,2,FALSE)</f>
        <v>South America</v>
      </c>
      <c r="G212" s="4">
        <v>2</v>
      </c>
      <c r="H212" s="4">
        <v>0</v>
      </c>
    </row>
    <row r="213" spans="2:8" x14ac:dyDescent="0.2">
      <c r="B213" s="3" t="s">
        <v>140</v>
      </c>
      <c r="C213" s="3" t="s">
        <v>36</v>
      </c>
      <c r="D213" s="3" t="str">
        <f>VLOOKUP(C213,Countries!$B$3:$C$140,2,FALSE)</f>
        <v>Europe</v>
      </c>
      <c r="E213" s="3" t="s">
        <v>34</v>
      </c>
      <c r="F213" s="3" t="str">
        <f>VLOOKUP(E213,Countries!$B$3:$C$140,2,FALSE)</f>
        <v>Asia</v>
      </c>
      <c r="G213" s="4">
        <v>4</v>
      </c>
      <c r="H213" s="4">
        <v>0</v>
      </c>
    </row>
    <row r="214" spans="2:8" x14ac:dyDescent="0.2">
      <c r="B214" s="3" t="s">
        <v>140</v>
      </c>
      <c r="C214" s="3" t="s">
        <v>36</v>
      </c>
      <c r="D214" s="3" t="str">
        <f>VLOOKUP(C214,Countries!$B$3:$C$140,2,FALSE)</f>
        <v>Europe</v>
      </c>
      <c r="E214" s="3" t="s">
        <v>3</v>
      </c>
      <c r="F214" s="3" t="str">
        <f>VLOOKUP(E214,Countries!$B$3:$C$140,2,FALSE)</f>
        <v>Europe</v>
      </c>
      <c r="G214" s="4">
        <v>2</v>
      </c>
      <c r="H214" s="4">
        <v>0</v>
      </c>
    </row>
    <row r="215" spans="2:8" x14ac:dyDescent="0.2">
      <c r="B215" s="3" t="s">
        <v>140</v>
      </c>
      <c r="C215" s="3" t="s">
        <v>36</v>
      </c>
      <c r="D215" s="3" t="str">
        <f>VLOOKUP(C215,Countries!$B$3:$C$140,2,FALSE)</f>
        <v>Europe</v>
      </c>
      <c r="E215" s="3" t="s">
        <v>4</v>
      </c>
      <c r="F215" s="3" t="str">
        <f>VLOOKUP(E215,Countries!$B$3:$C$140,2,FALSE)</f>
        <v>Asia</v>
      </c>
      <c r="G215" s="4">
        <v>8</v>
      </c>
      <c r="H215" s="4">
        <v>0</v>
      </c>
    </row>
    <row r="216" spans="2:8" x14ac:dyDescent="0.2">
      <c r="B216" s="3" t="s">
        <v>140</v>
      </c>
      <c r="C216" s="3" t="s">
        <v>36</v>
      </c>
      <c r="D216" s="3" t="str">
        <f>VLOOKUP(C216,Countries!$B$3:$C$140,2,FALSE)</f>
        <v>Europe</v>
      </c>
      <c r="E216" s="3" t="s">
        <v>35</v>
      </c>
      <c r="F216" s="3" t="str">
        <f>VLOOKUP(E216,Countries!$B$3:$C$140,2,FALSE)</f>
        <v>Europe</v>
      </c>
      <c r="G216" s="4">
        <v>8</v>
      </c>
      <c r="H216" s="4">
        <v>282508.166157</v>
      </c>
    </row>
    <row r="217" spans="2:8" x14ac:dyDescent="0.2">
      <c r="B217" s="3" t="s">
        <v>140</v>
      </c>
      <c r="C217" s="3" t="s">
        <v>36</v>
      </c>
      <c r="D217" s="3" t="str">
        <f>VLOOKUP(C217,Countries!$B$3:$C$140,2,FALSE)</f>
        <v>Europe</v>
      </c>
      <c r="E217" s="3" t="s">
        <v>6</v>
      </c>
      <c r="F217" s="3" t="str">
        <f>VLOOKUP(E217,Countries!$B$3:$C$140,2,FALSE)</f>
        <v>Europe</v>
      </c>
      <c r="G217" s="4">
        <v>2</v>
      </c>
      <c r="H217" s="4">
        <v>0</v>
      </c>
    </row>
    <row r="218" spans="2:8" x14ac:dyDescent="0.2">
      <c r="B218" s="3" t="s">
        <v>140</v>
      </c>
      <c r="C218" s="3" t="s">
        <v>36</v>
      </c>
      <c r="D218" s="3" t="str">
        <f>VLOOKUP(C218,Countries!$B$3:$C$140,2,FALSE)</f>
        <v>Europe</v>
      </c>
      <c r="E218" s="3" t="s">
        <v>59</v>
      </c>
      <c r="F218" s="3" t="str">
        <f>VLOOKUP(E218,Countries!$B$3:$C$140,2,FALSE)</f>
        <v>Europe</v>
      </c>
      <c r="G218" s="4">
        <v>2</v>
      </c>
      <c r="H218" s="4">
        <v>0</v>
      </c>
    </row>
    <row r="219" spans="2:8" x14ac:dyDescent="0.2">
      <c r="B219" s="3" t="s">
        <v>140</v>
      </c>
      <c r="C219" s="3" t="s">
        <v>36</v>
      </c>
      <c r="D219" s="3" t="str">
        <f>VLOOKUP(C219,Countries!$B$3:$C$140,2,FALSE)</f>
        <v>Europe</v>
      </c>
      <c r="E219" s="3" t="s">
        <v>7</v>
      </c>
      <c r="F219" s="3" t="str">
        <f>VLOOKUP(E219,Countries!$B$3:$C$140,2,FALSE)</f>
        <v>South America</v>
      </c>
      <c r="G219" s="4">
        <v>16</v>
      </c>
      <c r="H219" s="4">
        <v>1614332.3780399999</v>
      </c>
    </row>
    <row r="220" spans="2:8" x14ac:dyDescent="0.2">
      <c r="B220" s="3" t="s">
        <v>140</v>
      </c>
      <c r="C220" s="3" t="s">
        <v>36</v>
      </c>
      <c r="D220" s="3" t="str">
        <f>VLOOKUP(C220,Countries!$B$3:$C$140,2,FALSE)</f>
        <v>Europe</v>
      </c>
      <c r="E220" s="3" t="s">
        <v>88</v>
      </c>
      <c r="F220" s="3" t="str">
        <f>VLOOKUP(E220,Countries!$B$3:$C$140,2,FALSE)</f>
        <v>South America</v>
      </c>
      <c r="G220" s="4">
        <v>2</v>
      </c>
      <c r="H220" s="4">
        <v>0</v>
      </c>
    </row>
    <row r="221" spans="2:8" x14ac:dyDescent="0.2">
      <c r="B221" s="3" t="s">
        <v>140</v>
      </c>
      <c r="C221" s="3" t="s">
        <v>36</v>
      </c>
      <c r="D221" s="3" t="str">
        <f>VLOOKUP(C221,Countries!$B$3:$C$140,2,FALSE)</f>
        <v>Europe</v>
      </c>
      <c r="E221" s="3" t="s">
        <v>89</v>
      </c>
      <c r="F221" s="3" t="str">
        <f>VLOOKUP(E221,Countries!$B$3:$C$140,2,FALSE)</f>
        <v>Asia</v>
      </c>
      <c r="G221" s="4">
        <v>2</v>
      </c>
      <c r="H221" s="4">
        <v>0</v>
      </c>
    </row>
    <row r="222" spans="2:8" x14ac:dyDescent="0.2">
      <c r="B222" s="3" t="s">
        <v>140</v>
      </c>
      <c r="C222" s="3" t="s">
        <v>36</v>
      </c>
      <c r="D222" s="3" t="str">
        <f>VLOOKUP(C222,Countries!$B$3:$C$140,2,FALSE)</f>
        <v>Europe</v>
      </c>
      <c r="E222" s="3" t="s">
        <v>9</v>
      </c>
      <c r="F222" s="3" t="str">
        <f>VLOOKUP(E222,Countries!$B$3:$C$140,2,FALSE)</f>
        <v>Europe</v>
      </c>
      <c r="G222" s="4">
        <v>2</v>
      </c>
      <c r="H222" s="4">
        <v>0</v>
      </c>
    </row>
    <row r="223" spans="2:8" x14ac:dyDescent="0.2">
      <c r="B223" s="3" t="s">
        <v>140</v>
      </c>
      <c r="C223" s="3" t="s">
        <v>36</v>
      </c>
      <c r="D223" s="3" t="str">
        <f>VLOOKUP(C223,Countries!$B$3:$C$140,2,FALSE)</f>
        <v>Europe</v>
      </c>
      <c r="E223" s="3" t="s">
        <v>62</v>
      </c>
      <c r="F223" s="3" t="str">
        <f>VLOOKUP(E223,Countries!$B$3:$C$140,2,FALSE)</f>
        <v>Asia</v>
      </c>
      <c r="G223" s="4">
        <v>36</v>
      </c>
      <c r="H223" s="4">
        <v>1008957.7362749999</v>
      </c>
    </row>
    <row r="224" spans="2:8" x14ac:dyDescent="0.2">
      <c r="B224" s="3" t="s">
        <v>140</v>
      </c>
      <c r="C224" s="3" t="s">
        <v>36</v>
      </c>
      <c r="D224" s="3" t="str">
        <f>VLOOKUP(C224,Countries!$B$3:$C$140,2,FALSE)</f>
        <v>Europe</v>
      </c>
      <c r="E224" s="3" t="s">
        <v>10</v>
      </c>
      <c r="F224" s="3" t="str">
        <f>VLOOKUP(E224,Countries!$B$3:$C$140,2,FALSE)</f>
        <v>Europe</v>
      </c>
      <c r="G224" s="4">
        <v>2</v>
      </c>
      <c r="H224" s="4">
        <v>0</v>
      </c>
    </row>
    <row r="225" spans="2:8" x14ac:dyDescent="0.2">
      <c r="B225" s="3" t="s">
        <v>140</v>
      </c>
      <c r="C225" s="3" t="s">
        <v>36</v>
      </c>
      <c r="D225" s="3" t="str">
        <f>VLOOKUP(C225,Countries!$B$3:$C$140,2,FALSE)</f>
        <v>Europe</v>
      </c>
      <c r="E225" s="3" t="s">
        <v>63</v>
      </c>
      <c r="F225" s="3" t="str">
        <f>VLOOKUP(E225,Countries!$B$3:$C$140,2,FALSE)</f>
        <v>Africa</v>
      </c>
      <c r="G225" s="4">
        <v>6</v>
      </c>
      <c r="H225" s="4">
        <v>193990.2699652506</v>
      </c>
    </row>
    <row r="226" spans="2:8" x14ac:dyDescent="0.2">
      <c r="B226" s="3" t="s">
        <v>140</v>
      </c>
      <c r="C226" s="3" t="s">
        <v>36</v>
      </c>
      <c r="D226" s="3" t="str">
        <f>VLOOKUP(C226,Countries!$B$3:$C$140,2,FALSE)</f>
        <v>Europe</v>
      </c>
      <c r="E226" s="3" t="s">
        <v>50</v>
      </c>
      <c r="F226" s="3" t="str">
        <f>VLOOKUP(E226,Countries!$B$3:$C$140,2,FALSE)</f>
        <v>Europe</v>
      </c>
      <c r="G226" s="4">
        <v>4</v>
      </c>
      <c r="H226" s="4">
        <v>0</v>
      </c>
    </row>
    <row r="227" spans="2:8" x14ac:dyDescent="0.2">
      <c r="B227" s="3" t="s">
        <v>140</v>
      </c>
      <c r="C227" s="3" t="s">
        <v>36</v>
      </c>
      <c r="D227" s="3" t="str">
        <f>VLOOKUP(C227,Countries!$B$3:$C$140,2,FALSE)</f>
        <v>Europe</v>
      </c>
      <c r="E227" s="3" t="s">
        <v>11</v>
      </c>
      <c r="F227" s="3" t="str">
        <f>VLOOKUP(E227,Countries!$B$3:$C$140,2,FALSE)</f>
        <v>Europe</v>
      </c>
      <c r="G227" s="4">
        <v>6</v>
      </c>
      <c r="H227" s="4">
        <v>0</v>
      </c>
    </row>
    <row r="228" spans="2:8" x14ac:dyDescent="0.2">
      <c r="B228" s="3" t="s">
        <v>140</v>
      </c>
      <c r="C228" s="3" t="s">
        <v>36</v>
      </c>
      <c r="D228" s="3" t="str">
        <f>VLOOKUP(C228,Countries!$B$3:$C$140,2,FALSE)</f>
        <v>Europe</v>
      </c>
      <c r="E228" s="3" t="s">
        <v>73</v>
      </c>
      <c r="F228" s="3" t="str">
        <f>VLOOKUP(E228,Countries!$B$3:$C$140,2,FALSE)</f>
        <v>Europe</v>
      </c>
      <c r="G228" s="4">
        <v>2</v>
      </c>
      <c r="H228" s="4">
        <v>0</v>
      </c>
    </row>
    <row r="229" spans="2:8" x14ac:dyDescent="0.2">
      <c r="B229" s="3" t="s">
        <v>140</v>
      </c>
      <c r="C229" s="3" t="s">
        <v>36</v>
      </c>
      <c r="D229" s="3" t="str">
        <f>VLOOKUP(C229,Countries!$B$3:$C$140,2,FALSE)</f>
        <v>Europe</v>
      </c>
      <c r="E229" s="3" t="s">
        <v>12</v>
      </c>
      <c r="F229" s="3" t="str">
        <f>VLOOKUP(E229,Countries!$B$3:$C$140,2,FALSE)</f>
        <v>Europe</v>
      </c>
      <c r="G229" s="4">
        <v>20</v>
      </c>
      <c r="H229" s="4">
        <v>0</v>
      </c>
    </row>
    <row r="230" spans="2:8" x14ac:dyDescent="0.2">
      <c r="B230" s="3" t="s">
        <v>140</v>
      </c>
      <c r="C230" s="3" t="s">
        <v>36</v>
      </c>
      <c r="D230" s="3" t="str">
        <f>VLOOKUP(C230,Countries!$B$3:$C$140,2,FALSE)</f>
        <v>Europe</v>
      </c>
      <c r="E230" s="3" t="s">
        <v>13</v>
      </c>
      <c r="F230" s="3" t="str">
        <f>VLOOKUP(E230,Countries!$B$3:$C$140,2,FALSE)</f>
        <v>Europe</v>
      </c>
      <c r="G230" s="4">
        <v>2</v>
      </c>
      <c r="H230" s="4">
        <v>0</v>
      </c>
    </row>
    <row r="231" spans="2:8" x14ac:dyDescent="0.2">
      <c r="B231" s="3" t="s">
        <v>140</v>
      </c>
      <c r="C231" s="3" t="s">
        <v>36</v>
      </c>
      <c r="D231" s="3" t="str">
        <f>VLOOKUP(C231,Countries!$B$3:$C$140,2,FALSE)</f>
        <v>Europe</v>
      </c>
      <c r="E231" s="3" t="s">
        <v>14</v>
      </c>
      <c r="F231" s="3" t="str">
        <f>VLOOKUP(E231,Countries!$B$3:$C$140,2,FALSE)</f>
        <v>Europe</v>
      </c>
      <c r="G231" s="4">
        <v>10</v>
      </c>
      <c r="H231" s="4">
        <v>0</v>
      </c>
    </row>
    <row r="232" spans="2:8" x14ac:dyDescent="0.2">
      <c r="B232" s="3" t="s">
        <v>140</v>
      </c>
      <c r="C232" s="3" t="s">
        <v>36</v>
      </c>
      <c r="D232" s="3" t="str">
        <f>VLOOKUP(C232,Countries!$B$3:$C$140,2,FALSE)</f>
        <v>Europe</v>
      </c>
      <c r="E232" s="3" t="s">
        <v>51</v>
      </c>
      <c r="F232" s="3" t="str">
        <f>VLOOKUP(E232,Countries!$B$3:$C$140,2,FALSE)</f>
        <v>Asia</v>
      </c>
      <c r="G232" s="4">
        <v>10</v>
      </c>
      <c r="H232" s="4">
        <v>0</v>
      </c>
    </row>
    <row r="233" spans="2:8" x14ac:dyDescent="0.2">
      <c r="B233" s="3" t="s">
        <v>140</v>
      </c>
      <c r="C233" s="3" t="s">
        <v>36</v>
      </c>
      <c r="D233" s="3" t="str">
        <f>VLOOKUP(C233,Countries!$B$3:$C$140,2,FALSE)</f>
        <v>Europe</v>
      </c>
      <c r="E233" s="3" t="s">
        <v>17</v>
      </c>
      <c r="F233" s="3" t="str">
        <f>VLOOKUP(E233,Countries!$B$3:$C$140,2,FALSE)</f>
        <v>Europe</v>
      </c>
      <c r="G233" s="4">
        <v>4</v>
      </c>
      <c r="H233" s="4">
        <v>0</v>
      </c>
    </row>
    <row r="234" spans="2:8" x14ac:dyDescent="0.2">
      <c r="B234" s="3" t="s">
        <v>140</v>
      </c>
      <c r="C234" s="3" t="s">
        <v>36</v>
      </c>
      <c r="D234" s="3" t="str">
        <f>VLOOKUP(C234,Countries!$B$3:$C$140,2,FALSE)</f>
        <v>Europe</v>
      </c>
      <c r="E234" s="3" t="s">
        <v>40</v>
      </c>
      <c r="F234" s="3" t="str">
        <f>VLOOKUP(E234,Countries!$B$3:$C$140,2,FALSE)</f>
        <v>Asia</v>
      </c>
      <c r="G234" s="4">
        <v>4</v>
      </c>
      <c r="H234" s="4">
        <v>0</v>
      </c>
    </row>
    <row r="235" spans="2:8" x14ac:dyDescent="0.2">
      <c r="B235" s="3" t="s">
        <v>140</v>
      </c>
      <c r="C235" s="3" t="s">
        <v>36</v>
      </c>
      <c r="D235" s="3" t="str">
        <f>VLOOKUP(C235,Countries!$B$3:$C$140,2,FALSE)</f>
        <v>Europe</v>
      </c>
      <c r="E235" s="3" t="s">
        <v>43</v>
      </c>
      <c r="F235" s="3" t="str">
        <f>VLOOKUP(E235,Countries!$B$3:$C$140,2,FALSE)</f>
        <v>Europe</v>
      </c>
      <c r="G235" s="4">
        <v>2</v>
      </c>
      <c r="H235" s="4">
        <v>0</v>
      </c>
    </row>
    <row r="236" spans="2:8" x14ac:dyDescent="0.2">
      <c r="B236" s="3" t="s">
        <v>140</v>
      </c>
      <c r="C236" s="3" t="s">
        <v>36</v>
      </c>
      <c r="D236" s="3" t="str">
        <f>VLOOKUP(C236,Countries!$B$3:$C$140,2,FALSE)</f>
        <v>Europe</v>
      </c>
      <c r="E236" s="3" t="s">
        <v>21</v>
      </c>
      <c r="F236" s="3" t="str">
        <f>VLOOKUP(E236,Countries!$B$3:$C$140,2,FALSE)</f>
        <v>Europe</v>
      </c>
      <c r="G236" s="4">
        <v>2</v>
      </c>
      <c r="H236" s="4">
        <v>0</v>
      </c>
    </row>
    <row r="237" spans="2:8" x14ac:dyDescent="0.2">
      <c r="B237" s="3" t="s">
        <v>140</v>
      </c>
      <c r="C237" s="3" t="s">
        <v>36</v>
      </c>
      <c r="D237" s="3" t="str">
        <f>VLOOKUP(C237,Countries!$B$3:$C$140,2,FALSE)</f>
        <v>Europe</v>
      </c>
      <c r="E237" s="3" t="s">
        <v>22</v>
      </c>
      <c r="F237" s="3" t="str">
        <f>VLOOKUP(E237,Countries!$B$3:$C$140,2,FALSE)</f>
        <v>Europe</v>
      </c>
      <c r="G237" s="4">
        <v>4</v>
      </c>
      <c r="H237" s="4">
        <v>0</v>
      </c>
    </row>
    <row r="238" spans="2:8" x14ac:dyDescent="0.2">
      <c r="B238" s="3" t="s">
        <v>140</v>
      </c>
      <c r="C238" s="3" t="s">
        <v>36</v>
      </c>
      <c r="D238" s="3" t="str">
        <f>VLOOKUP(C238,Countries!$B$3:$C$140,2,FALSE)</f>
        <v>Europe</v>
      </c>
      <c r="E238" s="3" t="s">
        <v>23</v>
      </c>
      <c r="F238" s="3" t="str">
        <f>VLOOKUP(E238,Countries!$B$3:$C$140,2,FALSE)</f>
        <v>Europe</v>
      </c>
      <c r="G238" s="4">
        <v>2</v>
      </c>
      <c r="H238" s="4">
        <v>40358.309451000001</v>
      </c>
    </row>
    <row r="239" spans="2:8" x14ac:dyDescent="0.2">
      <c r="B239" s="3" t="s">
        <v>140</v>
      </c>
      <c r="C239" s="3" t="s">
        <v>36</v>
      </c>
      <c r="D239" s="3" t="str">
        <f>VLOOKUP(C239,Countries!$B$3:$C$140,2,FALSE)</f>
        <v>Europe</v>
      </c>
      <c r="E239" s="3" t="s">
        <v>53</v>
      </c>
      <c r="F239" s="3" t="str">
        <f>VLOOKUP(E239,Countries!$B$3:$C$140,2,FALSE)</f>
        <v>Europe</v>
      </c>
      <c r="G239" s="4">
        <v>10</v>
      </c>
      <c r="H239" s="4">
        <v>1419603.5349389249</v>
      </c>
    </row>
    <row r="240" spans="2:8" x14ac:dyDescent="0.2">
      <c r="B240" s="3" t="s">
        <v>140</v>
      </c>
      <c r="C240" s="3" t="s">
        <v>36</v>
      </c>
      <c r="D240" s="3" t="str">
        <f>VLOOKUP(C240,Countries!$B$3:$C$140,2,FALSE)</f>
        <v>Europe</v>
      </c>
      <c r="E240" s="3" t="s">
        <v>54</v>
      </c>
      <c r="F240" s="3" t="str">
        <f>VLOOKUP(E240,Countries!$B$3:$C$140,2,FALSE)</f>
        <v>Europe</v>
      </c>
      <c r="G240" s="4">
        <v>6</v>
      </c>
      <c r="H240" s="4">
        <v>472192.22057670006</v>
      </c>
    </row>
    <row r="241" spans="2:8" x14ac:dyDescent="0.2">
      <c r="B241" s="3" t="s">
        <v>140</v>
      </c>
      <c r="C241" s="3" t="s">
        <v>36</v>
      </c>
      <c r="D241" s="3" t="str">
        <f>VLOOKUP(C241,Countries!$B$3:$C$140,2,FALSE)</f>
        <v>Europe</v>
      </c>
      <c r="E241" s="3" t="s">
        <v>25</v>
      </c>
      <c r="F241" s="3" t="str">
        <f>VLOOKUP(E241,Countries!$B$3:$C$140,2,FALSE)</f>
        <v>Europe</v>
      </c>
      <c r="G241" s="4">
        <v>6</v>
      </c>
      <c r="H241" s="4">
        <v>403583.09450999997</v>
      </c>
    </row>
    <row r="242" spans="2:8" x14ac:dyDescent="0.2">
      <c r="B242" s="3" t="s">
        <v>140</v>
      </c>
      <c r="C242" s="3" t="s">
        <v>36</v>
      </c>
      <c r="D242" s="3" t="str">
        <f>VLOOKUP(C242,Countries!$B$3:$C$140,2,FALSE)</f>
        <v>Europe</v>
      </c>
      <c r="E242" s="3" t="s">
        <v>26</v>
      </c>
      <c r="F242" s="3" t="str">
        <f>VLOOKUP(E242,Countries!$B$3:$C$140,2,FALSE)</f>
        <v>Europe</v>
      </c>
      <c r="G242" s="4">
        <v>12</v>
      </c>
      <c r="H242" s="4">
        <v>0</v>
      </c>
    </row>
    <row r="243" spans="2:8" x14ac:dyDescent="0.2">
      <c r="B243" s="3" t="s">
        <v>140</v>
      </c>
      <c r="C243" s="3" t="s">
        <v>36</v>
      </c>
      <c r="D243" s="3" t="str">
        <f>VLOOKUP(C243,Countries!$B$3:$C$140,2,FALSE)</f>
        <v>Europe</v>
      </c>
      <c r="E243" s="3" t="s">
        <v>46</v>
      </c>
      <c r="F243" s="3" t="str">
        <f>VLOOKUP(E243,Countries!$B$3:$C$140,2,FALSE)</f>
        <v>Europe/Asia</v>
      </c>
      <c r="G243" s="4">
        <v>6</v>
      </c>
      <c r="H243" s="4">
        <v>763583.09450999997</v>
      </c>
    </row>
    <row r="244" spans="2:8" x14ac:dyDescent="0.2">
      <c r="B244" s="3" t="s">
        <v>140</v>
      </c>
      <c r="C244" s="3" t="s">
        <v>36</v>
      </c>
      <c r="D244" s="3" t="str">
        <f>VLOOKUP(C244,Countries!$B$3:$C$140,2,FALSE)</f>
        <v>Europe</v>
      </c>
      <c r="E244" s="3" t="s">
        <v>55</v>
      </c>
      <c r="F244" s="3" t="str">
        <f>VLOOKUP(E244,Countries!$B$3:$C$140,2,FALSE)</f>
        <v>Europe</v>
      </c>
      <c r="G244" s="4">
        <v>4</v>
      </c>
      <c r="H244" s="4">
        <v>0</v>
      </c>
    </row>
    <row r="245" spans="2:8" x14ac:dyDescent="0.2">
      <c r="B245" s="3" t="s">
        <v>140</v>
      </c>
      <c r="C245" s="3" t="s">
        <v>36</v>
      </c>
      <c r="D245" s="3" t="str">
        <f>VLOOKUP(C245,Countries!$B$3:$C$140,2,FALSE)</f>
        <v>Europe</v>
      </c>
      <c r="E245" s="3" t="s">
        <v>90</v>
      </c>
      <c r="F245" s="3" t="str">
        <f>VLOOKUP(E245,Countries!$B$3:$C$140,2,FALSE)</f>
        <v>Asia</v>
      </c>
      <c r="G245" s="4">
        <v>2</v>
      </c>
      <c r="H245" s="4">
        <v>0</v>
      </c>
    </row>
    <row r="246" spans="2:8" x14ac:dyDescent="0.2">
      <c r="B246" s="3" t="s">
        <v>140</v>
      </c>
      <c r="C246" s="3" t="s">
        <v>36</v>
      </c>
      <c r="D246" s="3" t="str">
        <f>VLOOKUP(C246,Countries!$B$3:$C$140,2,FALSE)</f>
        <v>Europe</v>
      </c>
      <c r="E246" s="3" t="s">
        <v>28</v>
      </c>
      <c r="F246" s="3" t="str">
        <f>VLOOKUP(E246,Countries!$B$3:$C$140,2,FALSE)</f>
        <v>Europe</v>
      </c>
      <c r="G246" s="4">
        <v>8</v>
      </c>
      <c r="H246" s="4">
        <v>201791.54725499998</v>
      </c>
    </row>
    <row r="247" spans="2:8" x14ac:dyDescent="0.2">
      <c r="B247" s="3" t="s">
        <v>140</v>
      </c>
      <c r="C247" s="3" t="s">
        <v>36</v>
      </c>
      <c r="D247" s="3" t="str">
        <f>VLOOKUP(C247,Countries!$B$3:$C$140,2,FALSE)</f>
        <v>Europe</v>
      </c>
      <c r="E247" s="3" t="s">
        <v>29</v>
      </c>
      <c r="F247" s="3" t="str">
        <f>VLOOKUP(E247,Countries!$B$3:$C$140,2,FALSE)</f>
        <v>Europe</v>
      </c>
      <c r="G247" s="4">
        <v>8</v>
      </c>
      <c r="H247" s="4">
        <v>0</v>
      </c>
    </row>
    <row r="248" spans="2:8" x14ac:dyDescent="0.2">
      <c r="B248" s="3" t="s">
        <v>140</v>
      </c>
      <c r="C248" s="3" t="s">
        <v>36</v>
      </c>
      <c r="D248" s="3" t="str">
        <f>VLOOKUP(C248,Countries!$B$3:$C$140,2,FALSE)</f>
        <v>Europe</v>
      </c>
      <c r="E248" s="3" t="s">
        <v>56</v>
      </c>
      <c r="F248" s="3" t="str">
        <f>VLOOKUP(E248,Countries!$B$3:$C$140,2,FALSE)</f>
        <v>Europe</v>
      </c>
      <c r="G248" s="4">
        <v>2</v>
      </c>
      <c r="H248" s="4">
        <v>403583.09450999997</v>
      </c>
    </row>
    <row r="249" spans="2:8" x14ac:dyDescent="0.2">
      <c r="B249" s="3" t="s">
        <v>140</v>
      </c>
      <c r="C249" s="3" t="s">
        <v>36</v>
      </c>
      <c r="D249" s="3" t="str">
        <f>VLOOKUP(C249,Countries!$B$3:$C$140,2,FALSE)</f>
        <v>Europe</v>
      </c>
      <c r="E249" s="3" t="s">
        <v>30</v>
      </c>
      <c r="F249" s="3" t="str">
        <f>VLOOKUP(E249,Countries!$B$3:$C$140,2,FALSE)</f>
        <v>Europe</v>
      </c>
      <c r="G249" s="4">
        <v>4</v>
      </c>
      <c r="H249" s="4">
        <v>0</v>
      </c>
    </row>
    <row r="250" spans="2:8" x14ac:dyDescent="0.2">
      <c r="B250" s="3" t="s">
        <v>140</v>
      </c>
      <c r="C250" s="3" t="s">
        <v>36</v>
      </c>
      <c r="D250" s="3" t="str">
        <f>VLOOKUP(C250,Countries!$B$3:$C$140,2,FALSE)</f>
        <v>Europe</v>
      </c>
      <c r="E250" s="3" t="s">
        <v>57</v>
      </c>
      <c r="F250" s="3" t="str">
        <f>VLOOKUP(E250,Countries!$B$3:$C$140,2,FALSE)</f>
        <v>Europe/Asia</v>
      </c>
      <c r="G250" s="4">
        <v>2</v>
      </c>
      <c r="H250" s="4">
        <v>0</v>
      </c>
    </row>
    <row r="251" spans="2:8" x14ac:dyDescent="0.2">
      <c r="B251" s="3" t="s">
        <v>140</v>
      </c>
      <c r="C251" s="3" t="s">
        <v>36</v>
      </c>
      <c r="D251" s="3" t="str">
        <f>VLOOKUP(C251,Countries!$B$3:$C$140,2,FALSE)</f>
        <v>Europe</v>
      </c>
      <c r="E251" s="3" t="s">
        <v>32</v>
      </c>
      <c r="F251" s="3" t="str">
        <f>VLOOKUP(E251,Countries!$B$3:$C$140,2,FALSE)</f>
        <v>Europe</v>
      </c>
      <c r="G251" s="4">
        <v>2</v>
      </c>
      <c r="H251" s="4">
        <v>0</v>
      </c>
    </row>
    <row r="252" spans="2:8" x14ac:dyDescent="0.2">
      <c r="B252" s="3" t="s">
        <v>140</v>
      </c>
      <c r="C252" s="3" t="s">
        <v>36</v>
      </c>
      <c r="D252" s="3" t="str">
        <f>VLOOKUP(C252,Countries!$B$3:$C$140,2,FALSE)</f>
        <v>Europe</v>
      </c>
      <c r="E252" s="3" t="s">
        <v>58</v>
      </c>
      <c r="F252" s="3" t="str">
        <f>VLOOKUP(E252,Countries!$B$3:$C$140,2,FALSE)</f>
        <v>South America</v>
      </c>
      <c r="G252" s="4">
        <v>4</v>
      </c>
      <c r="H252" s="4">
        <v>0</v>
      </c>
    </row>
    <row r="253" spans="2:8" x14ac:dyDescent="0.2">
      <c r="B253" s="3" t="s">
        <v>140</v>
      </c>
      <c r="C253" s="3" t="s">
        <v>36</v>
      </c>
      <c r="D253" s="3" t="str">
        <f>VLOOKUP(C253,Countries!$B$3:$C$140,2,FALSE)</f>
        <v>Europe</v>
      </c>
      <c r="E253" s="3" t="s">
        <v>91</v>
      </c>
      <c r="F253" s="3" t="str">
        <f>VLOOKUP(E253,Countries!$B$3:$C$140,2,FALSE)</f>
        <v>South America</v>
      </c>
      <c r="G253" s="4">
        <v>4</v>
      </c>
      <c r="H253" s="4">
        <v>0</v>
      </c>
    </row>
    <row r="254" spans="2:8" x14ac:dyDescent="0.2">
      <c r="B254" s="3" t="s">
        <v>140</v>
      </c>
      <c r="C254" s="3" t="s">
        <v>9</v>
      </c>
      <c r="D254" s="3" t="str">
        <f>VLOOKUP(C254,Countries!$B$3:$C$140,2,FALSE)</f>
        <v>Europe</v>
      </c>
      <c r="E254" s="3" t="s">
        <v>2</v>
      </c>
      <c r="F254" s="3" t="str">
        <f>VLOOKUP(E254,Countries!$B$3:$C$140,2,FALSE)</f>
        <v>Europe</v>
      </c>
      <c r="G254" s="4">
        <v>4</v>
      </c>
      <c r="H254" s="4">
        <v>0</v>
      </c>
    </row>
    <row r="255" spans="2:8" x14ac:dyDescent="0.2">
      <c r="B255" s="3" t="s">
        <v>140</v>
      </c>
      <c r="C255" s="3" t="s">
        <v>9</v>
      </c>
      <c r="D255" s="3" t="str">
        <f>VLOOKUP(C255,Countries!$B$3:$C$140,2,FALSE)</f>
        <v>Europe</v>
      </c>
      <c r="E255" s="3" t="s">
        <v>48</v>
      </c>
      <c r="F255" s="3" t="str">
        <f>VLOOKUP(E255,Countries!$B$3:$C$140,2,FALSE)</f>
        <v>Oceania</v>
      </c>
      <c r="G255" s="4">
        <v>4</v>
      </c>
      <c r="H255" s="4">
        <v>0</v>
      </c>
    </row>
    <row r="256" spans="2:8" x14ac:dyDescent="0.2">
      <c r="B256" s="3" t="s">
        <v>140</v>
      </c>
      <c r="C256" s="3" t="s">
        <v>9</v>
      </c>
      <c r="D256" s="3" t="str">
        <f>VLOOKUP(C256,Countries!$B$3:$C$140,2,FALSE)</f>
        <v>Europe</v>
      </c>
      <c r="E256" s="3" t="s">
        <v>3</v>
      </c>
      <c r="F256" s="3" t="str">
        <f>VLOOKUP(E256,Countries!$B$3:$C$140,2,FALSE)</f>
        <v>Europe</v>
      </c>
      <c r="G256" s="4">
        <v>6</v>
      </c>
      <c r="H256" s="4">
        <v>0</v>
      </c>
    </row>
    <row r="257" spans="2:8" x14ac:dyDescent="0.2">
      <c r="B257" s="3" t="s">
        <v>140</v>
      </c>
      <c r="C257" s="3" t="s">
        <v>9</v>
      </c>
      <c r="D257" s="3" t="str">
        <f>VLOOKUP(C257,Countries!$B$3:$C$140,2,FALSE)</f>
        <v>Europe</v>
      </c>
      <c r="E257" s="3" t="s">
        <v>4</v>
      </c>
      <c r="F257" s="3" t="str">
        <f>VLOOKUP(E257,Countries!$B$3:$C$140,2,FALSE)</f>
        <v>Asia</v>
      </c>
      <c r="G257" s="4">
        <v>2</v>
      </c>
      <c r="H257" s="4">
        <v>0</v>
      </c>
    </row>
    <row r="258" spans="2:8" x14ac:dyDescent="0.2">
      <c r="B258" s="3" t="s">
        <v>140</v>
      </c>
      <c r="C258" s="3" t="s">
        <v>9</v>
      </c>
      <c r="D258" s="3" t="str">
        <f>VLOOKUP(C258,Countries!$B$3:$C$140,2,FALSE)</f>
        <v>Europe</v>
      </c>
      <c r="E258" s="3" t="s">
        <v>35</v>
      </c>
      <c r="F258" s="3" t="str">
        <f>VLOOKUP(E258,Countries!$B$3:$C$140,2,FALSE)</f>
        <v>Europe</v>
      </c>
      <c r="G258" s="4">
        <v>2</v>
      </c>
      <c r="H258" s="4">
        <v>0</v>
      </c>
    </row>
    <row r="259" spans="2:8" x14ac:dyDescent="0.2">
      <c r="B259" s="3" t="s">
        <v>140</v>
      </c>
      <c r="C259" s="3" t="s">
        <v>9</v>
      </c>
      <c r="D259" s="3" t="str">
        <f>VLOOKUP(C259,Countries!$B$3:$C$140,2,FALSE)</f>
        <v>Europe</v>
      </c>
      <c r="E259" s="3" t="s">
        <v>6</v>
      </c>
      <c r="F259" s="3" t="str">
        <f>VLOOKUP(E259,Countries!$B$3:$C$140,2,FALSE)</f>
        <v>Europe</v>
      </c>
      <c r="G259" s="4">
        <v>22</v>
      </c>
      <c r="H259" s="4">
        <v>1298633.77611</v>
      </c>
    </row>
    <row r="260" spans="2:8" x14ac:dyDescent="0.2">
      <c r="B260" s="3" t="s">
        <v>140</v>
      </c>
      <c r="C260" s="3" t="s">
        <v>9</v>
      </c>
      <c r="D260" s="3" t="str">
        <f>VLOOKUP(C260,Countries!$B$3:$C$140,2,FALSE)</f>
        <v>Europe</v>
      </c>
      <c r="E260" s="3" t="s">
        <v>7</v>
      </c>
      <c r="F260" s="3" t="str">
        <f>VLOOKUP(E260,Countries!$B$3:$C$140,2,FALSE)</f>
        <v>South America</v>
      </c>
      <c r="G260" s="4">
        <v>4</v>
      </c>
      <c r="H260" s="4">
        <v>0</v>
      </c>
    </row>
    <row r="261" spans="2:8" x14ac:dyDescent="0.2">
      <c r="B261" s="3" t="s">
        <v>140</v>
      </c>
      <c r="C261" s="3" t="s">
        <v>9</v>
      </c>
      <c r="D261" s="3" t="str">
        <f>VLOOKUP(C261,Countries!$B$3:$C$140,2,FALSE)</f>
        <v>Europe</v>
      </c>
      <c r="E261" s="3" t="s">
        <v>36</v>
      </c>
      <c r="F261" s="3" t="str">
        <f>VLOOKUP(E261,Countries!$B$3:$C$140,2,FALSE)</f>
        <v>Europe</v>
      </c>
      <c r="G261" s="4">
        <v>2</v>
      </c>
      <c r="H261" s="4">
        <v>0</v>
      </c>
    </row>
    <row r="262" spans="2:8" x14ac:dyDescent="0.2">
      <c r="B262" s="3" t="s">
        <v>140</v>
      </c>
      <c r="C262" s="3" t="s">
        <v>9</v>
      </c>
      <c r="D262" s="3" t="str">
        <f>VLOOKUP(C262,Countries!$B$3:$C$140,2,FALSE)</f>
        <v>Europe</v>
      </c>
      <c r="E262" s="3" t="s">
        <v>89</v>
      </c>
      <c r="F262" s="3" t="str">
        <f>VLOOKUP(E262,Countries!$B$3:$C$140,2,FALSE)</f>
        <v>Asia</v>
      </c>
      <c r="G262" s="4">
        <v>4</v>
      </c>
      <c r="H262" s="4">
        <v>0</v>
      </c>
    </row>
    <row r="263" spans="2:8" x14ac:dyDescent="0.2">
      <c r="B263" s="3" t="s">
        <v>140</v>
      </c>
      <c r="C263" s="3" t="s">
        <v>9</v>
      </c>
      <c r="D263" s="3" t="str">
        <f>VLOOKUP(C263,Countries!$B$3:$C$140,2,FALSE)</f>
        <v>Europe</v>
      </c>
      <c r="E263" s="3" t="s">
        <v>49</v>
      </c>
      <c r="F263" s="3" t="str">
        <f>VLOOKUP(E263,Countries!$B$3:$C$140,2,FALSE)</f>
        <v>Europe</v>
      </c>
      <c r="G263" s="4">
        <v>2</v>
      </c>
      <c r="H263" s="4">
        <v>0</v>
      </c>
    </row>
    <row r="264" spans="2:8" x14ac:dyDescent="0.2">
      <c r="B264" s="3" t="s">
        <v>140</v>
      </c>
      <c r="C264" s="3" t="s">
        <v>9</v>
      </c>
      <c r="D264" s="3" t="str">
        <f>VLOOKUP(C264,Countries!$B$3:$C$140,2,FALSE)</f>
        <v>Europe</v>
      </c>
      <c r="E264" s="3" t="s">
        <v>50</v>
      </c>
      <c r="F264" s="3" t="str">
        <f>VLOOKUP(E264,Countries!$B$3:$C$140,2,FALSE)</f>
        <v>Europe</v>
      </c>
      <c r="G264" s="4">
        <v>2</v>
      </c>
      <c r="H264" s="4">
        <v>0</v>
      </c>
    </row>
    <row r="265" spans="2:8" x14ac:dyDescent="0.2">
      <c r="B265" s="3" t="s">
        <v>140</v>
      </c>
      <c r="C265" s="3" t="s">
        <v>9</v>
      </c>
      <c r="D265" s="3" t="str">
        <f>VLOOKUP(C265,Countries!$B$3:$C$140,2,FALSE)</f>
        <v>Europe</v>
      </c>
      <c r="E265" s="3" t="s">
        <v>73</v>
      </c>
      <c r="F265" s="3" t="str">
        <f>VLOOKUP(E265,Countries!$B$3:$C$140,2,FALSE)</f>
        <v>Europe</v>
      </c>
      <c r="G265" s="4">
        <v>2</v>
      </c>
      <c r="H265" s="4">
        <v>0</v>
      </c>
    </row>
    <row r="266" spans="2:8" x14ac:dyDescent="0.2">
      <c r="B266" s="3" t="s">
        <v>140</v>
      </c>
      <c r="C266" s="3" t="s">
        <v>9</v>
      </c>
      <c r="D266" s="3" t="str">
        <f>VLOOKUP(C266,Countries!$B$3:$C$140,2,FALSE)</f>
        <v>Europe</v>
      </c>
      <c r="E266" s="3" t="s">
        <v>12</v>
      </c>
      <c r="F266" s="3" t="str">
        <f>VLOOKUP(E266,Countries!$B$3:$C$140,2,FALSE)</f>
        <v>Europe</v>
      </c>
      <c r="G266" s="4">
        <v>2</v>
      </c>
      <c r="H266" s="4">
        <v>0</v>
      </c>
    </row>
    <row r="267" spans="2:8" x14ac:dyDescent="0.2">
      <c r="B267" s="3" t="s">
        <v>140</v>
      </c>
      <c r="C267" s="3" t="s">
        <v>9</v>
      </c>
      <c r="D267" s="3" t="str">
        <f>VLOOKUP(C267,Countries!$B$3:$C$140,2,FALSE)</f>
        <v>Europe</v>
      </c>
      <c r="E267" s="3" t="s">
        <v>13</v>
      </c>
      <c r="F267" s="3" t="str">
        <f>VLOOKUP(E267,Countries!$B$3:$C$140,2,FALSE)</f>
        <v>Europe</v>
      </c>
      <c r="G267" s="4">
        <v>12</v>
      </c>
      <c r="H267" s="4">
        <v>10089577.362749999</v>
      </c>
    </row>
    <row r="268" spans="2:8" x14ac:dyDescent="0.2">
      <c r="B268" s="3" t="s">
        <v>140</v>
      </c>
      <c r="C268" s="3" t="s">
        <v>9</v>
      </c>
      <c r="D268" s="3" t="str">
        <f>VLOOKUP(C268,Countries!$B$3:$C$140,2,FALSE)</f>
        <v>Europe</v>
      </c>
      <c r="E268" s="3" t="s">
        <v>14</v>
      </c>
      <c r="F268" s="3" t="str">
        <f>VLOOKUP(E268,Countries!$B$3:$C$140,2,FALSE)</f>
        <v>Europe</v>
      </c>
      <c r="G268" s="4">
        <v>4</v>
      </c>
      <c r="H268" s="4">
        <v>0</v>
      </c>
    </row>
    <row r="269" spans="2:8" x14ac:dyDescent="0.2">
      <c r="B269" s="3" t="s">
        <v>140</v>
      </c>
      <c r="C269" s="3" t="s">
        <v>9</v>
      </c>
      <c r="D269" s="3" t="str">
        <f>VLOOKUP(C269,Countries!$B$3:$C$140,2,FALSE)</f>
        <v>Europe</v>
      </c>
      <c r="E269" s="3" t="s">
        <v>15</v>
      </c>
      <c r="F269" s="3" t="str">
        <f>VLOOKUP(E269,Countries!$B$3:$C$140,2,FALSE)</f>
        <v>Europe</v>
      </c>
      <c r="G269" s="4">
        <v>8</v>
      </c>
      <c r="H269" s="4">
        <v>0</v>
      </c>
    </row>
    <row r="270" spans="2:8" x14ac:dyDescent="0.2">
      <c r="B270" s="3" t="s">
        <v>140</v>
      </c>
      <c r="C270" s="3" t="s">
        <v>9</v>
      </c>
      <c r="D270" s="3" t="str">
        <f>VLOOKUP(C270,Countries!$B$3:$C$140,2,FALSE)</f>
        <v>Europe</v>
      </c>
      <c r="E270" s="3" t="s">
        <v>16</v>
      </c>
      <c r="F270" s="3" t="str">
        <f>VLOOKUP(E270,Countries!$B$3:$C$140,2,FALSE)</f>
        <v>Asia</v>
      </c>
      <c r="G270" s="4">
        <v>2</v>
      </c>
      <c r="H270" s="4">
        <v>0</v>
      </c>
    </row>
    <row r="271" spans="2:8" x14ac:dyDescent="0.2">
      <c r="B271" s="3" t="s">
        <v>140</v>
      </c>
      <c r="C271" s="3" t="s">
        <v>9</v>
      </c>
      <c r="D271" s="3" t="str">
        <f>VLOOKUP(C271,Countries!$B$3:$C$140,2,FALSE)</f>
        <v>Europe</v>
      </c>
      <c r="E271" s="3" t="s">
        <v>51</v>
      </c>
      <c r="F271" s="3" t="str">
        <f>VLOOKUP(E271,Countries!$B$3:$C$140,2,FALSE)</f>
        <v>Asia</v>
      </c>
      <c r="G271" s="4">
        <v>2</v>
      </c>
      <c r="H271" s="4">
        <v>0</v>
      </c>
    </row>
    <row r="272" spans="2:8" x14ac:dyDescent="0.2">
      <c r="B272" s="3" t="s">
        <v>140</v>
      </c>
      <c r="C272" s="3" t="s">
        <v>9</v>
      </c>
      <c r="D272" s="3" t="str">
        <f>VLOOKUP(C272,Countries!$B$3:$C$140,2,FALSE)</f>
        <v>Europe</v>
      </c>
      <c r="E272" s="3" t="s">
        <v>17</v>
      </c>
      <c r="F272" s="3" t="str">
        <f>VLOOKUP(E272,Countries!$B$3:$C$140,2,FALSE)</f>
        <v>Europe</v>
      </c>
      <c r="G272" s="4">
        <v>4</v>
      </c>
      <c r="H272" s="4">
        <v>24214.985670599999</v>
      </c>
    </row>
    <row r="273" spans="2:8" x14ac:dyDescent="0.2">
      <c r="B273" s="3" t="s">
        <v>140</v>
      </c>
      <c r="C273" s="3" t="s">
        <v>9</v>
      </c>
      <c r="D273" s="3" t="str">
        <f>VLOOKUP(C273,Countries!$B$3:$C$140,2,FALSE)</f>
        <v>Europe</v>
      </c>
      <c r="E273" s="3" t="s">
        <v>92</v>
      </c>
      <c r="F273" s="3" t="str">
        <f>VLOOKUP(E273,Countries!$B$3:$C$140,2,FALSE)</f>
        <v>Asia</v>
      </c>
      <c r="G273" s="4">
        <v>2</v>
      </c>
      <c r="H273" s="4">
        <v>0</v>
      </c>
    </row>
    <row r="274" spans="2:8" x14ac:dyDescent="0.2">
      <c r="B274" s="3" t="s">
        <v>140</v>
      </c>
      <c r="C274" s="3" t="s">
        <v>9</v>
      </c>
      <c r="D274" s="3" t="str">
        <f>VLOOKUP(C274,Countries!$B$3:$C$140,2,FALSE)</f>
        <v>Europe</v>
      </c>
      <c r="E274" s="3" t="s">
        <v>93</v>
      </c>
      <c r="F274" s="3" t="str">
        <f>VLOOKUP(E274,Countries!$B$3:$C$140,2,FALSE)</f>
        <v>Asia</v>
      </c>
      <c r="G274" s="4">
        <v>6</v>
      </c>
      <c r="H274" s="4">
        <v>0</v>
      </c>
    </row>
    <row r="275" spans="2:8" x14ac:dyDescent="0.2">
      <c r="B275" s="3" t="s">
        <v>140</v>
      </c>
      <c r="C275" s="3" t="s">
        <v>9</v>
      </c>
      <c r="D275" s="3" t="str">
        <f>VLOOKUP(C275,Countries!$B$3:$C$140,2,FALSE)</f>
        <v>Europe</v>
      </c>
      <c r="E275" s="3" t="s">
        <v>94</v>
      </c>
      <c r="F275" s="3" t="str">
        <f>VLOOKUP(E275,Countries!$B$3:$C$140,2,FALSE)</f>
        <v>North America</v>
      </c>
      <c r="G275" s="4">
        <v>6</v>
      </c>
      <c r="H275" s="4">
        <v>0</v>
      </c>
    </row>
    <row r="276" spans="2:8" x14ac:dyDescent="0.2">
      <c r="B276" s="3" t="s">
        <v>140</v>
      </c>
      <c r="C276" s="3" t="s">
        <v>9</v>
      </c>
      <c r="D276" s="3" t="str">
        <f>VLOOKUP(C276,Countries!$B$3:$C$140,2,FALSE)</f>
        <v>Europe</v>
      </c>
      <c r="E276" s="3" t="s">
        <v>21</v>
      </c>
      <c r="F276" s="3" t="str">
        <f>VLOOKUP(E276,Countries!$B$3:$C$140,2,FALSE)</f>
        <v>Europe</v>
      </c>
      <c r="G276" s="4">
        <v>2</v>
      </c>
      <c r="H276" s="4">
        <v>0</v>
      </c>
    </row>
    <row r="277" spans="2:8" x14ac:dyDescent="0.2">
      <c r="B277" s="3" t="s">
        <v>140</v>
      </c>
      <c r="C277" s="3" t="s">
        <v>9</v>
      </c>
      <c r="D277" s="3" t="str">
        <f>VLOOKUP(C277,Countries!$B$3:$C$140,2,FALSE)</f>
        <v>Europe</v>
      </c>
      <c r="E277" s="3" t="s">
        <v>23</v>
      </c>
      <c r="F277" s="3" t="str">
        <f>VLOOKUP(E277,Countries!$B$3:$C$140,2,FALSE)</f>
        <v>Europe</v>
      </c>
      <c r="G277" s="4">
        <v>2</v>
      </c>
      <c r="H277" s="4">
        <v>2925977.4351975</v>
      </c>
    </row>
    <row r="278" spans="2:8" x14ac:dyDescent="0.2">
      <c r="B278" s="3" t="s">
        <v>140</v>
      </c>
      <c r="C278" s="3" t="s">
        <v>9</v>
      </c>
      <c r="D278" s="3" t="str">
        <f>VLOOKUP(C278,Countries!$B$3:$C$140,2,FALSE)</f>
        <v>Europe</v>
      </c>
      <c r="E278" s="3" t="s">
        <v>54</v>
      </c>
      <c r="F278" s="3" t="str">
        <f>VLOOKUP(E278,Countries!$B$3:$C$140,2,FALSE)</f>
        <v>Europe</v>
      </c>
      <c r="G278" s="4">
        <v>4</v>
      </c>
      <c r="H278" s="4">
        <v>0</v>
      </c>
    </row>
    <row r="279" spans="2:8" x14ac:dyDescent="0.2">
      <c r="B279" s="3" t="s">
        <v>140</v>
      </c>
      <c r="C279" s="3" t="s">
        <v>9</v>
      </c>
      <c r="D279" s="3" t="str">
        <f>VLOOKUP(C279,Countries!$B$3:$C$140,2,FALSE)</f>
        <v>Europe</v>
      </c>
      <c r="E279" s="3" t="s">
        <v>25</v>
      </c>
      <c r="F279" s="3" t="str">
        <f>VLOOKUP(E279,Countries!$B$3:$C$140,2,FALSE)</f>
        <v>Europe</v>
      </c>
      <c r="G279" s="4">
        <v>2</v>
      </c>
      <c r="H279" s="4">
        <v>100895.77362749999</v>
      </c>
    </row>
    <row r="280" spans="2:8" x14ac:dyDescent="0.2">
      <c r="B280" s="3" t="s">
        <v>140</v>
      </c>
      <c r="C280" s="3" t="s">
        <v>9</v>
      </c>
      <c r="D280" s="3" t="str">
        <f>VLOOKUP(C280,Countries!$B$3:$C$140,2,FALSE)</f>
        <v>Europe</v>
      </c>
      <c r="E280" s="3" t="s">
        <v>46</v>
      </c>
      <c r="F280" s="3" t="str">
        <f>VLOOKUP(E280,Countries!$B$3:$C$140,2,FALSE)</f>
        <v>Europe/Asia</v>
      </c>
      <c r="G280" s="4">
        <v>2</v>
      </c>
      <c r="H280" s="4">
        <v>423.76224923550001</v>
      </c>
    </row>
    <row r="281" spans="2:8" x14ac:dyDescent="0.2">
      <c r="B281" s="3" t="s">
        <v>140</v>
      </c>
      <c r="C281" s="3" t="s">
        <v>9</v>
      </c>
      <c r="D281" s="3" t="str">
        <f>VLOOKUP(C281,Countries!$B$3:$C$140,2,FALSE)</f>
        <v>Europe</v>
      </c>
      <c r="E281" s="3" t="s">
        <v>55</v>
      </c>
      <c r="F281" s="3" t="str">
        <f>VLOOKUP(E281,Countries!$B$3:$C$140,2,FALSE)</f>
        <v>Europe</v>
      </c>
      <c r="G281" s="4">
        <v>2</v>
      </c>
      <c r="H281" s="4">
        <v>0</v>
      </c>
    </row>
    <row r="282" spans="2:8" x14ac:dyDescent="0.2">
      <c r="B282" s="3" t="s">
        <v>140</v>
      </c>
      <c r="C282" s="3" t="s">
        <v>9</v>
      </c>
      <c r="D282" s="3" t="str">
        <f>VLOOKUP(C282,Countries!$B$3:$C$140,2,FALSE)</f>
        <v>Europe</v>
      </c>
      <c r="E282" s="3" t="s">
        <v>30</v>
      </c>
      <c r="F282" s="3" t="str">
        <f>VLOOKUP(E282,Countries!$B$3:$C$140,2,FALSE)</f>
        <v>Europe</v>
      </c>
      <c r="G282" s="4">
        <v>12</v>
      </c>
      <c r="H282" s="4">
        <v>0</v>
      </c>
    </row>
    <row r="283" spans="2:8" x14ac:dyDescent="0.2">
      <c r="B283" s="3" t="s">
        <v>140</v>
      </c>
      <c r="C283" s="3" t="s">
        <v>9</v>
      </c>
      <c r="D283" s="3" t="str">
        <f>VLOOKUP(C283,Countries!$B$3:$C$140,2,FALSE)</f>
        <v>Europe</v>
      </c>
      <c r="E283" s="3" t="s">
        <v>31</v>
      </c>
      <c r="F283" s="3" t="str">
        <f>VLOOKUP(E283,Countries!$B$3:$C$140,2,FALSE)</f>
        <v>Europe</v>
      </c>
      <c r="G283" s="4">
        <v>4</v>
      </c>
      <c r="H283" s="4">
        <v>0</v>
      </c>
    </row>
    <row r="284" spans="2:8" x14ac:dyDescent="0.2">
      <c r="B284" s="3" t="s">
        <v>140</v>
      </c>
      <c r="C284" s="3" t="s">
        <v>9</v>
      </c>
      <c r="D284" s="3" t="str">
        <f>VLOOKUP(C284,Countries!$B$3:$C$140,2,FALSE)</f>
        <v>Europe</v>
      </c>
      <c r="E284" s="3" t="s">
        <v>57</v>
      </c>
      <c r="F284" s="3" t="str">
        <f>VLOOKUP(E284,Countries!$B$3:$C$140,2,FALSE)</f>
        <v>Europe/Asia</v>
      </c>
      <c r="G284" s="4">
        <v>4</v>
      </c>
      <c r="H284" s="4">
        <v>0</v>
      </c>
    </row>
    <row r="285" spans="2:8" x14ac:dyDescent="0.2">
      <c r="B285" s="3" t="s">
        <v>140</v>
      </c>
      <c r="C285" s="3" t="s">
        <v>9</v>
      </c>
      <c r="D285" s="3" t="str">
        <f>VLOOKUP(C285,Countries!$B$3:$C$140,2,FALSE)</f>
        <v>Europe</v>
      </c>
      <c r="E285" s="3" t="s">
        <v>32</v>
      </c>
      <c r="F285" s="3" t="str">
        <f>VLOOKUP(E285,Countries!$B$3:$C$140,2,FALSE)</f>
        <v>Europe</v>
      </c>
      <c r="G285" s="4">
        <v>4</v>
      </c>
      <c r="H285" s="4">
        <v>0</v>
      </c>
    </row>
    <row r="286" spans="2:8" x14ac:dyDescent="0.2">
      <c r="B286" s="3" t="s">
        <v>140</v>
      </c>
      <c r="C286" s="3" t="s">
        <v>62</v>
      </c>
      <c r="D286" s="3" t="str">
        <f>VLOOKUP(C286,Countries!$B$3:$C$140,2,FALSE)</f>
        <v>Asia</v>
      </c>
      <c r="E286" s="3" t="s">
        <v>2</v>
      </c>
      <c r="F286" s="3" t="str">
        <f>VLOOKUP(E286,Countries!$B$3:$C$140,2,FALSE)</f>
        <v>Europe</v>
      </c>
      <c r="G286" s="4">
        <v>6</v>
      </c>
      <c r="H286" s="4">
        <v>0</v>
      </c>
    </row>
    <row r="287" spans="2:8" x14ac:dyDescent="0.2">
      <c r="B287" s="3" t="s">
        <v>140</v>
      </c>
      <c r="C287" s="3" t="s">
        <v>62</v>
      </c>
      <c r="D287" s="3" t="str">
        <f>VLOOKUP(C287,Countries!$B$3:$C$140,2,FALSE)</f>
        <v>Asia</v>
      </c>
      <c r="E287" s="3" t="s">
        <v>69</v>
      </c>
      <c r="F287" s="3" t="str">
        <f>VLOOKUP(E287,Countries!$B$3:$C$140,2,FALSE)</f>
        <v>South America</v>
      </c>
      <c r="G287" s="4">
        <v>2</v>
      </c>
      <c r="H287" s="4">
        <v>0</v>
      </c>
    </row>
    <row r="288" spans="2:8" x14ac:dyDescent="0.2">
      <c r="B288" s="3" t="s">
        <v>140</v>
      </c>
      <c r="C288" s="3" t="s">
        <v>62</v>
      </c>
      <c r="D288" s="3" t="str">
        <f>VLOOKUP(C288,Countries!$B$3:$C$140,2,FALSE)</f>
        <v>Asia</v>
      </c>
      <c r="E288" s="3" t="s">
        <v>4</v>
      </c>
      <c r="F288" s="3" t="str">
        <f>VLOOKUP(E288,Countries!$B$3:$C$140,2,FALSE)</f>
        <v>Asia</v>
      </c>
      <c r="G288" s="4">
        <v>2</v>
      </c>
      <c r="H288" s="4">
        <v>0</v>
      </c>
    </row>
    <row r="289" spans="2:8" x14ac:dyDescent="0.2">
      <c r="B289" s="3" t="s">
        <v>140</v>
      </c>
      <c r="C289" s="3" t="s">
        <v>62</v>
      </c>
      <c r="D289" s="3" t="str">
        <f>VLOOKUP(C289,Countries!$B$3:$C$140,2,FALSE)</f>
        <v>Asia</v>
      </c>
      <c r="E289" s="3" t="s">
        <v>35</v>
      </c>
      <c r="F289" s="3" t="str">
        <f>VLOOKUP(E289,Countries!$B$3:$C$140,2,FALSE)</f>
        <v>Europe</v>
      </c>
      <c r="G289" s="4">
        <v>8</v>
      </c>
      <c r="H289" s="4">
        <v>195326.83587000001</v>
      </c>
    </row>
    <row r="290" spans="2:8" x14ac:dyDescent="0.2">
      <c r="B290" s="3" t="s">
        <v>140</v>
      </c>
      <c r="C290" s="3" t="s">
        <v>62</v>
      </c>
      <c r="D290" s="3" t="str">
        <f>VLOOKUP(C290,Countries!$B$3:$C$140,2,FALSE)</f>
        <v>Asia</v>
      </c>
      <c r="E290" s="3" t="s">
        <v>5</v>
      </c>
      <c r="F290" s="3" t="str">
        <f>VLOOKUP(E290,Countries!$B$3:$C$140,2,FALSE)</f>
        <v>Asia</v>
      </c>
      <c r="G290" s="4">
        <v>2</v>
      </c>
      <c r="H290" s="4">
        <v>0</v>
      </c>
    </row>
    <row r="291" spans="2:8" x14ac:dyDescent="0.2">
      <c r="B291" s="3" t="s">
        <v>140</v>
      </c>
      <c r="C291" s="3" t="s">
        <v>62</v>
      </c>
      <c r="D291" s="3" t="str">
        <f>VLOOKUP(C291,Countries!$B$3:$C$140,2,FALSE)</f>
        <v>Asia</v>
      </c>
      <c r="E291" s="3" t="s">
        <v>6</v>
      </c>
      <c r="F291" s="3" t="str">
        <f>VLOOKUP(E291,Countries!$B$3:$C$140,2,FALSE)</f>
        <v>Europe</v>
      </c>
      <c r="G291" s="4">
        <v>2</v>
      </c>
      <c r="H291" s="4">
        <v>0</v>
      </c>
    </row>
    <row r="292" spans="2:8" x14ac:dyDescent="0.2">
      <c r="B292" s="3" t="s">
        <v>140</v>
      </c>
      <c r="C292" s="3" t="s">
        <v>62</v>
      </c>
      <c r="D292" s="3" t="str">
        <f>VLOOKUP(C292,Countries!$B$3:$C$140,2,FALSE)</f>
        <v>Asia</v>
      </c>
      <c r="E292" s="3" t="s">
        <v>59</v>
      </c>
      <c r="F292" s="3" t="str">
        <f>VLOOKUP(E292,Countries!$B$3:$C$140,2,FALSE)</f>
        <v>Europe</v>
      </c>
      <c r="G292" s="4">
        <v>2</v>
      </c>
      <c r="H292" s="4">
        <v>0</v>
      </c>
    </row>
    <row r="293" spans="2:8" x14ac:dyDescent="0.2">
      <c r="B293" s="3" t="s">
        <v>140</v>
      </c>
      <c r="C293" s="3" t="s">
        <v>62</v>
      </c>
      <c r="D293" s="3" t="str">
        <f>VLOOKUP(C293,Countries!$B$3:$C$140,2,FALSE)</f>
        <v>Asia</v>
      </c>
      <c r="E293" s="3" t="s">
        <v>7</v>
      </c>
      <c r="F293" s="3" t="str">
        <f>VLOOKUP(E293,Countries!$B$3:$C$140,2,FALSE)</f>
        <v>South America</v>
      </c>
      <c r="G293" s="4">
        <v>4</v>
      </c>
      <c r="H293" s="4">
        <v>0</v>
      </c>
    </row>
    <row r="294" spans="2:8" x14ac:dyDescent="0.2">
      <c r="B294" s="3" t="s">
        <v>140</v>
      </c>
      <c r="C294" s="3" t="s">
        <v>62</v>
      </c>
      <c r="D294" s="3" t="str">
        <f>VLOOKUP(C294,Countries!$B$3:$C$140,2,FALSE)</f>
        <v>Asia</v>
      </c>
      <c r="E294" s="3" t="s">
        <v>36</v>
      </c>
      <c r="F294" s="3" t="str">
        <f>VLOOKUP(E294,Countries!$B$3:$C$140,2,FALSE)</f>
        <v>Europe</v>
      </c>
      <c r="G294" s="4">
        <v>24</v>
      </c>
      <c r="H294" s="4">
        <v>1077575.7943499999</v>
      </c>
    </row>
    <row r="295" spans="2:8" x14ac:dyDescent="0.2">
      <c r="B295" s="3" t="s">
        <v>140</v>
      </c>
      <c r="C295" s="3" t="s">
        <v>62</v>
      </c>
      <c r="D295" s="3" t="str">
        <f>VLOOKUP(C295,Countries!$B$3:$C$140,2,FALSE)</f>
        <v>Asia</v>
      </c>
      <c r="E295" s="3" t="s">
        <v>9</v>
      </c>
      <c r="F295" s="3" t="str">
        <f>VLOOKUP(E295,Countries!$B$3:$C$140,2,FALSE)</f>
        <v>Europe</v>
      </c>
      <c r="G295" s="4">
        <v>2</v>
      </c>
      <c r="H295" s="4">
        <v>0</v>
      </c>
    </row>
    <row r="296" spans="2:8" x14ac:dyDescent="0.2">
      <c r="B296" s="3" t="s">
        <v>140</v>
      </c>
      <c r="C296" s="3" t="s">
        <v>62</v>
      </c>
      <c r="D296" s="3" t="str">
        <f>VLOOKUP(C296,Countries!$B$3:$C$140,2,FALSE)</f>
        <v>Asia</v>
      </c>
      <c r="E296" s="3" t="s">
        <v>49</v>
      </c>
      <c r="F296" s="3" t="str">
        <f>VLOOKUP(E296,Countries!$B$3:$C$140,2,FALSE)</f>
        <v>Europe</v>
      </c>
      <c r="G296" s="4">
        <v>4</v>
      </c>
      <c r="H296" s="4">
        <v>4977599.2768949997</v>
      </c>
    </row>
    <row r="297" spans="2:8" x14ac:dyDescent="0.2">
      <c r="B297" s="3" t="s">
        <v>140</v>
      </c>
      <c r="C297" s="3" t="s">
        <v>62</v>
      </c>
      <c r="D297" s="3" t="str">
        <f>VLOOKUP(C297,Countries!$B$3:$C$140,2,FALSE)</f>
        <v>Asia</v>
      </c>
      <c r="E297" s="3" t="s">
        <v>50</v>
      </c>
      <c r="F297" s="3" t="str">
        <f>VLOOKUP(E297,Countries!$B$3:$C$140,2,FALSE)</f>
        <v>Europe</v>
      </c>
      <c r="G297" s="4">
        <v>24</v>
      </c>
      <c r="H297" s="4">
        <v>0</v>
      </c>
    </row>
    <row r="298" spans="2:8" x14ac:dyDescent="0.2">
      <c r="B298" s="3" t="s">
        <v>140</v>
      </c>
      <c r="C298" s="3" t="s">
        <v>62</v>
      </c>
      <c r="D298" s="3" t="str">
        <f>VLOOKUP(C298,Countries!$B$3:$C$140,2,FALSE)</f>
        <v>Asia</v>
      </c>
      <c r="E298" s="3" t="s">
        <v>11</v>
      </c>
      <c r="F298" s="3" t="str">
        <f>VLOOKUP(E298,Countries!$B$3:$C$140,2,FALSE)</f>
        <v>Europe</v>
      </c>
      <c r="G298" s="4">
        <v>16</v>
      </c>
      <c r="H298" s="4">
        <v>0</v>
      </c>
    </row>
    <row r="299" spans="2:8" x14ac:dyDescent="0.2">
      <c r="B299" s="3" t="s">
        <v>140</v>
      </c>
      <c r="C299" s="3" t="s">
        <v>62</v>
      </c>
      <c r="D299" s="3" t="str">
        <f>VLOOKUP(C299,Countries!$B$3:$C$140,2,FALSE)</f>
        <v>Asia</v>
      </c>
      <c r="E299" s="3" t="s">
        <v>12</v>
      </c>
      <c r="F299" s="3" t="str">
        <f>VLOOKUP(E299,Countries!$B$3:$C$140,2,FALSE)</f>
        <v>Europe</v>
      </c>
      <c r="G299" s="4">
        <v>22</v>
      </c>
      <c r="H299" s="4">
        <v>0</v>
      </c>
    </row>
    <row r="300" spans="2:8" x14ac:dyDescent="0.2">
      <c r="B300" s="3" t="s">
        <v>140</v>
      </c>
      <c r="C300" s="3" t="s">
        <v>62</v>
      </c>
      <c r="D300" s="3" t="str">
        <f>VLOOKUP(C300,Countries!$B$3:$C$140,2,FALSE)</f>
        <v>Asia</v>
      </c>
      <c r="E300" s="3" t="s">
        <v>13</v>
      </c>
      <c r="F300" s="3" t="str">
        <f>VLOOKUP(E300,Countries!$B$3:$C$140,2,FALSE)</f>
        <v>Europe</v>
      </c>
      <c r="G300" s="4">
        <v>8</v>
      </c>
      <c r="H300" s="4">
        <v>0</v>
      </c>
    </row>
    <row r="301" spans="2:8" x14ac:dyDescent="0.2">
      <c r="B301" s="3" t="s">
        <v>140</v>
      </c>
      <c r="C301" s="3" t="s">
        <v>62</v>
      </c>
      <c r="D301" s="3" t="str">
        <f>VLOOKUP(C301,Countries!$B$3:$C$140,2,FALSE)</f>
        <v>Asia</v>
      </c>
      <c r="E301" s="3" t="s">
        <v>64</v>
      </c>
      <c r="F301" s="3" t="str">
        <f>VLOOKUP(E301,Countries!$B$3:$C$140,2,FALSE)</f>
        <v>Africa</v>
      </c>
      <c r="G301" s="4">
        <v>6</v>
      </c>
      <c r="H301" s="4">
        <v>0</v>
      </c>
    </row>
    <row r="302" spans="2:8" x14ac:dyDescent="0.2">
      <c r="B302" s="3" t="s">
        <v>140</v>
      </c>
      <c r="C302" s="3" t="s">
        <v>62</v>
      </c>
      <c r="D302" s="3" t="str">
        <f>VLOOKUP(C302,Countries!$B$3:$C$140,2,FALSE)</f>
        <v>Asia</v>
      </c>
      <c r="E302" s="3" t="s">
        <v>14</v>
      </c>
      <c r="F302" s="3" t="str">
        <f>VLOOKUP(E302,Countries!$B$3:$C$140,2,FALSE)</f>
        <v>Europe</v>
      </c>
      <c r="G302" s="4">
        <v>70</v>
      </c>
      <c r="H302" s="4">
        <v>0</v>
      </c>
    </row>
    <row r="303" spans="2:8" x14ac:dyDescent="0.2">
      <c r="B303" s="3" t="s">
        <v>140</v>
      </c>
      <c r="C303" s="3" t="s">
        <v>62</v>
      </c>
      <c r="D303" s="3" t="str">
        <f>VLOOKUP(C303,Countries!$B$3:$C$140,2,FALSE)</f>
        <v>Asia</v>
      </c>
      <c r="E303" s="3" t="s">
        <v>15</v>
      </c>
      <c r="F303" s="3" t="str">
        <f>VLOOKUP(E303,Countries!$B$3:$C$140,2,FALSE)</f>
        <v>Europe</v>
      </c>
      <c r="G303" s="4">
        <v>8</v>
      </c>
      <c r="H303" s="4">
        <v>1614332.3780399999</v>
      </c>
    </row>
    <row r="304" spans="2:8" x14ac:dyDescent="0.2">
      <c r="B304" s="3" t="s">
        <v>140</v>
      </c>
      <c r="C304" s="3" t="s">
        <v>62</v>
      </c>
      <c r="D304" s="3" t="str">
        <f>VLOOKUP(C304,Countries!$B$3:$C$140,2,FALSE)</f>
        <v>Asia</v>
      </c>
      <c r="E304" s="3" t="s">
        <v>16</v>
      </c>
      <c r="F304" s="3" t="str">
        <f>VLOOKUP(E304,Countries!$B$3:$C$140,2,FALSE)</f>
        <v>Asia</v>
      </c>
      <c r="G304" s="4">
        <v>2</v>
      </c>
      <c r="H304" s="4">
        <v>0</v>
      </c>
    </row>
    <row r="305" spans="2:8" x14ac:dyDescent="0.2">
      <c r="B305" s="3" t="s">
        <v>140</v>
      </c>
      <c r="C305" s="3" t="s">
        <v>62</v>
      </c>
      <c r="D305" s="3" t="str">
        <f>VLOOKUP(C305,Countries!$B$3:$C$140,2,FALSE)</f>
        <v>Asia</v>
      </c>
      <c r="E305" s="3" t="s">
        <v>51</v>
      </c>
      <c r="F305" s="3" t="str">
        <f>VLOOKUP(E305,Countries!$B$3:$C$140,2,FALSE)</f>
        <v>Asia</v>
      </c>
      <c r="G305" s="4">
        <v>14</v>
      </c>
      <c r="H305" s="4">
        <v>403.58309451000002</v>
      </c>
    </row>
    <row r="306" spans="2:8" x14ac:dyDescent="0.2">
      <c r="B306" s="3" t="s">
        <v>140</v>
      </c>
      <c r="C306" s="3" t="s">
        <v>62</v>
      </c>
      <c r="D306" s="3" t="str">
        <f>VLOOKUP(C306,Countries!$B$3:$C$140,2,FALSE)</f>
        <v>Asia</v>
      </c>
      <c r="E306" s="3" t="s">
        <v>17</v>
      </c>
      <c r="F306" s="3" t="str">
        <f>VLOOKUP(E306,Countries!$B$3:$C$140,2,FALSE)</f>
        <v>Europe</v>
      </c>
      <c r="G306" s="4">
        <v>2</v>
      </c>
      <c r="H306" s="4">
        <v>0</v>
      </c>
    </row>
    <row r="307" spans="2:8" x14ac:dyDescent="0.2">
      <c r="B307" s="3" t="s">
        <v>140</v>
      </c>
      <c r="C307" s="3" t="s">
        <v>62</v>
      </c>
      <c r="D307" s="3" t="str">
        <f>VLOOKUP(C307,Countries!$B$3:$C$140,2,FALSE)</f>
        <v>Asia</v>
      </c>
      <c r="E307" s="3" t="s">
        <v>66</v>
      </c>
      <c r="F307" s="3" t="str">
        <f>VLOOKUP(E307,Countries!$B$3:$C$140,2,FALSE)</f>
        <v>Europe</v>
      </c>
      <c r="G307" s="4">
        <v>2</v>
      </c>
      <c r="H307" s="4">
        <v>0</v>
      </c>
    </row>
    <row r="308" spans="2:8" x14ac:dyDescent="0.2">
      <c r="B308" s="3" t="s">
        <v>140</v>
      </c>
      <c r="C308" s="3" t="s">
        <v>62</v>
      </c>
      <c r="D308" s="3" t="str">
        <f>VLOOKUP(C308,Countries!$B$3:$C$140,2,FALSE)</f>
        <v>Asia</v>
      </c>
      <c r="E308" s="3" t="s">
        <v>77</v>
      </c>
      <c r="F308" s="3" t="str">
        <f>VLOOKUP(E308,Countries!$B$3:$C$140,2,FALSE)</f>
        <v>Europe</v>
      </c>
      <c r="G308" s="4">
        <v>2</v>
      </c>
      <c r="H308" s="4">
        <v>0</v>
      </c>
    </row>
    <row r="309" spans="2:8" x14ac:dyDescent="0.2">
      <c r="B309" s="3" t="s">
        <v>140</v>
      </c>
      <c r="C309" s="3" t="s">
        <v>62</v>
      </c>
      <c r="D309" s="3" t="str">
        <f>VLOOKUP(C309,Countries!$B$3:$C$140,2,FALSE)</f>
        <v>Asia</v>
      </c>
      <c r="E309" s="3" t="s">
        <v>52</v>
      </c>
      <c r="F309" s="3" t="str">
        <f>VLOOKUP(E309,Countries!$B$3:$C$140,2,FALSE)</f>
        <v>Europe</v>
      </c>
      <c r="G309" s="4">
        <v>2</v>
      </c>
      <c r="H309" s="4">
        <v>0</v>
      </c>
    </row>
    <row r="310" spans="2:8" x14ac:dyDescent="0.2">
      <c r="B310" s="3" t="s">
        <v>140</v>
      </c>
      <c r="C310" s="3" t="s">
        <v>62</v>
      </c>
      <c r="D310" s="3" t="str">
        <f>VLOOKUP(C310,Countries!$B$3:$C$140,2,FALSE)</f>
        <v>Asia</v>
      </c>
      <c r="E310" s="3" t="s">
        <v>42</v>
      </c>
      <c r="F310" s="3" t="str">
        <f>VLOOKUP(E310,Countries!$B$3:$C$140,2,FALSE)</f>
        <v>Africa</v>
      </c>
      <c r="G310" s="4">
        <v>2</v>
      </c>
      <c r="H310" s="4">
        <v>0</v>
      </c>
    </row>
    <row r="311" spans="2:8" x14ac:dyDescent="0.2">
      <c r="B311" s="3" t="s">
        <v>140</v>
      </c>
      <c r="C311" s="3" t="s">
        <v>62</v>
      </c>
      <c r="D311" s="3" t="str">
        <f>VLOOKUP(C311,Countries!$B$3:$C$140,2,FALSE)</f>
        <v>Asia</v>
      </c>
      <c r="E311" s="3" t="s">
        <v>43</v>
      </c>
      <c r="F311" s="3" t="str">
        <f>VLOOKUP(E311,Countries!$B$3:$C$140,2,FALSE)</f>
        <v>Europe</v>
      </c>
      <c r="G311" s="4">
        <v>2</v>
      </c>
      <c r="H311" s="4">
        <v>0</v>
      </c>
    </row>
    <row r="312" spans="2:8" x14ac:dyDescent="0.2">
      <c r="B312" s="3" t="s">
        <v>140</v>
      </c>
      <c r="C312" s="3" t="s">
        <v>62</v>
      </c>
      <c r="D312" s="3" t="str">
        <f>VLOOKUP(C312,Countries!$B$3:$C$140,2,FALSE)</f>
        <v>Asia</v>
      </c>
      <c r="E312" s="3" t="s">
        <v>95</v>
      </c>
      <c r="F312" s="3" t="str">
        <f>VLOOKUP(E312,Countries!$B$3:$C$140,2,FALSE)</f>
        <v>Asia</v>
      </c>
      <c r="G312" s="4">
        <v>2</v>
      </c>
      <c r="H312" s="4">
        <v>0</v>
      </c>
    </row>
    <row r="313" spans="2:8" x14ac:dyDescent="0.2">
      <c r="B313" s="3" t="s">
        <v>140</v>
      </c>
      <c r="C313" s="3" t="s">
        <v>62</v>
      </c>
      <c r="D313" s="3" t="str">
        <f>VLOOKUP(C313,Countries!$B$3:$C$140,2,FALSE)</f>
        <v>Asia</v>
      </c>
      <c r="E313" s="3" t="s">
        <v>21</v>
      </c>
      <c r="F313" s="3" t="str">
        <f>VLOOKUP(E313,Countries!$B$3:$C$140,2,FALSE)</f>
        <v>Europe</v>
      </c>
      <c r="G313" s="4">
        <v>4</v>
      </c>
      <c r="H313" s="4">
        <v>0</v>
      </c>
    </row>
    <row r="314" spans="2:8" x14ac:dyDescent="0.2">
      <c r="B314" s="3" t="s">
        <v>140</v>
      </c>
      <c r="C314" s="3" t="s">
        <v>62</v>
      </c>
      <c r="D314" s="3" t="str">
        <f>VLOOKUP(C314,Countries!$B$3:$C$140,2,FALSE)</f>
        <v>Asia</v>
      </c>
      <c r="E314" s="3" t="s">
        <v>22</v>
      </c>
      <c r="F314" s="3" t="str">
        <f>VLOOKUP(E314,Countries!$B$3:$C$140,2,FALSE)</f>
        <v>Europe</v>
      </c>
      <c r="G314" s="4">
        <v>2</v>
      </c>
      <c r="H314" s="4">
        <v>0</v>
      </c>
    </row>
    <row r="315" spans="2:8" x14ac:dyDescent="0.2">
      <c r="B315" s="3" t="s">
        <v>140</v>
      </c>
      <c r="C315" s="3" t="s">
        <v>62</v>
      </c>
      <c r="D315" s="3" t="str">
        <f>VLOOKUP(C315,Countries!$B$3:$C$140,2,FALSE)</f>
        <v>Asia</v>
      </c>
      <c r="E315" s="3" t="s">
        <v>23</v>
      </c>
      <c r="F315" s="3" t="str">
        <f>VLOOKUP(E315,Countries!$B$3:$C$140,2,FALSE)</f>
        <v>Europe</v>
      </c>
      <c r="G315" s="4">
        <v>2</v>
      </c>
      <c r="H315" s="4">
        <v>0</v>
      </c>
    </row>
    <row r="316" spans="2:8" x14ac:dyDescent="0.2">
      <c r="B316" s="3" t="s">
        <v>140</v>
      </c>
      <c r="C316" s="3" t="s">
        <v>62</v>
      </c>
      <c r="D316" s="3" t="str">
        <f>VLOOKUP(C316,Countries!$B$3:$C$140,2,FALSE)</f>
        <v>Asia</v>
      </c>
      <c r="E316" s="3" t="s">
        <v>53</v>
      </c>
      <c r="F316" s="3" t="str">
        <f>VLOOKUP(E316,Countries!$B$3:$C$140,2,FALSE)</f>
        <v>Europe</v>
      </c>
      <c r="G316" s="4">
        <v>6</v>
      </c>
      <c r="H316" s="4">
        <v>645732.95121600002</v>
      </c>
    </row>
    <row r="317" spans="2:8" x14ac:dyDescent="0.2">
      <c r="B317" s="3" t="s">
        <v>140</v>
      </c>
      <c r="C317" s="3" t="s">
        <v>62</v>
      </c>
      <c r="D317" s="3" t="str">
        <f>VLOOKUP(C317,Countries!$B$3:$C$140,2,FALSE)</f>
        <v>Asia</v>
      </c>
      <c r="E317" s="3" t="s">
        <v>80</v>
      </c>
      <c r="F317" s="3" t="str">
        <f>VLOOKUP(E317,Countries!$B$3:$C$140,2,FALSE)</f>
        <v>South America</v>
      </c>
      <c r="G317" s="4">
        <v>2</v>
      </c>
      <c r="H317" s="4">
        <v>0</v>
      </c>
    </row>
    <row r="318" spans="2:8" x14ac:dyDescent="0.2">
      <c r="B318" s="3" t="s">
        <v>140</v>
      </c>
      <c r="C318" s="3" t="s">
        <v>62</v>
      </c>
      <c r="D318" s="3" t="str">
        <f>VLOOKUP(C318,Countries!$B$3:$C$140,2,FALSE)</f>
        <v>Asia</v>
      </c>
      <c r="E318" s="3" t="s">
        <v>54</v>
      </c>
      <c r="F318" s="3" t="str">
        <f>VLOOKUP(E318,Countries!$B$3:$C$140,2,FALSE)</f>
        <v>Europe</v>
      </c>
      <c r="G318" s="4">
        <v>14</v>
      </c>
      <c r="H318" s="4">
        <v>0</v>
      </c>
    </row>
    <row r="319" spans="2:8" x14ac:dyDescent="0.2">
      <c r="B319" s="3" t="s">
        <v>140</v>
      </c>
      <c r="C319" s="3" t="s">
        <v>62</v>
      </c>
      <c r="D319" s="3" t="str">
        <f>VLOOKUP(C319,Countries!$B$3:$C$140,2,FALSE)</f>
        <v>Asia</v>
      </c>
      <c r="E319" s="3" t="s">
        <v>25</v>
      </c>
      <c r="F319" s="3" t="str">
        <f>VLOOKUP(E319,Countries!$B$3:$C$140,2,FALSE)</f>
        <v>Europe</v>
      </c>
      <c r="G319" s="4">
        <v>68</v>
      </c>
      <c r="H319" s="4">
        <v>403583.09450999997</v>
      </c>
    </row>
    <row r="320" spans="2:8" x14ac:dyDescent="0.2">
      <c r="B320" s="3" t="s">
        <v>140</v>
      </c>
      <c r="C320" s="3" t="s">
        <v>62</v>
      </c>
      <c r="D320" s="3" t="str">
        <f>VLOOKUP(C320,Countries!$B$3:$C$140,2,FALSE)</f>
        <v>Asia</v>
      </c>
      <c r="E320" s="3" t="s">
        <v>26</v>
      </c>
      <c r="F320" s="3" t="str">
        <f>VLOOKUP(E320,Countries!$B$3:$C$140,2,FALSE)</f>
        <v>Europe</v>
      </c>
      <c r="G320" s="4">
        <v>18</v>
      </c>
      <c r="H320" s="4">
        <v>0</v>
      </c>
    </row>
    <row r="321" spans="2:8" x14ac:dyDescent="0.2">
      <c r="B321" s="3" t="s">
        <v>140</v>
      </c>
      <c r="C321" s="3" t="s">
        <v>62</v>
      </c>
      <c r="D321" s="3" t="str">
        <f>VLOOKUP(C321,Countries!$B$3:$C$140,2,FALSE)</f>
        <v>Asia</v>
      </c>
      <c r="E321" s="3" t="s">
        <v>82</v>
      </c>
      <c r="F321" s="3" t="e">
        <f>VLOOKUP(E321,Countries!$B$3:$C$140,2,FALSE)</f>
        <v>#N/A</v>
      </c>
      <c r="G321" s="4">
        <v>2</v>
      </c>
      <c r="H321" s="4">
        <v>0</v>
      </c>
    </row>
    <row r="322" spans="2:8" x14ac:dyDescent="0.2">
      <c r="B322" s="3" t="s">
        <v>140</v>
      </c>
      <c r="C322" s="3" t="s">
        <v>62</v>
      </c>
      <c r="D322" s="3" t="str">
        <f>VLOOKUP(C322,Countries!$B$3:$C$140,2,FALSE)</f>
        <v>Asia</v>
      </c>
      <c r="E322" s="3" t="s">
        <v>55</v>
      </c>
      <c r="F322" s="3" t="str">
        <f>VLOOKUP(E322,Countries!$B$3:$C$140,2,FALSE)</f>
        <v>Europe</v>
      </c>
      <c r="G322" s="4">
        <v>10</v>
      </c>
      <c r="H322" s="4">
        <v>0</v>
      </c>
    </row>
    <row r="323" spans="2:8" x14ac:dyDescent="0.2">
      <c r="B323" s="3" t="s">
        <v>140</v>
      </c>
      <c r="C323" s="3" t="s">
        <v>62</v>
      </c>
      <c r="D323" s="3" t="str">
        <f>VLOOKUP(C323,Countries!$B$3:$C$140,2,FALSE)</f>
        <v>Asia</v>
      </c>
      <c r="E323" s="3" t="s">
        <v>96</v>
      </c>
      <c r="F323" s="3" t="str">
        <f>VLOOKUP(E323,Countries!$B$3:$C$140,2,FALSE)</f>
        <v>Africa</v>
      </c>
      <c r="G323" s="4">
        <v>2</v>
      </c>
      <c r="H323" s="4">
        <v>0</v>
      </c>
    </row>
    <row r="324" spans="2:8" x14ac:dyDescent="0.2">
      <c r="B324" s="3" t="s">
        <v>140</v>
      </c>
      <c r="C324" s="3" t="s">
        <v>62</v>
      </c>
      <c r="D324" s="3" t="str">
        <f>VLOOKUP(C324,Countries!$B$3:$C$140,2,FALSE)</f>
        <v>Asia</v>
      </c>
      <c r="E324" s="3" t="s">
        <v>28</v>
      </c>
      <c r="F324" s="3" t="str">
        <f>VLOOKUP(E324,Countries!$B$3:$C$140,2,FALSE)</f>
        <v>Europe</v>
      </c>
      <c r="G324" s="4">
        <v>14</v>
      </c>
      <c r="H324" s="4">
        <v>0</v>
      </c>
    </row>
    <row r="325" spans="2:8" x14ac:dyDescent="0.2">
      <c r="B325" s="3" t="s">
        <v>140</v>
      </c>
      <c r="C325" s="3" t="s">
        <v>62</v>
      </c>
      <c r="D325" s="3" t="str">
        <f>VLOOKUP(C325,Countries!$B$3:$C$140,2,FALSE)</f>
        <v>Asia</v>
      </c>
      <c r="E325" s="3" t="s">
        <v>29</v>
      </c>
      <c r="F325" s="3" t="str">
        <f>VLOOKUP(E325,Countries!$B$3:$C$140,2,FALSE)</f>
        <v>Europe</v>
      </c>
      <c r="G325" s="4">
        <v>4</v>
      </c>
      <c r="H325" s="4">
        <v>0</v>
      </c>
    </row>
    <row r="326" spans="2:8" x14ac:dyDescent="0.2">
      <c r="B326" s="3" t="s">
        <v>140</v>
      </c>
      <c r="C326" s="3" t="s">
        <v>62</v>
      </c>
      <c r="D326" s="3" t="str">
        <f>VLOOKUP(C326,Countries!$B$3:$C$140,2,FALSE)</f>
        <v>Asia</v>
      </c>
      <c r="E326" s="3" t="s">
        <v>56</v>
      </c>
      <c r="F326" s="3" t="str">
        <f>VLOOKUP(E326,Countries!$B$3:$C$140,2,FALSE)</f>
        <v>Europe</v>
      </c>
      <c r="G326" s="4">
        <v>8</v>
      </c>
      <c r="H326" s="4">
        <v>0</v>
      </c>
    </row>
    <row r="327" spans="2:8" x14ac:dyDescent="0.2">
      <c r="B327" s="3" t="s">
        <v>140</v>
      </c>
      <c r="C327" s="3" t="s">
        <v>62</v>
      </c>
      <c r="D327" s="3" t="str">
        <f>VLOOKUP(C327,Countries!$B$3:$C$140,2,FALSE)</f>
        <v>Asia</v>
      </c>
      <c r="E327" s="3" t="s">
        <v>30</v>
      </c>
      <c r="F327" s="3" t="str">
        <f>VLOOKUP(E327,Countries!$B$3:$C$140,2,FALSE)</f>
        <v>Europe</v>
      </c>
      <c r="G327" s="4">
        <v>4</v>
      </c>
      <c r="H327" s="4">
        <v>0</v>
      </c>
    </row>
    <row r="328" spans="2:8" x14ac:dyDescent="0.2">
      <c r="B328" s="3" t="s">
        <v>140</v>
      </c>
      <c r="C328" s="3" t="s">
        <v>62</v>
      </c>
      <c r="D328" s="3" t="str">
        <f>VLOOKUP(C328,Countries!$B$3:$C$140,2,FALSE)</f>
        <v>Asia</v>
      </c>
      <c r="E328" s="3" t="s">
        <v>31</v>
      </c>
      <c r="F328" s="3" t="str">
        <f>VLOOKUP(E328,Countries!$B$3:$C$140,2,FALSE)</f>
        <v>Europe</v>
      </c>
      <c r="G328" s="4">
        <v>4</v>
      </c>
      <c r="H328" s="4">
        <v>0</v>
      </c>
    </row>
    <row r="329" spans="2:8" x14ac:dyDescent="0.2">
      <c r="B329" s="3" t="s">
        <v>140</v>
      </c>
      <c r="C329" s="3" t="s">
        <v>62</v>
      </c>
      <c r="D329" s="3" t="str">
        <f>VLOOKUP(C329,Countries!$B$3:$C$140,2,FALSE)</f>
        <v>Asia</v>
      </c>
      <c r="E329" s="3" t="s">
        <v>57</v>
      </c>
      <c r="F329" s="3" t="str">
        <f>VLOOKUP(E329,Countries!$B$3:$C$140,2,FALSE)</f>
        <v>Europe/Asia</v>
      </c>
      <c r="G329" s="4">
        <v>4</v>
      </c>
      <c r="H329" s="4">
        <v>0</v>
      </c>
    </row>
    <row r="330" spans="2:8" x14ac:dyDescent="0.2">
      <c r="B330" s="3" t="s">
        <v>140</v>
      </c>
      <c r="C330" s="3" t="s">
        <v>62</v>
      </c>
      <c r="D330" s="3" t="str">
        <f>VLOOKUP(C330,Countries!$B$3:$C$140,2,FALSE)</f>
        <v>Asia</v>
      </c>
      <c r="E330" s="3" t="s">
        <v>32</v>
      </c>
      <c r="F330" s="3" t="str">
        <f>VLOOKUP(E330,Countries!$B$3:$C$140,2,FALSE)</f>
        <v>Europe</v>
      </c>
      <c r="G330" s="4">
        <v>2</v>
      </c>
      <c r="H330" s="4">
        <v>0</v>
      </c>
    </row>
    <row r="331" spans="2:8" x14ac:dyDescent="0.2">
      <c r="B331" s="3" t="s">
        <v>140</v>
      </c>
      <c r="C331" s="3" t="s">
        <v>62</v>
      </c>
      <c r="D331" s="3" t="str">
        <f>VLOOKUP(C331,Countries!$B$3:$C$140,2,FALSE)</f>
        <v>Asia</v>
      </c>
      <c r="E331" s="3" t="s">
        <v>33</v>
      </c>
      <c r="F331" s="3" t="str">
        <f>VLOOKUP(E331,Countries!$B$3:$C$140,2,FALSE)</f>
        <v>North America</v>
      </c>
      <c r="G331" s="4">
        <v>6</v>
      </c>
      <c r="H331" s="4">
        <v>0</v>
      </c>
    </row>
    <row r="332" spans="2:8" x14ac:dyDescent="0.2">
      <c r="B332" s="3" t="s">
        <v>140</v>
      </c>
      <c r="C332" s="3" t="s">
        <v>62</v>
      </c>
      <c r="D332" s="3" t="str">
        <f>VLOOKUP(C332,Countries!$B$3:$C$140,2,FALSE)</f>
        <v>Asia</v>
      </c>
      <c r="E332" s="3" t="s">
        <v>91</v>
      </c>
      <c r="F332" s="3" t="str">
        <f>VLOOKUP(E332,Countries!$B$3:$C$140,2,FALSE)</f>
        <v>South America</v>
      </c>
      <c r="G332" s="4">
        <v>2</v>
      </c>
      <c r="H332" s="4">
        <v>0</v>
      </c>
    </row>
    <row r="333" spans="2:8" x14ac:dyDescent="0.2">
      <c r="B333" s="3" t="s">
        <v>140</v>
      </c>
      <c r="C333" s="3" t="s">
        <v>62</v>
      </c>
      <c r="D333" s="3" t="str">
        <f>VLOOKUP(C333,Countries!$B$3:$C$140,2,FALSE)</f>
        <v>Asia</v>
      </c>
      <c r="E333" s="3" t="s">
        <v>86</v>
      </c>
      <c r="F333" s="3" t="str">
        <f>VLOOKUP(E333,Countries!$B$3:$C$140,2,FALSE)</f>
        <v>Europe</v>
      </c>
      <c r="G333" s="4">
        <v>2</v>
      </c>
      <c r="H333" s="4">
        <v>0</v>
      </c>
    </row>
    <row r="334" spans="2:8" x14ac:dyDescent="0.2">
      <c r="B334" s="3" t="s">
        <v>140</v>
      </c>
      <c r="C334" s="3" t="s">
        <v>49</v>
      </c>
      <c r="D334" s="3" t="str">
        <f>VLOOKUP(C334,Countries!$B$3:$C$140,2,FALSE)</f>
        <v>Europe</v>
      </c>
      <c r="E334" s="3" t="s">
        <v>69</v>
      </c>
      <c r="F334" s="3" t="str">
        <f>VLOOKUP(E334,Countries!$B$3:$C$140,2,FALSE)</f>
        <v>South America</v>
      </c>
      <c r="G334" s="4">
        <v>2</v>
      </c>
      <c r="H334" s="4">
        <v>0</v>
      </c>
    </row>
    <row r="335" spans="2:8" x14ac:dyDescent="0.2">
      <c r="B335" s="3" t="s">
        <v>140</v>
      </c>
      <c r="C335" s="3" t="s">
        <v>49</v>
      </c>
      <c r="D335" s="3" t="str">
        <f>VLOOKUP(C335,Countries!$B$3:$C$140,2,FALSE)</f>
        <v>Europe</v>
      </c>
      <c r="E335" s="3" t="s">
        <v>3</v>
      </c>
      <c r="F335" s="3" t="str">
        <f>VLOOKUP(E335,Countries!$B$3:$C$140,2,FALSE)</f>
        <v>Europe</v>
      </c>
      <c r="G335" s="4">
        <v>8</v>
      </c>
      <c r="H335" s="4">
        <v>0</v>
      </c>
    </row>
    <row r="336" spans="2:8" x14ac:dyDescent="0.2">
      <c r="B336" s="3" t="s">
        <v>140</v>
      </c>
      <c r="C336" s="3" t="s">
        <v>49</v>
      </c>
      <c r="D336" s="3" t="str">
        <f>VLOOKUP(C336,Countries!$B$3:$C$140,2,FALSE)</f>
        <v>Europe</v>
      </c>
      <c r="E336" s="3" t="s">
        <v>35</v>
      </c>
      <c r="F336" s="3" t="str">
        <f>VLOOKUP(E336,Countries!$B$3:$C$140,2,FALSE)</f>
        <v>Europe</v>
      </c>
      <c r="G336" s="4">
        <v>2</v>
      </c>
      <c r="H336" s="4">
        <v>0</v>
      </c>
    </row>
    <row r="337" spans="2:8" x14ac:dyDescent="0.2">
      <c r="B337" s="3" t="s">
        <v>140</v>
      </c>
      <c r="C337" s="3" t="s">
        <v>49</v>
      </c>
      <c r="D337" s="3" t="str">
        <f>VLOOKUP(C337,Countries!$B$3:$C$140,2,FALSE)</f>
        <v>Europe</v>
      </c>
      <c r="E337" s="3" t="s">
        <v>70</v>
      </c>
      <c r="F337" s="3" t="str">
        <f>VLOOKUP(E337,Countries!$B$3:$C$140,2,FALSE)</f>
        <v>Africa</v>
      </c>
      <c r="G337" s="4">
        <v>2</v>
      </c>
      <c r="H337" s="4">
        <v>0</v>
      </c>
    </row>
    <row r="338" spans="2:8" x14ac:dyDescent="0.2">
      <c r="B338" s="3" t="s">
        <v>140</v>
      </c>
      <c r="C338" s="3" t="s">
        <v>49</v>
      </c>
      <c r="D338" s="3" t="str">
        <f>VLOOKUP(C338,Countries!$B$3:$C$140,2,FALSE)</f>
        <v>Europe</v>
      </c>
      <c r="E338" s="3" t="s">
        <v>6</v>
      </c>
      <c r="F338" s="3" t="str">
        <f>VLOOKUP(E338,Countries!$B$3:$C$140,2,FALSE)</f>
        <v>Europe</v>
      </c>
      <c r="G338" s="4">
        <v>10</v>
      </c>
      <c r="H338" s="4">
        <v>0</v>
      </c>
    </row>
    <row r="339" spans="2:8" x14ac:dyDescent="0.2">
      <c r="B339" s="3" t="s">
        <v>140</v>
      </c>
      <c r="C339" s="3" t="s">
        <v>49</v>
      </c>
      <c r="D339" s="3" t="str">
        <f>VLOOKUP(C339,Countries!$B$3:$C$140,2,FALSE)</f>
        <v>Europe</v>
      </c>
      <c r="E339" s="3" t="s">
        <v>37</v>
      </c>
      <c r="F339" s="3" t="str">
        <f>VLOOKUP(E339,Countries!$B$3:$C$140,2,FALSE)</f>
        <v>Africa</v>
      </c>
      <c r="G339" s="4">
        <v>4</v>
      </c>
      <c r="H339" s="4">
        <v>0</v>
      </c>
    </row>
    <row r="340" spans="2:8" x14ac:dyDescent="0.2">
      <c r="B340" s="3" t="s">
        <v>140</v>
      </c>
      <c r="C340" s="3" t="s">
        <v>49</v>
      </c>
      <c r="D340" s="3" t="str">
        <f>VLOOKUP(C340,Countries!$B$3:$C$140,2,FALSE)</f>
        <v>Europe</v>
      </c>
      <c r="E340" s="3" t="s">
        <v>9</v>
      </c>
      <c r="F340" s="3" t="str">
        <f>VLOOKUP(E340,Countries!$B$3:$C$140,2,FALSE)</f>
        <v>Europe</v>
      </c>
      <c r="G340" s="4">
        <v>6</v>
      </c>
      <c r="H340" s="4">
        <v>0</v>
      </c>
    </row>
    <row r="341" spans="2:8" x14ac:dyDescent="0.2">
      <c r="B341" s="3" t="s">
        <v>140</v>
      </c>
      <c r="C341" s="3" t="s">
        <v>49</v>
      </c>
      <c r="D341" s="3" t="str">
        <f>VLOOKUP(C341,Countries!$B$3:$C$140,2,FALSE)</f>
        <v>Europe</v>
      </c>
      <c r="E341" s="3" t="s">
        <v>50</v>
      </c>
      <c r="F341" s="3" t="str">
        <f>VLOOKUP(E341,Countries!$B$3:$C$140,2,FALSE)</f>
        <v>Europe</v>
      </c>
      <c r="G341" s="4">
        <v>6</v>
      </c>
      <c r="H341" s="4">
        <v>117560.36962500001</v>
      </c>
    </row>
    <row r="342" spans="2:8" x14ac:dyDescent="0.2">
      <c r="B342" s="3" t="s">
        <v>140</v>
      </c>
      <c r="C342" s="3" t="s">
        <v>49</v>
      </c>
      <c r="D342" s="3" t="str">
        <f>VLOOKUP(C342,Countries!$B$3:$C$140,2,FALSE)</f>
        <v>Europe</v>
      </c>
      <c r="E342" s="3" t="s">
        <v>11</v>
      </c>
      <c r="F342" s="3" t="str">
        <f>VLOOKUP(E342,Countries!$B$3:$C$140,2,FALSE)</f>
        <v>Europe</v>
      </c>
      <c r="G342" s="4">
        <v>2</v>
      </c>
      <c r="H342" s="4">
        <v>0</v>
      </c>
    </row>
    <row r="343" spans="2:8" x14ac:dyDescent="0.2">
      <c r="B343" s="3" t="s">
        <v>140</v>
      </c>
      <c r="C343" s="3" t="s">
        <v>49</v>
      </c>
      <c r="D343" s="3" t="str">
        <f>VLOOKUP(C343,Countries!$B$3:$C$140,2,FALSE)</f>
        <v>Europe</v>
      </c>
      <c r="E343" s="3" t="s">
        <v>38</v>
      </c>
      <c r="F343" s="3" t="str">
        <f>VLOOKUP(E343,Countries!$B$3:$C$140,2,FALSE)</f>
        <v>Europe</v>
      </c>
      <c r="G343" s="4">
        <v>4</v>
      </c>
      <c r="H343" s="4">
        <v>0</v>
      </c>
    </row>
    <row r="344" spans="2:8" x14ac:dyDescent="0.2">
      <c r="B344" s="3" t="s">
        <v>140</v>
      </c>
      <c r="C344" s="3" t="s">
        <v>49</v>
      </c>
      <c r="D344" s="3" t="str">
        <f>VLOOKUP(C344,Countries!$B$3:$C$140,2,FALSE)</f>
        <v>Europe</v>
      </c>
      <c r="E344" s="3" t="s">
        <v>12</v>
      </c>
      <c r="F344" s="3" t="str">
        <f>VLOOKUP(E344,Countries!$B$3:$C$140,2,FALSE)</f>
        <v>Europe</v>
      </c>
      <c r="G344" s="4">
        <v>4</v>
      </c>
      <c r="H344" s="4">
        <v>0</v>
      </c>
    </row>
    <row r="345" spans="2:8" x14ac:dyDescent="0.2">
      <c r="B345" s="3" t="s">
        <v>140</v>
      </c>
      <c r="C345" s="3" t="s">
        <v>49</v>
      </c>
      <c r="D345" s="3" t="str">
        <f>VLOOKUP(C345,Countries!$B$3:$C$140,2,FALSE)</f>
        <v>Europe</v>
      </c>
      <c r="E345" s="3" t="s">
        <v>13</v>
      </c>
      <c r="F345" s="3" t="str">
        <f>VLOOKUP(E345,Countries!$B$3:$C$140,2,FALSE)</f>
        <v>Europe</v>
      </c>
      <c r="G345" s="4">
        <v>2</v>
      </c>
      <c r="H345" s="4">
        <v>0</v>
      </c>
    </row>
    <row r="346" spans="2:8" x14ac:dyDescent="0.2">
      <c r="B346" s="3" t="s">
        <v>140</v>
      </c>
      <c r="C346" s="3" t="s">
        <v>49</v>
      </c>
      <c r="D346" s="3" t="str">
        <f>VLOOKUP(C346,Countries!$B$3:$C$140,2,FALSE)</f>
        <v>Europe</v>
      </c>
      <c r="E346" s="3" t="s">
        <v>14</v>
      </c>
      <c r="F346" s="3" t="str">
        <f>VLOOKUP(E346,Countries!$B$3:$C$140,2,FALSE)</f>
        <v>Europe</v>
      </c>
      <c r="G346" s="4">
        <v>8</v>
      </c>
      <c r="H346" s="4">
        <v>0</v>
      </c>
    </row>
    <row r="347" spans="2:8" x14ac:dyDescent="0.2">
      <c r="B347" s="3" t="s">
        <v>140</v>
      </c>
      <c r="C347" s="3" t="s">
        <v>49</v>
      </c>
      <c r="D347" s="3" t="str">
        <f>VLOOKUP(C347,Countries!$B$3:$C$140,2,FALSE)</f>
        <v>Europe</v>
      </c>
      <c r="E347" s="3" t="s">
        <v>15</v>
      </c>
      <c r="F347" s="3" t="str">
        <f>VLOOKUP(E347,Countries!$B$3:$C$140,2,FALSE)</f>
        <v>Europe</v>
      </c>
      <c r="G347" s="4">
        <v>2</v>
      </c>
      <c r="H347" s="4">
        <v>0</v>
      </c>
    </row>
    <row r="348" spans="2:8" x14ac:dyDescent="0.2">
      <c r="B348" s="3" t="s">
        <v>140</v>
      </c>
      <c r="C348" s="3" t="s">
        <v>49</v>
      </c>
      <c r="D348" s="3" t="str">
        <f>VLOOKUP(C348,Countries!$B$3:$C$140,2,FALSE)</f>
        <v>Europe</v>
      </c>
      <c r="E348" s="3" t="s">
        <v>17</v>
      </c>
      <c r="F348" s="3" t="str">
        <f>VLOOKUP(E348,Countries!$B$3:$C$140,2,FALSE)</f>
        <v>Europe</v>
      </c>
      <c r="G348" s="4">
        <v>6</v>
      </c>
      <c r="H348" s="4">
        <v>201791.54725499998</v>
      </c>
    </row>
    <row r="349" spans="2:8" x14ac:dyDescent="0.2">
      <c r="B349" s="3" t="s">
        <v>140</v>
      </c>
      <c r="C349" s="3" t="s">
        <v>49</v>
      </c>
      <c r="D349" s="3" t="str">
        <f>VLOOKUP(C349,Countries!$B$3:$C$140,2,FALSE)</f>
        <v>Europe</v>
      </c>
      <c r="E349" s="3" t="s">
        <v>52</v>
      </c>
      <c r="F349" s="3" t="str">
        <f>VLOOKUP(E349,Countries!$B$3:$C$140,2,FALSE)</f>
        <v>Europe</v>
      </c>
      <c r="G349" s="4">
        <v>2</v>
      </c>
      <c r="H349" s="4">
        <v>0</v>
      </c>
    </row>
    <row r="350" spans="2:8" x14ac:dyDescent="0.2">
      <c r="B350" s="3" t="s">
        <v>140</v>
      </c>
      <c r="C350" s="3" t="s">
        <v>49</v>
      </c>
      <c r="D350" s="3" t="str">
        <f>VLOOKUP(C350,Countries!$B$3:$C$140,2,FALSE)</f>
        <v>Europe</v>
      </c>
      <c r="E350" s="3" t="s">
        <v>53</v>
      </c>
      <c r="F350" s="3" t="str">
        <f>VLOOKUP(E350,Countries!$B$3:$C$140,2,FALSE)</f>
        <v>Europe</v>
      </c>
      <c r="G350" s="4">
        <v>2</v>
      </c>
      <c r="H350" s="4">
        <v>0</v>
      </c>
    </row>
    <row r="351" spans="2:8" x14ac:dyDescent="0.2">
      <c r="B351" s="3" t="s">
        <v>140</v>
      </c>
      <c r="C351" s="3" t="s">
        <v>49</v>
      </c>
      <c r="D351" s="3" t="str">
        <f>VLOOKUP(C351,Countries!$B$3:$C$140,2,FALSE)</f>
        <v>Europe</v>
      </c>
      <c r="E351" s="3" t="s">
        <v>26</v>
      </c>
      <c r="F351" s="3" t="str">
        <f>VLOOKUP(E351,Countries!$B$3:$C$140,2,FALSE)</f>
        <v>Europe</v>
      </c>
      <c r="G351" s="4">
        <v>4</v>
      </c>
      <c r="H351" s="4">
        <v>0</v>
      </c>
    </row>
    <row r="352" spans="2:8" x14ac:dyDescent="0.2">
      <c r="B352" s="3" t="s">
        <v>140</v>
      </c>
      <c r="C352" s="3" t="s">
        <v>49</v>
      </c>
      <c r="D352" s="3" t="str">
        <f>VLOOKUP(C352,Countries!$B$3:$C$140,2,FALSE)</f>
        <v>Europe</v>
      </c>
      <c r="E352" s="3" t="s">
        <v>46</v>
      </c>
      <c r="F352" s="3" t="str">
        <f>VLOOKUP(E352,Countries!$B$3:$C$140,2,FALSE)</f>
        <v>Europe/Asia</v>
      </c>
      <c r="G352" s="4">
        <v>4</v>
      </c>
      <c r="H352" s="4">
        <v>0</v>
      </c>
    </row>
    <row r="353" spans="2:8" x14ac:dyDescent="0.2">
      <c r="B353" s="3" t="s">
        <v>140</v>
      </c>
      <c r="C353" s="3" t="s">
        <v>49</v>
      </c>
      <c r="D353" s="3" t="str">
        <f>VLOOKUP(C353,Countries!$B$3:$C$140,2,FALSE)</f>
        <v>Europe</v>
      </c>
      <c r="E353" s="3" t="s">
        <v>28</v>
      </c>
      <c r="F353" s="3" t="str">
        <f>VLOOKUP(E353,Countries!$B$3:$C$140,2,FALSE)</f>
        <v>Europe</v>
      </c>
      <c r="G353" s="4">
        <v>2</v>
      </c>
      <c r="H353" s="4">
        <v>20179.1547255</v>
      </c>
    </row>
    <row r="354" spans="2:8" x14ac:dyDescent="0.2">
      <c r="B354" s="3" t="s">
        <v>140</v>
      </c>
      <c r="C354" s="3" t="s">
        <v>49</v>
      </c>
      <c r="D354" s="3" t="str">
        <f>VLOOKUP(C354,Countries!$B$3:$C$140,2,FALSE)</f>
        <v>Europe</v>
      </c>
      <c r="E354" s="3" t="s">
        <v>56</v>
      </c>
      <c r="F354" s="3" t="str">
        <f>VLOOKUP(E354,Countries!$B$3:$C$140,2,FALSE)</f>
        <v>Europe</v>
      </c>
      <c r="G354" s="4">
        <v>86</v>
      </c>
      <c r="H354" s="4">
        <v>2885619.1257464997</v>
      </c>
    </row>
    <row r="355" spans="2:8" x14ac:dyDescent="0.2">
      <c r="B355" s="3" t="s">
        <v>140</v>
      </c>
      <c r="C355" s="3" t="s">
        <v>49</v>
      </c>
      <c r="D355" s="3" t="str">
        <f>VLOOKUP(C355,Countries!$B$3:$C$140,2,FALSE)</f>
        <v>Europe</v>
      </c>
      <c r="E355" s="3" t="s">
        <v>31</v>
      </c>
      <c r="F355" s="3" t="str">
        <f>VLOOKUP(E355,Countries!$B$3:$C$140,2,FALSE)</f>
        <v>Europe</v>
      </c>
      <c r="G355" s="4">
        <v>2</v>
      </c>
      <c r="H355" s="4">
        <v>0</v>
      </c>
    </row>
    <row r="356" spans="2:8" x14ac:dyDescent="0.2">
      <c r="B356" s="3" t="s">
        <v>140</v>
      </c>
      <c r="C356" s="3" t="s">
        <v>49</v>
      </c>
      <c r="D356" s="3" t="str">
        <f>VLOOKUP(C356,Countries!$B$3:$C$140,2,FALSE)</f>
        <v>Europe</v>
      </c>
      <c r="E356" s="3" t="s">
        <v>57</v>
      </c>
      <c r="F356" s="3" t="str">
        <f>VLOOKUP(E356,Countries!$B$3:$C$140,2,FALSE)</f>
        <v>Europe/Asia</v>
      </c>
      <c r="G356" s="4">
        <v>2</v>
      </c>
      <c r="H356" s="4">
        <v>2219707.0198050002</v>
      </c>
    </row>
    <row r="357" spans="2:8" x14ac:dyDescent="0.2">
      <c r="B357" s="3" t="s">
        <v>140</v>
      </c>
      <c r="C357" s="3" t="s">
        <v>49</v>
      </c>
      <c r="D357" s="3" t="str">
        <f>VLOOKUP(C357,Countries!$B$3:$C$140,2,FALSE)</f>
        <v>Europe</v>
      </c>
      <c r="E357" s="3" t="s">
        <v>32</v>
      </c>
      <c r="F357" s="3" t="str">
        <f>VLOOKUP(E357,Countries!$B$3:$C$140,2,FALSE)</f>
        <v>Europe</v>
      </c>
      <c r="G357" s="4">
        <v>4</v>
      </c>
      <c r="H357" s="4">
        <v>0</v>
      </c>
    </row>
    <row r="358" spans="2:8" x14ac:dyDescent="0.2">
      <c r="B358" s="3" t="s">
        <v>140</v>
      </c>
      <c r="C358" s="3" t="s">
        <v>10</v>
      </c>
      <c r="D358" s="3" t="str">
        <f>VLOOKUP(C358,Countries!$B$3:$C$140,2,FALSE)</f>
        <v>Europe</v>
      </c>
      <c r="E358" s="3" t="s">
        <v>69</v>
      </c>
      <c r="F358" s="3" t="str">
        <f>VLOOKUP(E358,Countries!$B$3:$C$140,2,FALSE)</f>
        <v>South America</v>
      </c>
      <c r="G358" s="4">
        <v>2</v>
      </c>
      <c r="H358" s="4">
        <v>0</v>
      </c>
    </row>
    <row r="359" spans="2:8" x14ac:dyDescent="0.2">
      <c r="B359" s="3" t="s">
        <v>140</v>
      </c>
      <c r="C359" s="3" t="s">
        <v>10</v>
      </c>
      <c r="D359" s="3" t="str">
        <f>VLOOKUP(C359,Countries!$B$3:$C$140,2,FALSE)</f>
        <v>Europe</v>
      </c>
      <c r="E359" s="3" t="s">
        <v>35</v>
      </c>
      <c r="F359" s="3" t="str">
        <f>VLOOKUP(E359,Countries!$B$3:$C$140,2,FALSE)</f>
        <v>Europe</v>
      </c>
      <c r="G359" s="4">
        <v>6</v>
      </c>
      <c r="H359" s="4">
        <v>0</v>
      </c>
    </row>
    <row r="360" spans="2:8" x14ac:dyDescent="0.2">
      <c r="B360" s="3" t="s">
        <v>140</v>
      </c>
      <c r="C360" s="3" t="s">
        <v>10</v>
      </c>
      <c r="D360" s="3" t="str">
        <f>VLOOKUP(C360,Countries!$B$3:$C$140,2,FALSE)</f>
        <v>Europe</v>
      </c>
      <c r="E360" s="3" t="s">
        <v>89</v>
      </c>
      <c r="F360" s="3" t="str">
        <f>VLOOKUP(E360,Countries!$B$3:$C$140,2,FALSE)</f>
        <v>Asia</v>
      </c>
      <c r="G360" s="4">
        <v>2</v>
      </c>
      <c r="H360" s="4">
        <v>0</v>
      </c>
    </row>
    <row r="361" spans="2:8" x14ac:dyDescent="0.2">
      <c r="B361" s="3" t="s">
        <v>140</v>
      </c>
      <c r="C361" s="3" t="s">
        <v>10</v>
      </c>
      <c r="D361" s="3" t="str">
        <f>VLOOKUP(C361,Countries!$B$3:$C$140,2,FALSE)</f>
        <v>Europe</v>
      </c>
      <c r="E361" s="3" t="s">
        <v>9</v>
      </c>
      <c r="F361" s="3" t="str">
        <f>VLOOKUP(E361,Countries!$B$3:$C$140,2,FALSE)</f>
        <v>Europe</v>
      </c>
      <c r="G361" s="4">
        <v>8</v>
      </c>
      <c r="H361" s="4">
        <v>0</v>
      </c>
    </row>
    <row r="362" spans="2:8" x14ac:dyDescent="0.2">
      <c r="B362" s="3" t="s">
        <v>140</v>
      </c>
      <c r="C362" s="3" t="s">
        <v>10</v>
      </c>
      <c r="D362" s="3" t="str">
        <f>VLOOKUP(C362,Countries!$B$3:$C$140,2,FALSE)</f>
        <v>Europe</v>
      </c>
      <c r="E362" s="3" t="s">
        <v>50</v>
      </c>
      <c r="F362" s="3" t="str">
        <f>VLOOKUP(E362,Countries!$B$3:$C$140,2,FALSE)</f>
        <v>Europe</v>
      </c>
      <c r="G362" s="4">
        <v>10</v>
      </c>
      <c r="H362" s="4">
        <v>0</v>
      </c>
    </row>
    <row r="363" spans="2:8" x14ac:dyDescent="0.2">
      <c r="B363" s="3" t="s">
        <v>140</v>
      </c>
      <c r="C363" s="3" t="s">
        <v>10</v>
      </c>
      <c r="D363" s="3" t="str">
        <f>VLOOKUP(C363,Countries!$B$3:$C$140,2,FALSE)</f>
        <v>Europe</v>
      </c>
      <c r="E363" s="3" t="s">
        <v>11</v>
      </c>
      <c r="F363" s="3" t="str">
        <f>VLOOKUP(E363,Countries!$B$3:$C$140,2,FALSE)</f>
        <v>Europe</v>
      </c>
      <c r="G363" s="4">
        <v>6</v>
      </c>
      <c r="H363" s="4">
        <v>0</v>
      </c>
    </row>
    <row r="364" spans="2:8" x14ac:dyDescent="0.2">
      <c r="B364" s="3" t="s">
        <v>140</v>
      </c>
      <c r="C364" s="3" t="s">
        <v>10</v>
      </c>
      <c r="D364" s="3" t="str">
        <f>VLOOKUP(C364,Countries!$B$3:$C$140,2,FALSE)</f>
        <v>Europe</v>
      </c>
      <c r="E364" s="3" t="s">
        <v>12</v>
      </c>
      <c r="F364" s="3" t="str">
        <f>VLOOKUP(E364,Countries!$B$3:$C$140,2,FALSE)</f>
        <v>Europe</v>
      </c>
      <c r="G364" s="4">
        <v>2</v>
      </c>
      <c r="H364" s="4">
        <v>0</v>
      </c>
    </row>
    <row r="365" spans="2:8" x14ac:dyDescent="0.2">
      <c r="B365" s="3" t="s">
        <v>140</v>
      </c>
      <c r="C365" s="3" t="s">
        <v>10</v>
      </c>
      <c r="D365" s="3" t="str">
        <f>VLOOKUP(C365,Countries!$B$3:$C$140,2,FALSE)</f>
        <v>Europe</v>
      </c>
      <c r="E365" s="3" t="s">
        <v>97</v>
      </c>
      <c r="F365" s="3" t="str">
        <f>VLOOKUP(E365,Countries!$B$3:$C$140,2,FALSE)</f>
        <v>Europe</v>
      </c>
      <c r="G365" s="4">
        <v>4</v>
      </c>
      <c r="H365" s="4">
        <v>0</v>
      </c>
    </row>
    <row r="366" spans="2:8" x14ac:dyDescent="0.2">
      <c r="B366" s="3" t="s">
        <v>140</v>
      </c>
      <c r="C366" s="3" t="s">
        <v>10</v>
      </c>
      <c r="D366" s="3" t="str">
        <f>VLOOKUP(C366,Countries!$B$3:$C$140,2,FALSE)</f>
        <v>Europe</v>
      </c>
      <c r="E366" s="3" t="s">
        <v>13</v>
      </c>
      <c r="F366" s="3" t="str">
        <f>VLOOKUP(E366,Countries!$B$3:$C$140,2,FALSE)</f>
        <v>Europe</v>
      </c>
      <c r="G366" s="4">
        <v>10</v>
      </c>
      <c r="H366" s="4">
        <v>807166.18901999993</v>
      </c>
    </row>
    <row r="367" spans="2:8" x14ac:dyDescent="0.2">
      <c r="B367" s="3" t="s">
        <v>140</v>
      </c>
      <c r="C367" s="3" t="s">
        <v>10</v>
      </c>
      <c r="D367" s="3" t="str">
        <f>VLOOKUP(C367,Countries!$B$3:$C$140,2,FALSE)</f>
        <v>Europe</v>
      </c>
      <c r="E367" s="3" t="s">
        <v>14</v>
      </c>
      <c r="F367" s="3" t="str">
        <f>VLOOKUP(E367,Countries!$B$3:$C$140,2,FALSE)</f>
        <v>Europe</v>
      </c>
      <c r="G367" s="4">
        <v>2</v>
      </c>
      <c r="H367" s="4">
        <v>0</v>
      </c>
    </row>
    <row r="368" spans="2:8" x14ac:dyDescent="0.2">
      <c r="B368" s="3" t="s">
        <v>140</v>
      </c>
      <c r="C368" s="3" t="s">
        <v>10</v>
      </c>
      <c r="D368" s="3" t="str">
        <f>VLOOKUP(C368,Countries!$B$3:$C$140,2,FALSE)</f>
        <v>Europe</v>
      </c>
      <c r="E368" s="3" t="s">
        <v>15</v>
      </c>
      <c r="F368" s="3" t="str">
        <f>VLOOKUP(E368,Countries!$B$3:$C$140,2,FALSE)</f>
        <v>Europe</v>
      </c>
      <c r="G368" s="4">
        <v>2</v>
      </c>
      <c r="H368" s="4">
        <v>0</v>
      </c>
    </row>
    <row r="369" spans="2:8" x14ac:dyDescent="0.2">
      <c r="B369" s="3" t="s">
        <v>140</v>
      </c>
      <c r="C369" s="3" t="s">
        <v>10</v>
      </c>
      <c r="D369" s="3" t="str">
        <f>VLOOKUP(C369,Countries!$B$3:$C$140,2,FALSE)</f>
        <v>Europe</v>
      </c>
      <c r="E369" s="3" t="s">
        <v>75</v>
      </c>
      <c r="F369" s="3" t="str">
        <f>VLOOKUP(E369,Countries!$B$3:$C$140,2,FALSE)</f>
        <v>Europe</v>
      </c>
      <c r="G369" s="4">
        <v>14</v>
      </c>
      <c r="H369" s="4">
        <v>249645.13969499999</v>
      </c>
    </row>
    <row r="370" spans="2:8" x14ac:dyDescent="0.2">
      <c r="B370" s="3" t="s">
        <v>140</v>
      </c>
      <c r="C370" s="3" t="s">
        <v>10</v>
      </c>
      <c r="D370" s="3" t="str">
        <f>VLOOKUP(C370,Countries!$B$3:$C$140,2,FALSE)</f>
        <v>Europe</v>
      </c>
      <c r="E370" s="3" t="s">
        <v>17</v>
      </c>
      <c r="F370" s="3" t="str">
        <f>VLOOKUP(E370,Countries!$B$3:$C$140,2,FALSE)</f>
        <v>Europe</v>
      </c>
      <c r="G370" s="4">
        <v>2</v>
      </c>
      <c r="H370" s="4">
        <v>0</v>
      </c>
    </row>
    <row r="371" spans="2:8" x14ac:dyDescent="0.2">
      <c r="B371" s="3" t="s">
        <v>140</v>
      </c>
      <c r="C371" s="3" t="s">
        <v>10</v>
      </c>
      <c r="D371" s="3" t="str">
        <f>VLOOKUP(C371,Countries!$B$3:$C$140,2,FALSE)</f>
        <v>Europe</v>
      </c>
      <c r="E371" s="3" t="s">
        <v>40</v>
      </c>
      <c r="F371" s="3" t="str">
        <f>VLOOKUP(E371,Countries!$B$3:$C$140,2,FALSE)</f>
        <v>Asia</v>
      </c>
      <c r="G371" s="4">
        <v>2</v>
      </c>
      <c r="H371" s="4">
        <v>0</v>
      </c>
    </row>
    <row r="372" spans="2:8" x14ac:dyDescent="0.2">
      <c r="B372" s="3" t="s">
        <v>140</v>
      </c>
      <c r="C372" s="3" t="s">
        <v>10</v>
      </c>
      <c r="D372" s="3" t="str">
        <f>VLOOKUP(C372,Countries!$B$3:$C$140,2,FALSE)</f>
        <v>Europe</v>
      </c>
      <c r="E372" s="3" t="s">
        <v>66</v>
      </c>
      <c r="F372" s="3" t="str">
        <f>VLOOKUP(E372,Countries!$B$3:$C$140,2,FALSE)</f>
        <v>Europe</v>
      </c>
      <c r="G372" s="4">
        <v>2</v>
      </c>
      <c r="H372" s="4">
        <v>0</v>
      </c>
    </row>
    <row r="373" spans="2:8" x14ac:dyDescent="0.2">
      <c r="B373" s="3" t="s">
        <v>140</v>
      </c>
      <c r="C373" s="3" t="s">
        <v>10</v>
      </c>
      <c r="D373" s="3" t="str">
        <f>VLOOKUP(C373,Countries!$B$3:$C$140,2,FALSE)</f>
        <v>Europe</v>
      </c>
      <c r="E373" s="3" t="s">
        <v>43</v>
      </c>
      <c r="F373" s="3" t="str">
        <f>VLOOKUP(E373,Countries!$B$3:$C$140,2,FALSE)</f>
        <v>Europe</v>
      </c>
      <c r="G373" s="4">
        <v>2</v>
      </c>
      <c r="H373" s="4">
        <v>0</v>
      </c>
    </row>
    <row r="374" spans="2:8" x14ac:dyDescent="0.2">
      <c r="B374" s="3" t="s">
        <v>140</v>
      </c>
      <c r="C374" s="3" t="s">
        <v>10</v>
      </c>
      <c r="D374" s="3" t="str">
        <f>VLOOKUP(C374,Countries!$B$3:$C$140,2,FALSE)</f>
        <v>Europe</v>
      </c>
      <c r="E374" s="3" t="s">
        <v>53</v>
      </c>
      <c r="F374" s="3" t="str">
        <f>VLOOKUP(E374,Countries!$B$3:$C$140,2,FALSE)</f>
        <v>Europe</v>
      </c>
      <c r="G374" s="4">
        <v>10</v>
      </c>
      <c r="H374" s="4">
        <v>2925977.4351975</v>
      </c>
    </row>
    <row r="375" spans="2:8" x14ac:dyDescent="0.2">
      <c r="B375" s="3" t="s">
        <v>140</v>
      </c>
      <c r="C375" s="3" t="s">
        <v>10</v>
      </c>
      <c r="D375" s="3" t="str">
        <f>VLOOKUP(C375,Countries!$B$3:$C$140,2,FALSE)</f>
        <v>Europe</v>
      </c>
      <c r="E375" s="3" t="s">
        <v>24</v>
      </c>
      <c r="F375" s="3" t="str">
        <f>VLOOKUP(E375,Countries!$B$3:$C$140,2,FALSE)</f>
        <v>Africa</v>
      </c>
      <c r="G375" s="4">
        <v>10</v>
      </c>
      <c r="H375" s="4">
        <v>795058.69618469989</v>
      </c>
    </row>
    <row r="376" spans="2:8" x14ac:dyDescent="0.2">
      <c r="B376" s="3" t="s">
        <v>140</v>
      </c>
      <c r="C376" s="3" t="s">
        <v>10</v>
      </c>
      <c r="D376" s="3" t="str">
        <f>VLOOKUP(C376,Countries!$B$3:$C$140,2,FALSE)</f>
        <v>Europe</v>
      </c>
      <c r="E376" s="3" t="s">
        <v>44</v>
      </c>
      <c r="F376" s="3" t="str">
        <f>VLOOKUP(E376,Countries!$B$3:$C$140,2,FALSE)</f>
        <v>Europe</v>
      </c>
      <c r="G376" s="4">
        <v>12</v>
      </c>
      <c r="H376" s="4">
        <v>17765684.797587357</v>
      </c>
    </row>
    <row r="377" spans="2:8" x14ac:dyDescent="0.2">
      <c r="B377" s="3" t="s">
        <v>140</v>
      </c>
      <c r="C377" s="3" t="s">
        <v>10</v>
      </c>
      <c r="D377" s="3" t="str">
        <f>VLOOKUP(C377,Countries!$B$3:$C$140,2,FALSE)</f>
        <v>Europe</v>
      </c>
      <c r="E377" s="3" t="s">
        <v>82</v>
      </c>
      <c r="F377" s="3" t="e">
        <f>VLOOKUP(E377,Countries!$B$3:$C$140,2,FALSE)</f>
        <v>#N/A</v>
      </c>
      <c r="G377" s="4">
        <v>4</v>
      </c>
      <c r="H377" s="4">
        <v>0</v>
      </c>
    </row>
    <row r="378" spans="2:8" x14ac:dyDescent="0.2">
      <c r="B378" s="3" t="s">
        <v>140</v>
      </c>
      <c r="C378" s="3" t="s">
        <v>10</v>
      </c>
      <c r="D378" s="3" t="str">
        <f>VLOOKUP(C378,Countries!$B$3:$C$140,2,FALSE)</f>
        <v>Europe</v>
      </c>
      <c r="E378" s="3" t="s">
        <v>46</v>
      </c>
      <c r="F378" s="3" t="str">
        <f>VLOOKUP(E378,Countries!$B$3:$C$140,2,FALSE)</f>
        <v>Europe/Asia</v>
      </c>
      <c r="G378" s="4">
        <v>2</v>
      </c>
      <c r="H378" s="4">
        <v>645732.95121600002</v>
      </c>
    </row>
    <row r="379" spans="2:8" x14ac:dyDescent="0.2">
      <c r="B379" s="3" t="s">
        <v>140</v>
      </c>
      <c r="C379" s="3" t="s">
        <v>10</v>
      </c>
      <c r="D379" s="3" t="str">
        <f>VLOOKUP(C379,Countries!$B$3:$C$140,2,FALSE)</f>
        <v>Europe</v>
      </c>
      <c r="E379" s="3" t="s">
        <v>55</v>
      </c>
      <c r="F379" s="3" t="str">
        <f>VLOOKUP(E379,Countries!$B$3:$C$140,2,FALSE)</f>
        <v>Europe</v>
      </c>
      <c r="G379" s="4">
        <v>2</v>
      </c>
      <c r="H379" s="4">
        <v>0</v>
      </c>
    </row>
    <row r="380" spans="2:8" x14ac:dyDescent="0.2">
      <c r="B380" s="3" t="s">
        <v>140</v>
      </c>
      <c r="C380" s="3" t="s">
        <v>10</v>
      </c>
      <c r="D380" s="3" t="str">
        <f>VLOOKUP(C380,Countries!$B$3:$C$140,2,FALSE)</f>
        <v>Europe</v>
      </c>
      <c r="E380" s="3" t="s">
        <v>98</v>
      </c>
      <c r="F380" s="3" t="str">
        <f>VLOOKUP(E380,Countries!$B$3:$C$140,2,FALSE)</f>
        <v>North America</v>
      </c>
      <c r="G380" s="4">
        <v>4</v>
      </c>
      <c r="H380" s="4">
        <v>0</v>
      </c>
    </row>
    <row r="381" spans="2:8" x14ac:dyDescent="0.2">
      <c r="B381" s="3" t="s">
        <v>140</v>
      </c>
      <c r="C381" s="3" t="s">
        <v>10</v>
      </c>
      <c r="D381" s="3" t="str">
        <f>VLOOKUP(C381,Countries!$B$3:$C$140,2,FALSE)</f>
        <v>Europe</v>
      </c>
      <c r="E381" s="3" t="s">
        <v>31</v>
      </c>
      <c r="F381" s="3" t="str">
        <f>VLOOKUP(E381,Countries!$B$3:$C$140,2,FALSE)</f>
        <v>Europe</v>
      </c>
      <c r="G381" s="4">
        <v>20</v>
      </c>
      <c r="H381" s="4">
        <v>5993532.7718535</v>
      </c>
    </row>
    <row r="382" spans="2:8" x14ac:dyDescent="0.2">
      <c r="B382" s="3" t="s">
        <v>140</v>
      </c>
      <c r="C382" s="3" t="s">
        <v>10</v>
      </c>
      <c r="D382" s="3" t="str">
        <f>VLOOKUP(C382,Countries!$B$3:$C$140,2,FALSE)</f>
        <v>Europe</v>
      </c>
      <c r="E382" s="3" t="s">
        <v>57</v>
      </c>
      <c r="F382" s="3" t="str">
        <f>VLOOKUP(E382,Countries!$B$3:$C$140,2,FALSE)</f>
        <v>Europe/Asia</v>
      </c>
      <c r="G382" s="4">
        <v>2</v>
      </c>
      <c r="H382" s="4">
        <v>0</v>
      </c>
    </row>
    <row r="383" spans="2:8" x14ac:dyDescent="0.2">
      <c r="B383" s="3" t="s">
        <v>140</v>
      </c>
      <c r="C383" s="3" t="s">
        <v>10</v>
      </c>
      <c r="D383" s="3" t="str">
        <f>VLOOKUP(C383,Countries!$B$3:$C$140,2,FALSE)</f>
        <v>Europe</v>
      </c>
      <c r="E383" s="3" t="s">
        <v>33</v>
      </c>
      <c r="F383" s="3" t="str">
        <f>VLOOKUP(E383,Countries!$B$3:$C$140,2,FALSE)</f>
        <v>North America</v>
      </c>
      <c r="G383" s="4">
        <v>4</v>
      </c>
      <c r="H383" s="4">
        <v>60000</v>
      </c>
    </row>
    <row r="384" spans="2:8" x14ac:dyDescent="0.2">
      <c r="B384" s="3" t="s">
        <v>140</v>
      </c>
      <c r="C384" s="3" t="s">
        <v>50</v>
      </c>
      <c r="D384" s="3" t="str">
        <f>VLOOKUP(C384,Countries!$B$3:$C$140,2,FALSE)</f>
        <v>Europe</v>
      </c>
      <c r="E384" s="3" t="s">
        <v>2</v>
      </c>
      <c r="F384" s="3" t="str">
        <f>VLOOKUP(E384,Countries!$B$3:$C$140,2,FALSE)</f>
        <v>Europe</v>
      </c>
      <c r="G384" s="4">
        <v>2</v>
      </c>
      <c r="H384" s="4">
        <v>0</v>
      </c>
    </row>
    <row r="385" spans="2:8" x14ac:dyDescent="0.2">
      <c r="B385" s="3" t="s">
        <v>140</v>
      </c>
      <c r="C385" s="3" t="s">
        <v>50</v>
      </c>
      <c r="D385" s="3" t="str">
        <f>VLOOKUP(C385,Countries!$B$3:$C$140,2,FALSE)</f>
        <v>Europe</v>
      </c>
      <c r="E385" s="3" t="s">
        <v>68</v>
      </c>
      <c r="F385" s="3" t="str">
        <f>VLOOKUP(E385,Countries!$B$3:$C$140,2,FALSE)</f>
        <v>Africa</v>
      </c>
      <c r="G385" s="4">
        <v>2</v>
      </c>
      <c r="H385" s="4">
        <v>0</v>
      </c>
    </row>
    <row r="386" spans="2:8" x14ac:dyDescent="0.2">
      <c r="B386" s="3" t="s">
        <v>140</v>
      </c>
      <c r="C386" s="3" t="s">
        <v>50</v>
      </c>
      <c r="D386" s="3" t="str">
        <f>VLOOKUP(C386,Countries!$B$3:$C$140,2,FALSE)</f>
        <v>Europe</v>
      </c>
      <c r="E386" s="3" t="s">
        <v>69</v>
      </c>
      <c r="F386" s="3" t="str">
        <f>VLOOKUP(E386,Countries!$B$3:$C$140,2,FALSE)</f>
        <v>South America</v>
      </c>
      <c r="G386" s="4">
        <v>2</v>
      </c>
      <c r="H386" s="4">
        <v>0</v>
      </c>
    </row>
    <row r="387" spans="2:8" x14ac:dyDescent="0.2">
      <c r="B387" s="3" t="s">
        <v>140</v>
      </c>
      <c r="C387" s="3" t="s">
        <v>50</v>
      </c>
      <c r="D387" s="3" t="str">
        <f>VLOOKUP(C387,Countries!$B$3:$C$140,2,FALSE)</f>
        <v>Europe</v>
      </c>
      <c r="E387" s="3" t="s">
        <v>48</v>
      </c>
      <c r="F387" s="3" t="str">
        <f>VLOOKUP(E387,Countries!$B$3:$C$140,2,FALSE)</f>
        <v>Oceania</v>
      </c>
      <c r="G387" s="4">
        <v>18</v>
      </c>
      <c r="H387" s="4">
        <v>1179316.3582275</v>
      </c>
    </row>
    <row r="388" spans="2:8" x14ac:dyDescent="0.2">
      <c r="B388" s="3" t="s">
        <v>140</v>
      </c>
      <c r="C388" s="3" t="s">
        <v>50</v>
      </c>
      <c r="D388" s="3" t="str">
        <f>VLOOKUP(C388,Countries!$B$3:$C$140,2,FALSE)</f>
        <v>Europe</v>
      </c>
      <c r="E388" s="3" t="s">
        <v>3</v>
      </c>
      <c r="F388" s="3" t="str">
        <f>VLOOKUP(E388,Countries!$B$3:$C$140,2,FALSE)</f>
        <v>Europe</v>
      </c>
      <c r="G388" s="4">
        <v>8</v>
      </c>
      <c r="H388" s="4">
        <v>807166.18901999993</v>
      </c>
    </row>
    <row r="389" spans="2:8" x14ac:dyDescent="0.2">
      <c r="B389" s="3" t="s">
        <v>140</v>
      </c>
      <c r="C389" s="3" t="s">
        <v>50</v>
      </c>
      <c r="D389" s="3" t="str">
        <f>VLOOKUP(C389,Countries!$B$3:$C$140,2,FALSE)</f>
        <v>Europe</v>
      </c>
      <c r="E389" s="3" t="s">
        <v>4</v>
      </c>
      <c r="F389" s="3" t="str">
        <f>VLOOKUP(E389,Countries!$B$3:$C$140,2,FALSE)</f>
        <v>Asia</v>
      </c>
      <c r="G389" s="4">
        <v>2</v>
      </c>
      <c r="H389" s="4">
        <v>0</v>
      </c>
    </row>
    <row r="390" spans="2:8" x14ac:dyDescent="0.2">
      <c r="B390" s="3" t="s">
        <v>140</v>
      </c>
      <c r="C390" s="3" t="s">
        <v>50</v>
      </c>
      <c r="D390" s="3" t="str">
        <f>VLOOKUP(C390,Countries!$B$3:$C$140,2,FALSE)</f>
        <v>Europe</v>
      </c>
      <c r="E390" s="3" t="s">
        <v>35</v>
      </c>
      <c r="F390" s="3" t="str">
        <f>VLOOKUP(E390,Countries!$B$3:$C$140,2,FALSE)</f>
        <v>Europe</v>
      </c>
      <c r="G390" s="4">
        <v>14</v>
      </c>
      <c r="H390" s="4">
        <v>154370533.65007502</v>
      </c>
    </row>
    <row r="391" spans="2:8" x14ac:dyDescent="0.2">
      <c r="B391" s="3" t="s">
        <v>140</v>
      </c>
      <c r="C391" s="3" t="s">
        <v>50</v>
      </c>
      <c r="D391" s="3" t="str">
        <f>VLOOKUP(C391,Countries!$B$3:$C$140,2,FALSE)</f>
        <v>Europe</v>
      </c>
      <c r="E391" s="3" t="s">
        <v>99</v>
      </c>
      <c r="F391" s="3" t="str">
        <f>VLOOKUP(E391,Countries!$B$3:$C$140,2,FALSE)</f>
        <v>North America</v>
      </c>
      <c r="G391" s="4">
        <v>4</v>
      </c>
      <c r="H391" s="4">
        <v>0</v>
      </c>
    </row>
    <row r="392" spans="2:8" x14ac:dyDescent="0.2">
      <c r="B392" s="3" t="s">
        <v>140</v>
      </c>
      <c r="C392" s="3" t="s">
        <v>50</v>
      </c>
      <c r="D392" s="3" t="str">
        <f>VLOOKUP(C392,Countries!$B$3:$C$140,2,FALSE)</f>
        <v>Europe</v>
      </c>
      <c r="E392" s="3" t="s">
        <v>7</v>
      </c>
      <c r="F392" s="3" t="str">
        <f>VLOOKUP(E392,Countries!$B$3:$C$140,2,FALSE)</f>
        <v>South America</v>
      </c>
      <c r="G392" s="4">
        <v>6</v>
      </c>
      <c r="H392" s="4">
        <v>20784596.540660851</v>
      </c>
    </row>
    <row r="393" spans="2:8" x14ac:dyDescent="0.2">
      <c r="B393" s="3" t="s">
        <v>140</v>
      </c>
      <c r="C393" s="3" t="s">
        <v>50</v>
      </c>
      <c r="D393" s="3" t="str">
        <f>VLOOKUP(C393,Countries!$B$3:$C$140,2,FALSE)</f>
        <v>Europe</v>
      </c>
      <c r="E393" s="3" t="s">
        <v>36</v>
      </c>
      <c r="F393" s="3" t="str">
        <f>VLOOKUP(E393,Countries!$B$3:$C$140,2,FALSE)</f>
        <v>Europe</v>
      </c>
      <c r="G393" s="4">
        <v>2</v>
      </c>
      <c r="H393" s="4">
        <v>0</v>
      </c>
    </row>
    <row r="394" spans="2:8" x14ac:dyDescent="0.2">
      <c r="B394" s="3" t="s">
        <v>140</v>
      </c>
      <c r="C394" s="3" t="s">
        <v>50</v>
      </c>
      <c r="D394" s="3" t="str">
        <f>VLOOKUP(C394,Countries!$B$3:$C$140,2,FALSE)</f>
        <v>Europe</v>
      </c>
      <c r="E394" s="3" t="s">
        <v>8</v>
      </c>
      <c r="F394" s="3" t="str">
        <f>VLOOKUP(E394,Countries!$B$3:$C$140,2,FALSE)</f>
        <v>North America</v>
      </c>
      <c r="G394" s="4">
        <v>4</v>
      </c>
      <c r="H394" s="4">
        <v>0</v>
      </c>
    </row>
    <row r="395" spans="2:8" x14ac:dyDescent="0.2">
      <c r="B395" s="3" t="s">
        <v>140</v>
      </c>
      <c r="C395" s="3" t="s">
        <v>50</v>
      </c>
      <c r="D395" s="3" t="str">
        <f>VLOOKUP(C395,Countries!$B$3:$C$140,2,FALSE)</f>
        <v>Europe</v>
      </c>
      <c r="E395" s="3" t="s">
        <v>89</v>
      </c>
      <c r="F395" s="3" t="str">
        <f>VLOOKUP(E395,Countries!$B$3:$C$140,2,FALSE)</f>
        <v>Asia</v>
      </c>
      <c r="G395" s="4">
        <v>2</v>
      </c>
      <c r="H395" s="4">
        <v>0</v>
      </c>
    </row>
    <row r="396" spans="2:8" x14ac:dyDescent="0.2">
      <c r="B396" s="3" t="s">
        <v>140</v>
      </c>
      <c r="C396" s="3" t="s">
        <v>50</v>
      </c>
      <c r="D396" s="3" t="str">
        <f>VLOOKUP(C396,Countries!$B$3:$C$140,2,FALSE)</f>
        <v>Europe</v>
      </c>
      <c r="E396" s="3" t="s">
        <v>61</v>
      </c>
      <c r="F396" s="3" t="str">
        <f>VLOOKUP(E396,Countries!$B$3:$C$140,2,FALSE)</f>
        <v>North America</v>
      </c>
      <c r="G396" s="4">
        <v>2</v>
      </c>
      <c r="H396" s="4">
        <v>13500000</v>
      </c>
    </row>
    <row r="397" spans="2:8" x14ac:dyDescent="0.2">
      <c r="B397" s="3" t="s">
        <v>140</v>
      </c>
      <c r="C397" s="3" t="s">
        <v>50</v>
      </c>
      <c r="D397" s="3" t="str">
        <f>VLOOKUP(C397,Countries!$B$3:$C$140,2,FALSE)</f>
        <v>Europe</v>
      </c>
      <c r="E397" s="3" t="s">
        <v>62</v>
      </c>
      <c r="F397" s="3" t="str">
        <f>VLOOKUP(E397,Countries!$B$3:$C$140,2,FALSE)</f>
        <v>Asia</v>
      </c>
      <c r="G397" s="4">
        <v>6</v>
      </c>
      <c r="H397" s="4">
        <v>0</v>
      </c>
    </row>
    <row r="398" spans="2:8" x14ac:dyDescent="0.2">
      <c r="B398" s="3" t="s">
        <v>140</v>
      </c>
      <c r="C398" s="3" t="s">
        <v>50</v>
      </c>
      <c r="D398" s="3" t="str">
        <f>VLOOKUP(C398,Countries!$B$3:$C$140,2,FALSE)</f>
        <v>Europe</v>
      </c>
      <c r="E398" s="3" t="s">
        <v>49</v>
      </c>
      <c r="F398" s="3" t="str">
        <f>VLOOKUP(E398,Countries!$B$3:$C$140,2,FALSE)</f>
        <v>Europe</v>
      </c>
      <c r="G398" s="4">
        <v>4</v>
      </c>
      <c r="H398" s="4">
        <v>2623290.1143150004</v>
      </c>
    </row>
    <row r="399" spans="2:8" x14ac:dyDescent="0.2">
      <c r="B399" s="3" t="s">
        <v>140</v>
      </c>
      <c r="C399" s="3" t="s">
        <v>50</v>
      </c>
      <c r="D399" s="3" t="str">
        <f>VLOOKUP(C399,Countries!$B$3:$C$140,2,FALSE)</f>
        <v>Europe</v>
      </c>
      <c r="E399" s="3" t="s">
        <v>10</v>
      </c>
      <c r="F399" s="3" t="str">
        <f>VLOOKUP(E399,Countries!$B$3:$C$140,2,FALSE)</f>
        <v>Europe</v>
      </c>
      <c r="G399" s="4">
        <v>4</v>
      </c>
      <c r="H399" s="4">
        <v>403583.09450999997</v>
      </c>
    </row>
    <row r="400" spans="2:8" x14ac:dyDescent="0.2">
      <c r="B400" s="3" t="s">
        <v>140</v>
      </c>
      <c r="C400" s="3" t="s">
        <v>50</v>
      </c>
      <c r="D400" s="3" t="str">
        <f>VLOOKUP(C400,Countries!$B$3:$C$140,2,FALSE)</f>
        <v>Europe</v>
      </c>
      <c r="E400" s="3" t="s">
        <v>11</v>
      </c>
      <c r="F400" s="3" t="str">
        <f>VLOOKUP(E400,Countries!$B$3:$C$140,2,FALSE)</f>
        <v>Europe</v>
      </c>
      <c r="G400" s="4">
        <v>98</v>
      </c>
      <c r="H400" s="4">
        <v>388914569.925174</v>
      </c>
    </row>
    <row r="401" spans="2:8" x14ac:dyDescent="0.2">
      <c r="B401" s="3" t="s">
        <v>140</v>
      </c>
      <c r="C401" s="3" t="s">
        <v>50</v>
      </c>
      <c r="D401" s="3" t="str">
        <f>VLOOKUP(C401,Countries!$B$3:$C$140,2,FALSE)</f>
        <v>Europe</v>
      </c>
      <c r="E401" s="3" t="s">
        <v>73</v>
      </c>
      <c r="F401" s="3" t="str">
        <f>VLOOKUP(E401,Countries!$B$3:$C$140,2,FALSE)</f>
        <v>Europe</v>
      </c>
      <c r="G401" s="4">
        <v>10</v>
      </c>
      <c r="H401" s="4">
        <v>0</v>
      </c>
    </row>
    <row r="402" spans="2:8" x14ac:dyDescent="0.2">
      <c r="B402" s="3" t="s">
        <v>140</v>
      </c>
      <c r="C402" s="3" t="s">
        <v>50</v>
      </c>
      <c r="D402" s="3" t="str">
        <f>VLOOKUP(C402,Countries!$B$3:$C$140,2,FALSE)</f>
        <v>Europe</v>
      </c>
      <c r="E402" s="3" t="s">
        <v>12</v>
      </c>
      <c r="F402" s="3" t="str">
        <f>VLOOKUP(E402,Countries!$B$3:$C$140,2,FALSE)</f>
        <v>Europe</v>
      </c>
      <c r="G402" s="4">
        <v>64</v>
      </c>
      <c r="H402" s="4">
        <v>104568379.787541</v>
      </c>
    </row>
    <row r="403" spans="2:8" x14ac:dyDescent="0.2">
      <c r="B403" s="3" t="s">
        <v>140</v>
      </c>
      <c r="C403" s="3" t="s">
        <v>50</v>
      </c>
      <c r="D403" s="3" t="str">
        <f>VLOOKUP(C403,Countries!$B$3:$C$140,2,FALSE)</f>
        <v>Europe</v>
      </c>
      <c r="E403" s="3" t="s">
        <v>13</v>
      </c>
      <c r="F403" s="3" t="str">
        <f>VLOOKUP(E403,Countries!$B$3:$C$140,2,FALSE)</f>
        <v>Europe</v>
      </c>
      <c r="G403" s="4">
        <v>42</v>
      </c>
      <c r="H403" s="4">
        <v>93106624.605871797</v>
      </c>
    </row>
    <row r="404" spans="2:8" x14ac:dyDescent="0.2">
      <c r="B404" s="3" t="s">
        <v>140</v>
      </c>
      <c r="C404" s="3" t="s">
        <v>50</v>
      </c>
      <c r="D404" s="3" t="str">
        <f>VLOOKUP(C404,Countries!$B$3:$C$140,2,FALSE)</f>
        <v>Europe</v>
      </c>
      <c r="E404" s="3" t="s">
        <v>14</v>
      </c>
      <c r="F404" s="3" t="str">
        <f>VLOOKUP(E404,Countries!$B$3:$C$140,2,FALSE)</f>
        <v>Europe</v>
      </c>
      <c r="G404" s="4">
        <v>24</v>
      </c>
      <c r="H404" s="4">
        <v>1210749.2835300001</v>
      </c>
    </row>
    <row r="405" spans="2:8" x14ac:dyDescent="0.2">
      <c r="B405" s="3" t="s">
        <v>140</v>
      </c>
      <c r="C405" s="3" t="s">
        <v>50</v>
      </c>
      <c r="D405" s="3" t="str">
        <f>VLOOKUP(C405,Countries!$B$3:$C$140,2,FALSE)</f>
        <v>Europe</v>
      </c>
      <c r="E405" s="3" t="s">
        <v>15</v>
      </c>
      <c r="F405" s="3" t="str">
        <f>VLOOKUP(E405,Countries!$B$3:$C$140,2,FALSE)</f>
        <v>Europe</v>
      </c>
      <c r="G405" s="4">
        <v>8</v>
      </c>
      <c r="H405" s="4">
        <v>0</v>
      </c>
    </row>
    <row r="406" spans="2:8" x14ac:dyDescent="0.2">
      <c r="B406" s="3" t="s">
        <v>140</v>
      </c>
      <c r="C406" s="3" t="s">
        <v>50</v>
      </c>
      <c r="D406" s="3" t="str">
        <f>VLOOKUP(C406,Countries!$B$3:$C$140,2,FALSE)</f>
        <v>Europe</v>
      </c>
      <c r="E406" s="3" t="s">
        <v>100</v>
      </c>
      <c r="F406" s="3" t="str">
        <f>VLOOKUP(E406,Countries!$B$3:$C$140,2,FALSE)</f>
        <v>Asia</v>
      </c>
      <c r="G406" s="4">
        <v>2</v>
      </c>
      <c r="H406" s="4">
        <v>0</v>
      </c>
    </row>
    <row r="407" spans="2:8" x14ac:dyDescent="0.2">
      <c r="B407" s="3" t="s">
        <v>140</v>
      </c>
      <c r="C407" s="3" t="s">
        <v>50</v>
      </c>
      <c r="D407" s="3" t="str">
        <f>VLOOKUP(C407,Countries!$B$3:$C$140,2,FALSE)</f>
        <v>Europe</v>
      </c>
      <c r="E407" s="3" t="s">
        <v>74</v>
      </c>
      <c r="F407" s="3" t="str">
        <f>VLOOKUP(E407,Countries!$B$3:$C$140,2,FALSE)</f>
        <v>Asia</v>
      </c>
      <c r="G407" s="4">
        <v>2</v>
      </c>
      <c r="H407" s="4">
        <v>0</v>
      </c>
    </row>
    <row r="408" spans="2:8" x14ac:dyDescent="0.2">
      <c r="B408" s="3" t="s">
        <v>140</v>
      </c>
      <c r="C408" s="3" t="s">
        <v>50</v>
      </c>
      <c r="D408" s="3" t="str">
        <f>VLOOKUP(C408,Countries!$B$3:$C$140,2,FALSE)</f>
        <v>Europe</v>
      </c>
      <c r="E408" s="3" t="s">
        <v>101</v>
      </c>
      <c r="F408" s="3" t="str">
        <f>VLOOKUP(E408,Countries!$B$3:$C$140,2,FALSE)</f>
        <v>Europe</v>
      </c>
      <c r="G408" s="4">
        <v>68</v>
      </c>
      <c r="H408" s="4">
        <v>16298446.428997889</v>
      </c>
    </row>
    <row r="409" spans="2:8" x14ac:dyDescent="0.2">
      <c r="B409" s="3" t="s">
        <v>140</v>
      </c>
      <c r="C409" s="3" t="s">
        <v>50</v>
      </c>
      <c r="D409" s="3" t="str">
        <f>VLOOKUP(C409,Countries!$B$3:$C$140,2,FALSE)</f>
        <v>Europe</v>
      </c>
      <c r="E409" s="3" t="s">
        <v>75</v>
      </c>
      <c r="F409" s="3" t="str">
        <f>VLOOKUP(E409,Countries!$B$3:$C$140,2,FALSE)</f>
        <v>Europe</v>
      </c>
      <c r="G409" s="4">
        <v>10</v>
      </c>
      <c r="H409" s="4">
        <v>2078452.9367264998</v>
      </c>
    </row>
    <row r="410" spans="2:8" x14ac:dyDescent="0.2">
      <c r="B410" s="3" t="s">
        <v>140</v>
      </c>
      <c r="C410" s="3" t="s">
        <v>50</v>
      </c>
      <c r="D410" s="3" t="str">
        <f>VLOOKUP(C410,Countries!$B$3:$C$140,2,FALSE)</f>
        <v>Europe</v>
      </c>
      <c r="E410" s="3" t="s">
        <v>17</v>
      </c>
      <c r="F410" s="3" t="str">
        <f>VLOOKUP(E410,Countries!$B$3:$C$140,2,FALSE)</f>
        <v>Europe</v>
      </c>
      <c r="G410" s="4">
        <v>50</v>
      </c>
      <c r="H410" s="4">
        <v>70856446.241831407</v>
      </c>
    </row>
    <row r="411" spans="2:8" x14ac:dyDescent="0.2">
      <c r="B411" s="3" t="s">
        <v>140</v>
      </c>
      <c r="C411" s="3" t="s">
        <v>50</v>
      </c>
      <c r="D411" s="3" t="str">
        <f>VLOOKUP(C411,Countries!$B$3:$C$140,2,FALSE)</f>
        <v>Europe</v>
      </c>
      <c r="E411" s="3" t="s">
        <v>102</v>
      </c>
      <c r="F411" s="3" t="str">
        <f>VLOOKUP(E411,Countries!$B$3:$C$140,2,FALSE)</f>
        <v>North America</v>
      </c>
      <c r="G411" s="4">
        <v>2</v>
      </c>
      <c r="H411" s="4">
        <v>0</v>
      </c>
    </row>
    <row r="412" spans="2:8" x14ac:dyDescent="0.2">
      <c r="B412" s="3" t="s">
        <v>140</v>
      </c>
      <c r="C412" s="3" t="s">
        <v>50</v>
      </c>
      <c r="D412" s="3" t="str">
        <f>VLOOKUP(C412,Countries!$B$3:$C$140,2,FALSE)</f>
        <v>Europe</v>
      </c>
      <c r="E412" s="3" t="s">
        <v>92</v>
      </c>
      <c r="F412" s="3" t="str">
        <f>VLOOKUP(E412,Countries!$B$3:$C$140,2,FALSE)</f>
        <v>Asia</v>
      </c>
      <c r="G412" s="4">
        <v>2</v>
      </c>
      <c r="H412" s="4">
        <v>0</v>
      </c>
    </row>
    <row r="413" spans="2:8" x14ac:dyDescent="0.2">
      <c r="B413" s="3" t="s">
        <v>140</v>
      </c>
      <c r="C413" s="3" t="s">
        <v>50</v>
      </c>
      <c r="D413" s="3" t="str">
        <f>VLOOKUP(C413,Countries!$B$3:$C$140,2,FALSE)</f>
        <v>Europe</v>
      </c>
      <c r="E413" s="3" t="s">
        <v>93</v>
      </c>
      <c r="F413" s="3" t="str">
        <f>VLOOKUP(E413,Countries!$B$3:$C$140,2,FALSE)</f>
        <v>Asia</v>
      </c>
      <c r="G413" s="4">
        <v>2</v>
      </c>
      <c r="H413" s="4">
        <v>10500000</v>
      </c>
    </row>
    <row r="414" spans="2:8" x14ac:dyDescent="0.2">
      <c r="B414" s="3" t="s">
        <v>140</v>
      </c>
      <c r="C414" s="3" t="s">
        <v>50</v>
      </c>
      <c r="D414" s="3" t="str">
        <f>VLOOKUP(C414,Countries!$B$3:$C$140,2,FALSE)</f>
        <v>Europe</v>
      </c>
      <c r="E414" s="3" t="s">
        <v>94</v>
      </c>
      <c r="F414" s="3" t="str">
        <f>VLOOKUP(E414,Countries!$B$3:$C$140,2,FALSE)</f>
        <v>North America</v>
      </c>
      <c r="G414" s="4">
        <v>4</v>
      </c>
      <c r="H414" s="4">
        <v>16869773.350518003</v>
      </c>
    </row>
    <row r="415" spans="2:8" x14ac:dyDescent="0.2">
      <c r="B415" s="3" t="s">
        <v>140</v>
      </c>
      <c r="C415" s="3" t="s">
        <v>50</v>
      </c>
      <c r="D415" s="3" t="str">
        <f>VLOOKUP(C415,Countries!$B$3:$C$140,2,FALSE)</f>
        <v>Europe</v>
      </c>
      <c r="E415" s="3" t="s">
        <v>22</v>
      </c>
      <c r="F415" s="3" t="str">
        <f>VLOOKUP(E415,Countries!$B$3:$C$140,2,FALSE)</f>
        <v>Europe</v>
      </c>
      <c r="G415" s="4">
        <v>4</v>
      </c>
      <c r="H415" s="4">
        <v>0</v>
      </c>
    </row>
    <row r="416" spans="2:8" x14ac:dyDescent="0.2">
      <c r="B416" s="3" t="s">
        <v>140</v>
      </c>
      <c r="C416" s="3" t="s">
        <v>50</v>
      </c>
      <c r="D416" s="3" t="str">
        <f>VLOOKUP(C416,Countries!$B$3:$C$140,2,FALSE)</f>
        <v>Europe</v>
      </c>
      <c r="E416" s="3" t="s">
        <v>53</v>
      </c>
      <c r="F416" s="3" t="str">
        <f>VLOOKUP(E416,Countries!$B$3:$C$140,2,FALSE)</f>
        <v>Europe</v>
      </c>
      <c r="G416" s="4">
        <v>30</v>
      </c>
      <c r="H416" s="4">
        <v>63581969.315962508</v>
      </c>
    </row>
    <row r="417" spans="2:8" x14ac:dyDescent="0.2">
      <c r="B417" s="3" t="s">
        <v>140</v>
      </c>
      <c r="C417" s="3" t="s">
        <v>50</v>
      </c>
      <c r="D417" s="3" t="str">
        <f>VLOOKUP(C417,Countries!$B$3:$C$140,2,FALSE)</f>
        <v>Europe</v>
      </c>
      <c r="E417" s="3" t="s">
        <v>24</v>
      </c>
      <c r="F417" s="3" t="str">
        <f>VLOOKUP(E417,Countries!$B$3:$C$140,2,FALSE)</f>
        <v>Africa</v>
      </c>
      <c r="G417" s="4">
        <v>4</v>
      </c>
      <c r="H417" s="4">
        <v>1626332.3780399999</v>
      </c>
    </row>
    <row r="418" spans="2:8" x14ac:dyDescent="0.2">
      <c r="B418" s="3" t="s">
        <v>140</v>
      </c>
      <c r="C418" s="3" t="s">
        <v>50</v>
      </c>
      <c r="D418" s="3" t="str">
        <f>VLOOKUP(C418,Countries!$B$3:$C$140,2,FALSE)</f>
        <v>Europe</v>
      </c>
      <c r="E418" s="3" t="s">
        <v>78</v>
      </c>
      <c r="F418" s="3" t="str">
        <f>VLOOKUP(E418,Countries!$B$3:$C$140,2,FALSE)</f>
        <v>Europe</v>
      </c>
      <c r="G418" s="4">
        <v>12</v>
      </c>
      <c r="H418" s="4">
        <v>1470255.6831479999</v>
      </c>
    </row>
    <row r="419" spans="2:8" x14ac:dyDescent="0.2">
      <c r="B419" s="3" t="s">
        <v>140</v>
      </c>
      <c r="C419" s="3" t="s">
        <v>50</v>
      </c>
      <c r="D419" s="3" t="str">
        <f>VLOOKUP(C419,Countries!$B$3:$C$140,2,FALSE)</f>
        <v>Europe</v>
      </c>
      <c r="E419" s="3" t="s">
        <v>44</v>
      </c>
      <c r="F419" s="3" t="str">
        <f>VLOOKUP(E419,Countries!$B$3:$C$140,2,FALSE)</f>
        <v>Europe</v>
      </c>
      <c r="G419" s="4">
        <v>8</v>
      </c>
      <c r="H419" s="4">
        <v>1622333.1008249999</v>
      </c>
    </row>
    <row r="420" spans="2:8" x14ac:dyDescent="0.2">
      <c r="B420" s="3" t="s">
        <v>140</v>
      </c>
      <c r="C420" s="3" t="s">
        <v>50</v>
      </c>
      <c r="D420" s="3" t="str">
        <f>VLOOKUP(C420,Countries!$B$3:$C$140,2,FALSE)</f>
        <v>Europe</v>
      </c>
      <c r="E420" s="3" t="s">
        <v>103</v>
      </c>
      <c r="F420" s="3" t="str">
        <f>VLOOKUP(E420,Countries!$B$3:$C$140,2,FALSE)</f>
        <v>Oceania</v>
      </c>
      <c r="G420" s="4">
        <v>4</v>
      </c>
      <c r="H420" s="4">
        <v>23512.073925000001</v>
      </c>
    </row>
    <row r="421" spans="2:8" x14ac:dyDescent="0.2">
      <c r="B421" s="3" t="s">
        <v>140</v>
      </c>
      <c r="C421" s="3" t="s">
        <v>50</v>
      </c>
      <c r="D421" s="3" t="str">
        <f>VLOOKUP(C421,Countries!$B$3:$C$140,2,FALSE)</f>
        <v>Europe</v>
      </c>
      <c r="E421" s="3" t="s">
        <v>80</v>
      </c>
      <c r="F421" s="3" t="str">
        <f>VLOOKUP(E421,Countries!$B$3:$C$140,2,FALSE)</f>
        <v>South America</v>
      </c>
      <c r="G421" s="4">
        <v>2</v>
      </c>
      <c r="H421" s="4">
        <v>15000</v>
      </c>
    </row>
    <row r="422" spans="2:8" x14ac:dyDescent="0.2">
      <c r="B422" s="3" t="s">
        <v>140</v>
      </c>
      <c r="C422" s="3" t="s">
        <v>50</v>
      </c>
      <c r="D422" s="3" t="str">
        <f>VLOOKUP(C422,Countries!$B$3:$C$140,2,FALSE)</f>
        <v>Europe</v>
      </c>
      <c r="E422" s="3" t="s">
        <v>54</v>
      </c>
      <c r="F422" s="3" t="str">
        <f>VLOOKUP(E422,Countries!$B$3:$C$140,2,FALSE)</f>
        <v>Europe</v>
      </c>
      <c r="G422" s="4">
        <v>2</v>
      </c>
      <c r="H422" s="4">
        <v>0</v>
      </c>
    </row>
    <row r="423" spans="2:8" x14ac:dyDescent="0.2">
      <c r="B423" s="3" t="s">
        <v>140</v>
      </c>
      <c r="C423" s="3" t="s">
        <v>50</v>
      </c>
      <c r="D423" s="3" t="str">
        <f>VLOOKUP(C423,Countries!$B$3:$C$140,2,FALSE)</f>
        <v>Europe</v>
      </c>
      <c r="E423" s="3" t="s">
        <v>25</v>
      </c>
      <c r="F423" s="3" t="str">
        <f>VLOOKUP(E423,Countries!$B$3:$C$140,2,FALSE)</f>
        <v>Europe</v>
      </c>
      <c r="G423" s="4">
        <v>14</v>
      </c>
      <c r="H423" s="4">
        <v>2956582.0342649999</v>
      </c>
    </row>
    <row r="424" spans="2:8" x14ac:dyDescent="0.2">
      <c r="B424" s="3" t="s">
        <v>140</v>
      </c>
      <c r="C424" s="3" t="s">
        <v>50</v>
      </c>
      <c r="D424" s="3" t="str">
        <f>VLOOKUP(C424,Countries!$B$3:$C$140,2,FALSE)</f>
        <v>Europe</v>
      </c>
      <c r="E424" s="3" t="s">
        <v>26</v>
      </c>
      <c r="F424" s="3" t="str">
        <f>VLOOKUP(E424,Countries!$B$3:$C$140,2,FALSE)</f>
        <v>Europe</v>
      </c>
      <c r="G424" s="4">
        <v>4</v>
      </c>
      <c r="H424" s="4">
        <v>1410724.4355000001</v>
      </c>
    </row>
    <row r="425" spans="2:8" x14ac:dyDescent="0.2">
      <c r="B425" s="3" t="s">
        <v>140</v>
      </c>
      <c r="C425" s="3" t="s">
        <v>50</v>
      </c>
      <c r="D425" s="3" t="str">
        <f>VLOOKUP(C425,Countries!$B$3:$C$140,2,FALSE)</f>
        <v>Europe</v>
      </c>
      <c r="E425" s="3" t="s">
        <v>82</v>
      </c>
      <c r="F425" s="3" t="e">
        <f>VLOOKUP(E425,Countries!$B$3:$C$140,2,FALSE)</f>
        <v>#N/A</v>
      </c>
      <c r="G425" s="4">
        <v>2</v>
      </c>
      <c r="H425" s="4">
        <v>0</v>
      </c>
    </row>
    <row r="426" spans="2:8" x14ac:dyDescent="0.2">
      <c r="B426" s="3" t="s">
        <v>140</v>
      </c>
      <c r="C426" s="3" t="s">
        <v>50</v>
      </c>
      <c r="D426" s="3" t="str">
        <f>VLOOKUP(C426,Countries!$B$3:$C$140,2,FALSE)</f>
        <v>Europe</v>
      </c>
      <c r="E426" s="3" t="s">
        <v>55</v>
      </c>
      <c r="F426" s="3" t="str">
        <f>VLOOKUP(E426,Countries!$B$3:$C$140,2,FALSE)</f>
        <v>Europe</v>
      </c>
      <c r="G426" s="4">
        <v>192</v>
      </c>
      <c r="H426" s="4">
        <v>58963797.209079295</v>
      </c>
    </row>
    <row r="427" spans="2:8" x14ac:dyDescent="0.2">
      <c r="B427" s="3" t="s">
        <v>140</v>
      </c>
      <c r="C427" s="3" t="s">
        <v>50</v>
      </c>
      <c r="D427" s="3" t="str">
        <f>VLOOKUP(C427,Countries!$B$3:$C$140,2,FALSE)</f>
        <v>Europe</v>
      </c>
      <c r="E427" s="3" t="s">
        <v>28</v>
      </c>
      <c r="F427" s="3" t="str">
        <f>VLOOKUP(E427,Countries!$B$3:$C$140,2,FALSE)</f>
        <v>Europe</v>
      </c>
      <c r="G427" s="4">
        <v>4</v>
      </c>
      <c r="H427" s="4">
        <v>36950283.967950001</v>
      </c>
    </row>
    <row r="428" spans="2:8" x14ac:dyDescent="0.2">
      <c r="B428" s="3" t="s">
        <v>140</v>
      </c>
      <c r="C428" s="3" t="s">
        <v>50</v>
      </c>
      <c r="D428" s="3" t="str">
        <f>VLOOKUP(C428,Countries!$B$3:$C$140,2,FALSE)</f>
        <v>Europe</v>
      </c>
      <c r="E428" s="3" t="s">
        <v>29</v>
      </c>
      <c r="F428" s="3" t="str">
        <f>VLOOKUP(E428,Countries!$B$3:$C$140,2,FALSE)</f>
        <v>Europe</v>
      </c>
      <c r="G428" s="4">
        <v>2</v>
      </c>
      <c r="H428" s="4">
        <v>294489.75424500002</v>
      </c>
    </row>
    <row r="429" spans="2:8" x14ac:dyDescent="0.2">
      <c r="B429" s="3" t="s">
        <v>140</v>
      </c>
      <c r="C429" s="3" t="s">
        <v>50</v>
      </c>
      <c r="D429" s="3" t="str">
        <f>VLOOKUP(C429,Countries!$B$3:$C$140,2,FALSE)</f>
        <v>Europe</v>
      </c>
      <c r="E429" s="3" t="s">
        <v>56</v>
      </c>
      <c r="F429" s="3" t="str">
        <f>VLOOKUP(E429,Countries!$B$3:$C$140,2,FALSE)</f>
        <v>Europe</v>
      </c>
      <c r="G429" s="4">
        <v>2</v>
      </c>
      <c r="H429" s="4">
        <v>0</v>
      </c>
    </row>
    <row r="430" spans="2:8" x14ac:dyDescent="0.2">
      <c r="B430" s="3" t="s">
        <v>140</v>
      </c>
      <c r="C430" s="3" t="s">
        <v>50</v>
      </c>
      <c r="D430" s="3" t="str">
        <f>VLOOKUP(C430,Countries!$B$3:$C$140,2,FALSE)</f>
        <v>Europe</v>
      </c>
      <c r="E430" s="3" t="s">
        <v>30</v>
      </c>
      <c r="F430" s="3" t="str">
        <f>VLOOKUP(E430,Countries!$B$3:$C$140,2,FALSE)</f>
        <v>Europe</v>
      </c>
      <c r="G430" s="4">
        <v>4</v>
      </c>
      <c r="H430" s="4">
        <v>0</v>
      </c>
    </row>
    <row r="431" spans="2:8" x14ac:dyDescent="0.2">
      <c r="B431" s="3" t="s">
        <v>140</v>
      </c>
      <c r="C431" s="3" t="s">
        <v>50</v>
      </c>
      <c r="D431" s="3" t="str">
        <f>VLOOKUP(C431,Countries!$B$3:$C$140,2,FALSE)</f>
        <v>Europe</v>
      </c>
      <c r="E431" s="3" t="s">
        <v>31</v>
      </c>
      <c r="F431" s="3" t="str">
        <f>VLOOKUP(E431,Countries!$B$3:$C$140,2,FALSE)</f>
        <v>Europe</v>
      </c>
      <c r="G431" s="4">
        <v>12</v>
      </c>
      <c r="H431" s="4">
        <v>2845260.8162954999</v>
      </c>
    </row>
    <row r="432" spans="2:8" x14ac:dyDescent="0.2">
      <c r="B432" s="3" t="s">
        <v>140</v>
      </c>
      <c r="C432" s="3" t="s">
        <v>50</v>
      </c>
      <c r="D432" s="3" t="str">
        <f>VLOOKUP(C432,Countries!$B$3:$C$140,2,FALSE)</f>
        <v>Europe</v>
      </c>
      <c r="E432" s="3" t="s">
        <v>104</v>
      </c>
      <c r="F432" s="3" t="str">
        <f>VLOOKUP(E432,Countries!$B$3:$C$140,2,FALSE)</f>
        <v>Africa</v>
      </c>
      <c r="G432" s="4">
        <v>4</v>
      </c>
      <c r="H432" s="4">
        <v>0</v>
      </c>
    </row>
    <row r="433" spans="2:8" x14ac:dyDescent="0.2">
      <c r="B433" s="3" t="s">
        <v>140</v>
      </c>
      <c r="C433" s="3" t="s">
        <v>50</v>
      </c>
      <c r="D433" s="3" t="str">
        <f>VLOOKUP(C433,Countries!$B$3:$C$140,2,FALSE)</f>
        <v>Europe</v>
      </c>
      <c r="E433" s="3" t="s">
        <v>57</v>
      </c>
      <c r="F433" s="3" t="str">
        <f>VLOOKUP(E433,Countries!$B$3:$C$140,2,FALSE)</f>
        <v>Europe/Asia</v>
      </c>
      <c r="G433" s="4">
        <v>12</v>
      </c>
      <c r="H433" s="4">
        <v>28250816.615699999</v>
      </c>
    </row>
    <row r="434" spans="2:8" x14ac:dyDescent="0.2">
      <c r="B434" s="3" t="s">
        <v>140</v>
      </c>
      <c r="C434" s="3" t="s">
        <v>50</v>
      </c>
      <c r="D434" s="3" t="str">
        <f>VLOOKUP(C434,Countries!$B$3:$C$140,2,FALSE)</f>
        <v>Europe</v>
      </c>
      <c r="E434" s="3" t="s">
        <v>105</v>
      </c>
      <c r="F434" s="3" t="str">
        <f>VLOOKUP(E434,Countries!$B$3:$C$140,2,FALSE)</f>
        <v>Asia</v>
      </c>
      <c r="G434" s="4">
        <v>2</v>
      </c>
      <c r="H434" s="4">
        <v>0</v>
      </c>
    </row>
    <row r="435" spans="2:8" x14ac:dyDescent="0.2">
      <c r="B435" s="3" t="s">
        <v>140</v>
      </c>
      <c r="C435" s="3" t="s">
        <v>50</v>
      </c>
      <c r="D435" s="3" t="str">
        <f>VLOOKUP(C435,Countries!$B$3:$C$140,2,FALSE)</f>
        <v>Europe</v>
      </c>
      <c r="E435" s="3" t="s">
        <v>58</v>
      </c>
      <c r="F435" s="3" t="str">
        <f>VLOOKUP(E435,Countries!$B$3:$C$140,2,FALSE)</f>
        <v>South America</v>
      </c>
      <c r="G435" s="4">
        <v>10</v>
      </c>
      <c r="H435" s="4">
        <v>31421535.593370002</v>
      </c>
    </row>
    <row r="436" spans="2:8" x14ac:dyDescent="0.2">
      <c r="B436" s="3" t="s">
        <v>140</v>
      </c>
      <c r="C436" s="3" t="s">
        <v>50</v>
      </c>
      <c r="D436" s="3" t="str">
        <f>VLOOKUP(C436,Countries!$B$3:$C$140,2,FALSE)</f>
        <v>Europe</v>
      </c>
      <c r="E436" s="3" t="s">
        <v>33</v>
      </c>
      <c r="F436" s="3" t="str">
        <f>VLOOKUP(E436,Countries!$B$3:$C$140,2,FALSE)</f>
        <v>North America</v>
      </c>
      <c r="G436" s="4">
        <v>32</v>
      </c>
      <c r="H436" s="4">
        <v>13018899.717749998</v>
      </c>
    </row>
    <row r="437" spans="2:8" x14ac:dyDescent="0.2">
      <c r="B437" s="3" t="s">
        <v>140</v>
      </c>
      <c r="C437" s="3" t="s">
        <v>50</v>
      </c>
      <c r="D437" s="3" t="str">
        <f>VLOOKUP(C437,Countries!$B$3:$C$140,2,FALSE)</f>
        <v>Europe</v>
      </c>
      <c r="E437" s="3" t="s">
        <v>86</v>
      </c>
      <c r="F437" s="3" t="str">
        <f>VLOOKUP(E437,Countries!$B$3:$C$140,2,FALSE)</f>
        <v>Europe</v>
      </c>
      <c r="G437" s="4">
        <v>118</v>
      </c>
      <c r="H437" s="4">
        <v>10598111.729768999</v>
      </c>
    </row>
    <row r="438" spans="2:8" x14ac:dyDescent="0.2">
      <c r="B438" s="3" t="s">
        <v>140</v>
      </c>
      <c r="C438" s="3" t="s">
        <v>11</v>
      </c>
      <c r="D438" s="3" t="str">
        <f>VLOOKUP(C438,Countries!$B$3:$C$140,2,FALSE)</f>
        <v>Europe</v>
      </c>
      <c r="E438" s="3" t="s">
        <v>69</v>
      </c>
      <c r="F438" s="3" t="str">
        <f>VLOOKUP(E438,Countries!$B$3:$C$140,2,FALSE)</f>
        <v>South America</v>
      </c>
      <c r="G438" s="4">
        <v>28</v>
      </c>
      <c r="H438" s="4">
        <v>403583.09450999997</v>
      </c>
    </row>
    <row r="439" spans="2:8" x14ac:dyDescent="0.2">
      <c r="B439" s="3" t="s">
        <v>140</v>
      </c>
      <c r="C439" s="3" t="s">
        <v>11</v>
      </c>
      <c r="D439" s="3" t="str">
        <f>VLOOKUP(C439,Countries!$B$3:$C$140,2,FALSE)</f>
        <v>Europe</v>
      </c>
      <c r="E439" s="3" t="s">
        <v>3</v>
      </c>
      <c r="F439" s="3" t="str">
        <f>VLOOKUP(E439,Countries!$B$3:$C$140,2,FALSE)</f>
        <v>Europe</v>
      </c>
      <c r="G439" s="4">
        <v>10</v>
      </c>
      <c r="H439" s="4">
        <v>0</v>
      </c>
    </row>
    <row r="440" spans="2:8" x14ac:dyDescent="0.2">
      <c r="B440" s="3" t="s">
        <v>140</v>
      </c>
      <c r="C440" s="3" t="s">
        <v>11</v>
      </c>
      <c r="D440" s="3" t="str">
        <f>VLOOKUP(C440,Countries!$B$3:$C$140,2,FALSE)</f>
        <v>Europe</v>
      </c>
      <c r="E440" s="3" t="s">
        <v>4</v>
      </c>
      <c r="F440" s="3" t="str">
        <f>VLOOKUP(E440,Countries!$B$3:$C$140,2,FALSE)</f>
        <v>Asia</v>
      </c>
      <c r="G440" s="4">
        <v>2</v>
      </c>
      <c r="H440" s="4">
        <v>0</v>
      </c>
    </row>
    <row r="441" spans="2:8" x14ac:dyDescent="0.2">
      <c r="B441" s="3" t="s">
        <v>140</v>
      </c>
      <c r="C441" s="3" t="s">
        <v>11</v>
      </c>
      <c r="D441" s="3" t="str">
        <f>VLOOKUP(C441,Countries!$B$3:$C$140,2,FALSE)</f>
        <v>Europe</v>
      </c>
      <c r="E441" s="3" t="s">
        <v>35</v>
      </c>
      <c r="F441" s="3" t="str">
        <f>VLOOKUP(E441,Countries!$B$3:$C$140,2,FALSE)</f>
        <v>Europe</v>
      </c>
      <c r="G441" s="4">
        <v>10</v>
      </c>
      <c r="H441" s="4">
        <v>11915189.00103</v>
      </c>
    </row>
    <row r="442" spans="2:8" x14ac:dyDescent="0.2">
      <c r="B442" s="3" t="s">
        <v>140</v>
      </c>
      <c r="C442" s="3" t="s">
        <v>11</v>
      </c>
      <c r="D442" s="3" t="str">
        <f>VLOOKUP(C442,Countries!$B$3:$C$140,2,FALSE)</f>
        <v>Europe</v>
      </c>
      <c r="E442" s="3" t="s">
        <v>7</v>
      </c>
      <c r="F442" s="3" t="str">
        <f>VLOOKUP(E442,Countries!$B$3:$C$140,2,FALSE)</f>
        <v>South America</v>
      </c>
      <c r="G442" s="4">
        <v>32</v>
      </c>
      <c r="H442" s="4">
        <v>15134366.044124998</v>
      </c>
    </row>
    <row r="443" spans="2:8" x14ac:dyDescent="0.2">
      <c r="B443" s="3" t="s">
        <v>140</v>
      </c>
      <c r="C443" s="3" t="s">
        <v>11</v>
      </c>
      <c r="D443" s="3" t="str">
        <f>VLOOKUP(C443,Countries!$B$3:$C$140,2,FALSE)</f>
        <v>Europe</v>
      </c>
      <c r="E443" s="3" t="s">
        <v>36</v>
      </c>
      <c r="F443" s="3" t="str">
        <f>VLOOKUP(E443,Countries!$B$3:$C$140,2,FALSE)</f>
        <v>Europe</v>
      </c>
      <c r="G443" s="4">
        <v>2</v>
      </c>
      <c r="H443" s="4">
        <v>0</v>
      </c>
    </row>
    <row r="444" spans="2:8" x14ac:dyDescent="0.2">
      <c r="B444" s="3" t="s">
        <v>140</v>
      </c>
      <c r="C444" s="3" t="s">
        <v>11</v>
      </c>
      <c r="D444" s="3" t="str">
        <f>VLOOKUP(C444,Countries!$B$3:$C$140,2,FALSE)</f>
        <v>Europe</v>
      </c>
      <c r="E444" s="3" t="s">
        <v>88</v>
      </c>
      <c r="F444" s="3" t="str">
        <f>VLOOKUP(E444,Countries!$B$3:$C$140,2,FALSE)</f>
        <v>South America</v>
      </c>
      <c r="G444" s="4">
        <v>8</v>
      </c>
      <c r="H444" s="4">
        <v>8250000</v>
      </c>
    </row>
    <row r="445" spans="2:8" x14ac:dyDescent="0.2">
      <c r="B445" s="3" t="s">
        <v>140</v>
      </c>
      <c r="C445" s="3" t="s">
        <v>11</v>
      </c>
      <c r="D445" s="3" t="str">
        <f>VLOOKUP(C445,Countries!$B$3:$C$140,2,FALSE)</f>
        <v>Europe</v>
      </c>
      <c r="E445" s="3" t="s">
        <v>106</v>
      </c>
      <c r="F445" s="3" t="str">
        <f>VLOOKUP(E445,Countries!$B$3:$C$140,2,FALSE)</f>
        <v>Africa</v>
      </c>
      <c r="G445" s="4">
        <v>2</v>
      </c>
      <c r="H445" s="4">
        <v>0</v>
      </c>
    </row>
    <row r="446" spans="2:8" x14ac:dyDescent="0.2">
      <c r="B446" s="3" t="s">
        <v>140</v>
      </c>
      <c r="C446" s="3" t="s">
        <v>11</v>
      </c>
      <c r="D446" s="3" t="str">
        <f>VLOOKUP(C446,Countries!$B$3:$C$140,2,FALSE)</f>
        <v>Europe</v>
      </c>
      <c r="E446" s="3" t="s">
        <v>72</v>
      </c>
      <c r="F446" s="3" t="str">
        <f>VLOOKUP(E446,Countries!$B$3:$C$140,2,FALSE)</f>
        <v>South America</v>
      </c>
      <c r="G446" s="4">
        <v>2</v>
      </c>
      <c r="H446" s="4">
        <v>0</v>
      </c>
    </row>
    <row r="447" spans="2:8" x14ac:dyDescent="0.2">
      <c r="B447" s="3" t="s">
        <v>140</v>
      </c>
      <c r="C447" s="3" t="s">
        <v>11</v>
      </c>
      <c r="D447" s="3" t="str">
        <f>VLOOKUP(C447,Countries!$B$3:$C$140,2,FALSE)</f>
        <v>Europe</v>
      </c>
      <c r="E447" s="3" t="s">
        <v>62</v>
      </c>
      <c r="F447" s="3" t="str">
        <f>VLOOKUP(E447,Countries!$B$3:$C$140,2,FALSE)</f>
        <v>Asia</v>
      </c>
      <c r="G447" s="4">
        <v>10</v>
      </c>
      <c r="H447" s="4">
        <v>0</v>
      </c>
    </row>
    <row r="448" spans="2:8" x14ac:dyDescent="0.2">
      <c r="B448" s="3" t="s">
        <v>140</v>
      </c>
      <c r="C448" s="3" t="s">
        <v>11</v>
      </c>
      <c r="D448" s="3" t="str">
        <f>VLOOKUP(C448,Countries!$B$3:$C$140,2,FALSE)</f>
        <v>Europe</v>
      </c>
      <c r="E448" s="3" t="s">
        <v>107</v>
      </c>
      <c r="F448" s="3" t="str">
        <f>VLOOKUP(E448,Countries!$B$3:$C$140,2,FALSE)</f>
        <v>South America</v>
      </c>
      <c r="G448" s="4">
        <v>2</v>
      </c>
      <c r="H448" s="4">
        <v>0</v>
      </c>
    </row>
    <row r="449" spans="2:8" x14ac:dyDescent="0.2">
      <c r="B449" s="3" t="s">
        <v>140</v>
      </c>
      <c r="C449" s="3" t="s">
        <v>11</v>
      </c>
      <c r="D449" s="3" t="str">
        <f>VLOOKUP(C449,Countries!$B$3:$C$140,2,FALSE)</f>
        <v>Europe</v>
      </c>
      <c r="E449" s="3" t="s">
        <v>50</v>
      </c>
      <c r="F449" s="3" t="str">
        <f>VLOOKUP(E449,Countries!$B$3:$C$140,2,FALSE)</f>
        <v>Europe</v>
      </c>
      <c r="G449" s="4">
        <v>48</v>
      </c>
      <c r="H449" s="4">
        <v>169341163.80368102</v>
      </c>
    </row>
    <row r="450" spans="2:8" x14ac:dyDescent="0.2">
      <c r="B450" s="3" t="s">
        <v>140</v>
      </c>
      <c r="C450" s="3" t="s">
        <v>11</v>
      </c>
      <c r="D450" s="3" t="str">
        <f>VLOOKUP(C450,Countries!$B$3:$C$140,2,FALSE)</f>
        <v>Europe</v>
      </c>
      <c r="E450" s="3" t="s">
        <v>12</v>
      </c>
      <c r="F450" s="3" t="str">
        <f>VLOOKUP(E450,Countries!$B$3:$C$140,2,FALSE)</f>
        <v>Europe</v>
      </c>
      <c r="G450" s="4">
        <v>24</v>
      </c>
      <c r="H450" s="4">
        <v>126429573.49527001</v>
      </c>
    </row>
    <row r="451" spans="2:8" x14ac:dyDescent="0.2">
      <c r="B451" s="3" t="s">
        <v>140</v>
      </c>
      <c r="C451" s="3" t="s">
        <v>11</v>
      </c>
      <c r="D451" s="3" t="str">
        <f>VLOOKUP(C451,Countries!$B$3:$C$140,2,FALSE)</f>
        <v>Europe</v>
      </c>
      <c r="E451" s="3" t="s">
        <v>97</v>
      </c>
      <c r="F451" s="3" t="str">
        <f>VLOOKUP(E451,Countries!$B$3:$C$140,2,FALSE)</f>
        <v>Europe</v>
      </c>
      <c r="G451" s="4">
        <v>2</v>
      </c>
      <c r="H451" s="4">
        <v>0</v>
      </c>
    </row>
    <row r="452" spans="2:8" x14ac:dyDescent="0.2">
      <c r="B452" s="3" t="s">
        <v>140</v>
      </c>
      <c r="C452" s="3" t="s">
        <v>11</v>
      </c>
      <c r="D452" s="3" t="str">
        <f>VLOOKUP(C452,Countries!$B$3:$C$140,2,FALSE)</f>
        <v>Europe</v>
      </c>
      <c r="E452" s="3" t="s">
        <v>13</v>
      </c>
      <c r="F452" s="3" t="str">
        <f>VLOOKUP(E452,Countries!$B$3:$C$140,2,FALSE)</f>
        <v>Europe</v>
      </c>
      <c r="G452" s="4">
        <v>20</v>
      </c>
      <c r="H452" s="4">
        <v>43738317.867521405</v>
      </c>
    </row>
    <row r="453" spans="2:8" x14ac:dyDescent="0.2">
      <c r="B453" s="3" t="s">
        <v>140</v>
      </c>
      <c r="C453" s="3" t="s">
        <v>11</v>
      </c>
      <c r="D453" s="3" t="str">
        <f>VLOOKUP(C453,Countries!$B$3:$C$140,2,FALSE)</f>
        <v>Europe</v>
      </c>
      <c r="E453" s="3" t="s">
        <v>14</v>
      </c>
      <c r="F453" s="3" t="str">
        <f>VLOOKUP(E453,Countries!$B$3:$C$140,2,FALSE)</f>
        <v>Europe</v>
      </c>
      <c r="G453" s="4">
        <v>20</v>
      </c>
      <c r="H453" s="4">
        <v>0</v>
      </c>
    </row>
    <row r="454" spans="2:8" x14ac:dyDescent="0.2">
      <c r="B454" s="3" t="s">
        <v>140</v>
      </c>
      <c r="C454" s="3" t="s">
        <v>11</v>
      </c>
      <c r="D454" s="3" t="str">
        <f>VLOOKUP(C454,Countries!$B$3:$C$140,2,FALSE)</f>
        <v>Europe</v>
      </c>
      <c r="E454" s="3" t="s">
        <v>108</v>
      </c>
      <c r="F454" s="3" t="str">
        <f>VLOOKUP(E454,Countries!$B$3:$C$140,2,FALSE)</f>
        <v>North America</v>
      </c>
      <c r="G454" s="4">
        <v>2</v>
      </c>
      <c r="H454" s="4">
        <v>322866.47560800001</v>
      </c>
    </row>
    <row r="455" spans="2:8" x14ac:dyDescent="0.2">
      <c r="B455" s="3" t="s">
        <v>140</v>
      </c>
      <c r="C455" s="3" t="s">
        <v>11</v>
      </c>
      <c r="D455" s="3" t="str">
        <f>VLOOKUP(C455,Countries!$B$3:$C$140,2,FALSE)</f>
        <v>Europe</v>
      </c>
      <c r="E455" s="3" t="s">
        <v>15</v>
      </c>
      <c r="F455" s="3" t="str">
        <f>VLOOKUP(E455,Countries!$B$3:$C$140,2,FALSE)</f>
        <v>Europe</v>
      </c>
      <c r="G455" s="4">
        <v>2</v>
      </c>
      <c r="H455" s="4">
        <v>0</v>
      </c>
    </row>
    <row r="456" spans="2:8" x14ac:dyDescent="0.2">
      <c r="B456" s="3" t="s">
        <v>140</v>
      </c>
      <c r="C456" s="3" t="s">
        <v>11</v>
      </c>
      <c r="D456" s="3" t="str">
        <f>VLOOKUP(C456,Countries!$B$3:$C$140,2,FALSE)</f>
        <v>Europe</v>
      </c>
      <c r="E456" s="3" t="s">
        <v>51</v>
      </c>
      <c r="F456" s="3" t="str">
        <f>VLOOKUP(E456,Countries!$B$3:$C$140,2,FALSE)</f>
        <v>Asia</v>
      </c>
      <c r="G456" s="4">
        <v>8</v>
      </c>
      <c r="H456" s="4">
        <v>605374.64176500007</v>
      </c>
    </row>
    <row r="457" spans="2:8" x14ac:dyDescent="0.2">
      <c r="B457" s="3" t="s">
        <v>140</v>
      </c>
      <c r="C457" s="3" t="s">
        <v>11</v>
      </c>
      <c r="D457" s="3" t="str">
        <f>VLOOKUP(C457,Countries!$B$3:$C$140,2,FALSE)</f>
        <v>Europe</v>
      </c>
      <c r="E457" s="3" t="s">
        <v>17</v>
      </c>
      <c r="F457" s="3" t="str">
        <f>VLOOKUP(E457,Countries!$B$3:$C$140,2,FALSE)</f>
        <v>Europe</v>
      </c>
      <c r="G457" s="4">
        <v>48</v>
      </c>
      <c r="H457" s="4">
        <v>237846668.02093679</v>
      </c>
    </row>
    <row r="458" spans="2:8" x14ac:dyDescent="0.2">
      <c r="B458" s="3" t="s">
        <v>140</v>
      </c>
      <c r="C458" s="3" t="s">
        <v>11</v>
      </c>
      <c r="D458" s="3" t="str">
        <f>VLOOKUP(C458,Countries!$B$3:$C$140,2,FALSE)</f>
        <v>Europe</v>
      </c>
      <c r="E458" s="3" t="s">
        <v>40</v>
      </c>
      <c r="F458" s="3" t="str">
        <f>VLOOKUP(E458,Countries!$B$3:$C$140,2,FALSE)</f>
        <v>Asia</v>
      </c>
      <c r="G458" s="4">
        <v>2</v>
      </c>
      <c r="H458" s="4">
        <v>0</v>
      </c>
    </row>
    <row r="459" spans="2:8" x14ac:dyDescent="0.2">
      <c r="B459" s="3" t="s">
        <v>140</v>
      </c>
      <c r="C459" s="3" t="s">
        <v>11</v>
      </c>
      <c r="D459" s="3" t="str">
        <f>VLOOKUP(C459,Countries!$B$3:$C$140,2,FALSE)</f>
        <v>Europe</v>
      </c>
      <c r="E459" s="3" t="s">
        <v>94</v>
      </c>
      <c r="F459" s="3" t="str">
        <f>VLOOKUP(E459,Countries!$B$3:$C$140,2,FALSE)</f>
        <v>North America</v>
      </c>
      <c r="G459" s="4">
        <v>4</v>
      </c>
      <c r="H459" s="4">
        <v>201791.54725499998</v>
      </c>
    </row>
    <row r="460" spans="2:8" x14ac:dyDescent="0.2">
      <c r="B460" s="3" t="s">
        <v>140</v>
      </c>
      <c r="C460" s="3" t="s">
        <v>11</v>
      </c>
      <c r="D460" s="3" t="str">
        <f>VLOOKUP(C460,Countries!$B$3:$C$140,2,FALSE)</f>
        <v>Europe</v>
      </c>
      <c r="E460" s="3" t="s">
        <v>21</v>
      </c>
      <c r="F460" s="3" t="str">
        <f>VLOOKUP(E460,Countries!$B$3:$C$140,2,FALSE)</f>
        <v>Europe</v>
      </c>
      <c r="G460" s="4">
        <v>2</v>
      </c>
      <c r="H460" s="4">
        <v>2219707.0198050002</v>
      </c>
    </row>
    <row r="461" spans="2:8" x14ac:dyDescent="0.2">
      <c r="B461" s="3" t="s">
        <v>140</v>
      </c>
      <c r="C461" s="3" t="s">
        <v>11</v>
      </c>
      <c r="D461" s="3" t="str">
        <f>VLOOKUP(C461,Countries!$B$3:$C$140,2,FALSE)</f>
        <v>Europe</v>
      </c>
      <c r="E461" s="3" t="s">
        <v>53</v>
      </c>
      <c r="F461" s="3" t="str">
        <f>VLOOKUP(E461,Countries!$B$3:$C$140,2,FALSE)</f>
        <v>Europe</v>
      </c>
      <c r="G461" s="4">
        <v>10</v>
      </c>
      <c r="H461" s="4">
        <v>11703909.74079</v>
      </c>
    </row>
    <row r="462" spans="2:8" x14ac:dyDescent="0.2">
      <c r="B462" s="3" t="s">
        <v>140</v>
      </c>
      <c r="C462" s="3" t="s">
        <v>11</v>
      </c>
      <c r="D462" s="3" t="str">
        <f>VLOOKUP(C462,Countries!$B$3:$C$140,2,FALSE)</f>
        <v>Europe</v>
      </c>
      <c r="E462" s="3" t="s">
        <v>24</v>
      </c>
      <c r="F462" s="3" t="str">
        <f>VLOOKUP(E462,Countries!$B$3:$C$140,2,FALSE)</f>
        <v>Africa</v>
      </c>
      <c r="G462" s="4">
        <v>2</v>
      </c>
      <c r="H462" s="4">
        <v>0</v>
      </c>
    </row>
    <row r="463" spans="2:8" x14ac:dyDescent="0.2">
      <c r="B463" s="3" t="s">
        <v>140</v>
      </c>
      <c r="C463" s="3" t="s">
        <v>11</v>
      </c>
      <c r="D463" s="3" t="str">
        <f>VLOOKUP(C463,Countries!$B$3:$C$140,2,FALSE)</f>
        <v>Europe</v>
      </c>
      <c r="E463" s="3" t="s">
        <v>109</v>
      </c>
      <c r="F463" s="3" t="str">
        <f>VLOOKUP(E463,Countries!$B$3:$C$140,2,FALSE)</f>
        <v>Africa</v>
      </c>
      <c r="G463" s="4">
        <v>2</v>
      </c>
      <c r="H463" s="4">
        <v>0</v>
      </c>
    </row>
    <row r="464" spans="2:8" x14ac:dyDescent="0.2">
      <c r="B464" s="3" t="s">
        <v>140</v>
      </c>
      <c r="C464" s="3" t="s">
        <v>11</v>
      </c>
      <c r="D464" s="3" t="str">
        <f>VLOOKUP(C464,Countries!$B$3:$C$140,2,FALSE)</f>
        <v>Europe</v>
      </c>
      <c r="E464" s="3" t="s">
        <v>79</v>
      </c>
      <c r="F464" s="3" t="str">
        <f>VLOOKUP(E464,Countries!$B$3:$C$140,2,FALSE)</f>
        <v>South America</v>
      </c>
      <c r="G464" s="4">
        <v>2</v>
      </c>
      <c r="H464" s="4">
        <v>161433.237804</v>
      </c>
    </row>
    <row r="465" spans="2:8" x14ac:dyDescent="0.2">
      <c r="B465" s="3" t="s">
        <v>140</v>
      </c>
      <c r="C465" s="3" t="s">
        <v>11</v>
      </c>
      <c r="D465" s="3" t="str">
        <f>VLOOKUP(C465,Countries!$B$3:$C$140,2,FALSE)</f>
        <v>Europe</v>
      </c>
      <c r="E465" s="3" t="s">
        <v>80</v>
      </c>
      <c r="F465" s="3" t="str">
        <f>VLOOKUP(E465,Countries!$B$3:$C$140,2,FALSE)</f>
        <v>South America</v>
      </c>
      <c r="G465" s="4">
        <v>2</v>
      </c>
      <c r="H465" s="4">
        <v>262329.01143149997</v>
      </c>
    </row>
    <row r="466" spans="2:8" x14ac:dyDescent="0.2">
      <c r="B466" s="3" t="s">
        <v>140</v>
      </c>
      <c r="C466" s="3" t="s">
        <v>11</v>
      </c>
      <c r="D466" s="3" t="str">
        <f>VLOOKUP(C466,Countries!$B$3:$C$140,2,FALSE)</f>
        <v>Europe</v>
      </c>
      <c r="E466" s="3" t="s">
        <v>25</v>
      </c>
      <c r="F466" s="3" t="str">
        <f>VLOOKUP(E466,Countries!$B$3:$C$140,2,FALSE)</f>
        <v>Europe</v>
      </c>
      <c r="G466" s="4">
        <v>54</v>
      </c>
      <c r="H466" s="4">
        <v>439821166.57831204</v>
      </c>
    </row>
    <row r="467" spans="2:8" x14ac:dyDescent="0.2">
      <c r="B467" s="3" t="s">
        <v>140</v>
      </c>
      <c r="C467" s="3" t="s">
        <v>11</v>
      </c>
      <c r="D467" s="3" t="str">
        <f>VLOOKUP(C467,Countries!$B$3:$C$140,2,FALSE)</f>
        <v>Europe</v>
      </c>
      <c r="E467" s="3" t="s">
        <v>26</v>
      </c>
      <c r="F467" s="3" t="str">
        <f>VLOOKUP(E467,Countries!$B$3:$C$140,2,FALSE)</f>
        <v>Europe</v>
      </c>
      <c r="G467" s="4">
        <v>8</v>
      </c>
      <c r="H467" s="4">
        <v>0</v>
      </c>
    </row>
    <row r="468" spans="2:8" x14ac:dyDescent="0.2">
      <c r="B468" s="3" t="s">
        <v>140</v>
      </c>
      <c r="C468" s="3" t="s">
        <v>11</v>
      </c>
      <c r="D468" s="3" t="str">
        <f>VLOOKUP(C468,Countries!$B$3:$C$140,2,FALSE)</f>
        <v>Europe</v>
      </c>
      <c r="E468" s="3" t="s">
        <v>46</v>
      </c>
      <c r="F468" s="3" t="str">
        <f>VLOOKUP(E468,Countries!$B$3:$C$140,2,FALSE)</f>
        <v>Europe/Asia</v>
      </c>
      <c r="G468" s="4">
        <v>8</v>
      </c>
      <c r="H468" s="4">
        <v>0</v>
      </c>
    </row>
    <row r="469" spans="2:8" x14ac:dyDescent="0.2">
      <c r="B469" s="3" t="s">
        <v>140</v>
      </c>
      <c r="C469" s="3" t="s">
        <v>11</v>
      </c>
      <c r="D469" s="3" t="str">
        <f>VLOOKUP(C469,Countries!$B$3:$C$140,2,FALSE)</f>
        <v>Europe</v>
      </c>
      <c r="E469" s="3" t="s">
        <v>55</v>
      </c>
      <c r="F469" s="3" t="str">
        <f>VLOOKUP(E469,Countries!$B$3:$C$140,2,FALSE)</f>
        <v>Europe</v>
      </c>
      <c r="G469" s="4">
        <v>8</v>
      </c>
      <c r="H469" s="4">
        <v>0</v>
      </c>
    </row>
    <row r="470" spans="2:8" x14ac:dyDescent="0.2">
      <c r="B470" s="3" t="s">
        <v>140</v>
      </c>
      <c r="C470" s="3" t="s">
        <v>11</v>
      </c>
      <c r="D470" s="3" t="str">
        <f>VLOOKUP(C470,Countries!$B$3:$C$140,2,FALSE)</f>
        <v>Europe</v>
      </c>
      <c r="E470" s="3" t="s">
        <v>47</v>
      </c>
      <c r="F470" s="3" t="str">
        <f>VLOOKUP(E470,Countries!$B$3:$C$140,2,FALSE)</f>
        <v>Africa</v>
      </c>
      <c r="G470" s="4">
        <v>2</v>
      </c>
      <c r="H470" s="4">
        <v>0</v>
      </c>
    </row>
    <row r="471" spans="2:8" x14ac:dyDescent="0.2">
      <c r="B471" s="3" t="s">
        <v>140</v>
      </c>
      <c r="C471" s="3" t="s">
        <v>11</v>
      </c>
      <c r="D471" s="3" t="str">
        <f>VLOOKUP(C471,Countries!$B$3:$C$140,2,FALSE)</f>
        <v>Europe</v>
      </c>
      <c r="E471" s="3" t="s">
        <v>28</v>
      </c>
      <c r="F471" s="3" t="str">
        <f>VLOOKUP(E471,Countries!$B$3:$C$140,2,FALSE)</f>
        <v>Europe</v>
      </c>
      <c r="G471" s="4">
        <v>4</v>
      </c>
      <c r="H471" s="4">
        <v>1210749.2835300001</v>
      </c>
    </row>
    <row r="472" spans="2:8" x14ac:dyDescent="0.2">
      <c r="B472" s="3" t="s">
        <v>140</v>
      </c>
      <c r="C472" s="3" t="s">
        <v>11</v>
      </c>
      <c r="D472" s="3" t="str">
        <f>VLOOKUP(C472,Countries!$B$3:$C$140,2,FALSE)</f>
        <v>Europe</v>
      </c>
      <c r="E472" s="3" t="s">
        <v>29</v>
      </c>
      <c r="F472" s="3" t="str">
        <f>VLOOKUP(E472,Countries!$B$3:$C$140,2,FALSE)</f>
        <v>Europe</v>
      </c>
      <c r="G472" s="4">
        <v>12</v>
      </c>
      <c r="H472" s="4">
        <v>0</v>
      </c>
    </row>
    <row r="473" spans="2:8" x14ac:dyDescent="0.2">
      <c r="B473" s="3" t="s">
        <v>140</v>
      </c>
      <c r="C473" s="3" t="s">
        <v>11</v>
      </c>
      <c r="D473" s="3" t="str">
        <f>VLOOKUP(C473,Countries!$B$3:$C$140,2,FALSE)</f>
        <v>Europe</v>
      </c>
      <c r="E473" s="3" t="s">
        <v>56</v>
      </c>
      <c r="F473" s="3" t="str">
        <f>VLOOKUP(E473,Countries!$B$3:$C$140,2,FALSE)</f>
        <v>Europe</v>
      </c>
      <c r="G473" s="4">
        <v>2</v>
      </c>
      <c r="H473" s="4">
        <v>0</v>
      </c>
    </row>
    <row r="474" spans="2:8" x14ac:dyDescent="0.2">
      <c r="B474" s="3" t="s">
        <v>140</v>
      </c>
      <c r="C474" s="3" t="s">
        <v>11</v>
      </c>
      <c r="D474" s="3" t="str">
        <f>VLOOKUP(C474,Countries!$B$3:$C$140,2,FALSE)</f>
        <v>Europe</v>
      </c>
      <c r="E474" s="3" t="s">
        <v>30</v>
      </c>
      <c r="F474" s="3" t="str">
        <f>VLOOKUP(E474,Countries!$B$3:$C$140,2,FALSE)</f>
        <v>Europe</v>
      </c>
      <c r="G474" s="4">
        <v>4</v>
      </c>
      <c r="H474" s="4">
        <v>0</v>
      </c>
    </row>
    <row r="475" spans="2:8" x14ac:dyDescent="0.2">
      <c r="B475" s="3" t="s">
        <v>140</v>
      </c>
      <c r="C475" s="3" t="s">
        <v>11</v>
      </c>
      <c r="D475" s="3" t="str">
        <f>VLOOKUP(C475,Countries!$B$3:$C$140,2,FALSE)</f>
        <v>Europe</v>
      </c>
      <c r="E475" s="3" t="s">
        <v>31</v>
      </c>
      <c r="F475" s="3" t="str">
        <f>VLOOKUP(E475,Countries!$B$3:$C$140,2,FALSE)</f>
        <v>Europe</v>
      </c>
      <c r="G475" s="4">
        <v>10</v>
      </c>
      <c r="H475" s="4">
        <v>0</v>
      </c>
    </row>
    <row r="476" spans="2:8" x14ac:dyDescent="0.2">
      <c r="B476" s="3" t="s">
        <v>140</v>
      </c>
      <c r="C476" s="3" t="s">
        <v>11</v>
      </c>
      <c r="D476" s="3" t="str">
        <f>VLOOKUP(C476,Countries!$B$3:$C$140,2,FALSE)</f>
        <v>Europe</v>
      </c>
      <c r="E476" s="3" t="s">
        <v>57</v>
      </c>
      <c r="F476" s="3" t="str">
        <f>VLOOKUP(E476,Countries!$B$3:$C$140,2,FALSE)</f>
        <v>Europe/Asia</v>
      </c>
      <c r="G476" s="4">
        <v>10</v>
      </c>
      <c r="H476" s="4">
        <v>52602429.881925002</v>
      </c>
    </row>
    <row r="477" spans="2:8" x14ac:dyDescent="0.2">
      <c r="B477" s="3" t="s">
        <v>140</v>
      </c>
      <c r="C477" s="3" t="s">
        <v>11</v>
      </c>
      <c r="D477" s="3" t="str">
        <f>VLOOKUP(C477,Countries!$B$3:$C$140,2,FALSE)</f>
        <v>Europe</v>
      </c>
      <c r="E477" s="3" t="s">
        <v>32</v>
      </c>
      <c r="F477" s="3" t="str">
        <f>VLOOKUP(E477,Countries!$B$3:$C$140,2,FALSE)</f>
        <v>Europe</v>
      </c>
      <c r="G477" s="4">
        <v>6</v>
      </c>
      <c r="H477" s="4">
        <v>19792609.348127011</v>
      </c>
    </row>
    <row r="478" spans="2:8" x14ac:dyDescent="0.2">
      <c r="B478" s="3" t="s">
        <v>140</v>
      </c>
      <c r="C478" s="3" t="s">
        <v>11</v>
      </c>
      <c r="D478" s="3" t="str">
        <f>VLOOKUP(C478,Countries!$B$3:$C$140,2,FALSE)</f>
        <v>Europe</v>
      </c>
      <c r="E478" s="3" t="s">
        <v>58</v>
      </c>
      <c r="F478" s="3" t="str">
        <f>VLOOKUP(E478,Countries!$B$3:$C$140,2,FALSE)</f>
        <v>South America</v>
      </c>
      <c r="G478" s="4">
        <v>18</v>
      </c>
      <c r="H478" s="4">
        <v>17931196.889079303</v>
      </c>
    </row>
    <row r="479" spans="2:8" x14ac:dyDescent="0.2">
      <c r="B479" s="3" t="s">
        <v>140</v>
      </c>
      <c r="C479" s="3" t="s">
        <v>11</v>
      </c>
      <c r="D479" s="3" t="str">
        <f>VLOOKUP(C479,Countries!$B$3:$C$140,2,FALSE)</f>
        <v>Europe</v>
      </c>
      <c r="E479" s="3" t="s">
        <v>33</v>
      </c>
      <c r="F479" s="3" t="str">
        <f>VLOOKUP(E479,Countries!$B$3:$C$140,2,FALSE)</f>
        <v>North America</v>
      </c>
      <c r="G479" s="4">
        <v>4</v>
      </c>
      <c r="H479" s="4">
        <v>0</v>
      </c>
    </row>
    <row r="480" spans="2:8" x14ac:dyDescent="0.2">
      <c r="B480" s="3" t="s">
        <v>140</v>
      </c>
      <c r="C480" s="3" t="s">
        <v>11</v>
      </c>
      <c r="D480" s="3" t="str">
        <f>VLOOKUP(C480,Countries!$B$3:$C$140,2,FALSE)</f>
        <v>Europe</v>
      </c>
      <c r="E480" s="3" t="s">
        <v>91</v>
      </c>
      <c r="F480" s="3" t="str">
        <f>VLOOKUP(E480,Countries!$B$3:$C$140,2,FALSE)</f>
        <v>South America</v>
      </c>
      <c r="G480" s="4">
        <v>6</v>
      </c>
      <c r="H480" s="4">
        <v>0</v>
      </c>
    </row>
    <row r="481" spans="2:8" x14ac:dyDescent="0.2">
      <c r="B481" s="3" t="s">
        <v>140</v>
      </c>
      <c r="C481" s="3" t="s">
        <v>38</v>
      </c>
      <c r="D481" s="3" t="str">
        <f>VLOOKUP(C481,Countries!$B$3:$C$140,2,FALSE)</f>
        <v>Europe</v>
      </c>
      <c r="E481" s="3" t="s">
        <v>34</v>
      </c>
      <c r="F481" s="3" t="str">
        <f>VLOOKUP(E481,Countries!$B$3:$C$140,2,FALSE)</f>
        <v>Asia</v>
      </c>
      <c r="G481" s="4">
        <v>2</v>
      </c>
      <c r="H481" s="4">
        <v>0</v>
      </c>
    </row>
    <row r="482" spans="2:8" x14ac:dyDescent="0.2">
      <c r="B482" s="3" t="s">
        <v>140</v>
      </c>
      <c r="C482" s="3" t="s">
        <v>38</v>
      </c>
      <c r="D482" s="3" t="str">
        <f>VLOOKUP(C482,Countries!$B$3:$C$140,2,FALSE)</f>
        <v>Europe</v>
      </c>
      <c r="E482" s="3" t="s">
        <v>4</v>
      </c>
      <c r="F482" s="3" t="str">
        <f>VLOOKUP(E482,Countries!$B$3:$C$140,2,FALSE)</f>
        <v>Asia</v>
      </c>
      <c r="G482" s="4">
        <v>2</v>
      </c>
      <c r="H482" s="4">
        <v>0</v>
      </c>
    </row>
    <row r="483" spans="2:8" x14ac:dyDescent="0.2">
      <c r="B483" s="3" t="s">
        <v>140</v>
      </c>
      <c r="C483" s="3" t="s">
        <v>38</v>
      </c>
      <c r="D483" s="3" t="str">
        <f>VLOOKUP(C483,Countries!$B$3:$C$140,2,FALSE)</f>
        <v>Europe</v>
      </c>
      <c r="E483" s="3" t="s">
        <v>7</v>
      </c>
      <c r="F483" s="3" t="str">
        <f>VLOOKUP(E483,Countries!$B$3:$C$140,2,FALSE)</f>
        <v>South America</v>
      </c>
      <c r="G483" s="4">
        <v>2</v>
      </c>
      <c r="H483" s="4">
        <v>0</v>
      </c>
    </row>
    <row r="484" spans="2:8" x14ac:dyDescent="0.2">
      <c r="B484" s="3" t="s">
        <v>140</v>
      </c>
      <c r="C484" s="3" t="s">
        <v>38</v>
      </c>
      <c r="D484" s="3" t="str">
        <f>VLOOKUP(C484,Countries!$B$3:$C$140,2,FALSE)</f>
        <v>Europe</v>
      </c>
      <c r="E484" s="3" t="s">
        <v>49</v>
      </c>
      <c r="F484" s="3" t="str">
        <f>VLOOKUP(E484,Countries!$B$3:$C$140,2,FALSE)</f>
        <v>Europe</v>
      </c>
      <c r="G484" s="4">
        <v>2</v>
      </c>
      <c r="H484" s="4">
        <v>0</v>
      </c>
    </row>
    <row r="485" spans="2:8" x14ac:dyDescent="0.2">
      <c r="B485" s="3" t="s">
        <v>140</v>
      </c>
      <c r="C485" s="3" t="s">
        <v>38</v>
      </c>
      <c r="D485" s="3" t="str">
        <f>VLOOKUP(C485,Countries!$B$3:$C$140,2,FALSE)</f>
        <v>Europe</v>
      </c>
      <c r="E485" s="3" t="s">
        <v>73</v>
      </c>
      <c r="F485" s="3" t="str">
        <f>VLOOKUP(E485,Countries!$B$3:$C$140,2,FALSE)</f>
        <v>Europe</v>
      </c>
      <c r="G485" s="4">
        <v>6</v>
      </c>
      <c r="H485" s="4">
        <v>0</v>
      </c>
    </row>
    <row r="486" spans="2:8" x14ac:dyDescent="0.2">
      <c r="B486" s="3" t="s">
        <v>140</v>
      </c>
      <c r="C486" s="3" t="s">
        <v>38</v>
      </c>
      <c r="D486" s="3" t="str">
        <f>VLOOKUP(C486,Countries!$B$3:$C$140,2,FALSE)</f>
        <v>Europe</v>
      </c>
      <c r="E486" s="3" t="s">
        <v>39</v>
      </c>
      <c r="F486" s="3" t="str">
        <f>VLOOKUP(E486,Countries!$B$3:$C$140,2,FALSE)</f>
        <v>Europe/Asia</v>
      </c>
      <c r="G486" s="4">
        <v>2</v>
      </c>
      <c r="H486" s="4">
        <v>0</v>
      </c>
    </row>
    <row r="487" spans="2:8" x14ac:dyDescent="0.2">
      <c r="B487" s="3" t="s">
        <v>140</v>
      </c>
      <c r="C487" s="3" t="s">
        <v>38</v>
      </c>
      <c r="D487" s="3" t="str">
        <f>VLOOKUP(C487,Countries!$B$3:$C$140,2,FALSE)</f>
        <v>Europe</v>
      </c>
      <c r="E487" s="3" t="s">
        <v>13</v>
      </c>
      <c r="F487" s="3" t="str">
        <f>VLOOKUP(E487,Countries!$B$3:$C$140,2,FALSE)</f>
        <v>Europe</v>
      </c>
      <c r="G487" s="4">
        <v>8</v>
      </c>
      <c r="H487" s="4">
        <v>0</v>
      </c>
    </row>
    <row r="488" spans="2:8" x14ac:dyDescent="0.2">
      <c r="B488" s="3" t="s">
        <v>140</v>
      </c>
      <c r="C488" s="3" t="s">
        <v>38</v>
      </c>
      <c r="D488" s="3" t="str">
        <f>VLOOKUP(C488,Countries!$B$3:$C$140,2,FALSE)</f>
        <v>Europe</v>
      </c>
      <c r="E488" s="3" t="s">
        <v>17</v>
      </c>
      <c r="F488" s="3" t="str">
        <f>VLOOKUP(E488,Countries!$B$3:$C$140,2,FALSE)</f>
        <v>Europe</v>
      </c>
      <c r="G488" s="4">
        <v>2</v>
      </c>
      <c r="H488" s="4">
        <v>0</v>
      </c>
    </row>
    <row r="489" spans="2:8" x14ac:dyDescent="0.2">
      <c r="B489" s="3" t="s">
        <v>140</v>
      </c>
      <c r="C489" s="3" t="s">
        <v>38</v>
      </c>
      <c r="D489" s="3" t="str">
        <f>VLOOKUP(C489,Countries!$B$3:$C$140,2,FALSE)</f>
        <v>Europe</v>
      </c>
      <c r="E489" s="3" t="s">
        <v>92</v>
      </c>
      <c r="F489" s="3" t="str">
        <f>VLOOKUP(E489,Countries!$B$3:$C$140,2,FALSE)</f>
        <v>Asia</v>
      </c>
      <c r="G489" s="4">
        <v>2</v>
      </c>
      <c r="H489" s="4">
        <v>0</v>
      </c>
    </row>
    <row r="490" spans="2:8" x14ac:dyDescent="0.2">
      <c r="B490" s="3" t="s">
        <v>140</v>
      </c>
      <c r="C490" s="3" t="s">
        <v>38</v>
      </c>
      <c r="D490" s="3" t="str">
        <f>VLOOKUP(C490,Countries!$B$3:$C$140,2,FALSE)</f>
        <v>Europe</v>
      </c>
      <c r="E490" s="3" t="s">
        <v>93</v>
      </c>
      <c r="F490" s="3" t="str">
        <f>VLOOKUP(E490,Countries!$B$3:$C$140,2,FALSE)</f>
        <v>Asia</v>
      </c>
      <c r="G490" s="4">
        <v>2</v>
      </c>
      <c r="H490" s="4">
        <v>0</v>
      </c>
    </row>
    <row r="491" spans="2:8" x14ac:dyDescent="0.2">
      <c r="B491" s="3" t="s">
        <v>140</v>
      </c>
      <c r="C491" s="3" t="s">
        <v>38</v>
      </c>
      <c r="D491" s="3" t="str">
        <f>VLOOKUP(C491,Countries!$B$3:$C$140,2,FALSE)</f>
        <v>Europe</v>
      </c>
      <c r="E491" s="3" t="s">
        <v>66</v>
      </c>
      <c r="F491" s="3" t="str">
        <f>VLOOKUP(E491,Countries!$B$3:$C$140,2,FALSE)</f>
        <v>Europe</v>
      </c>
      <c r="G491" s="4">
        <v>18</v>
      </c>
      <c r="H491" s="4">
        <v>0</v>
      </c>
    </row>
    <row r="492" spans="2:8" x14ac:dyDescent="0.2">
      <c r="B492" s="3" t="s">
        <v>140</v>
      </c>
      <c r="C492" s="3" t="s">
        <v>38</v>
      </c>
      <c r="D492" s="3" t="str">
        <f>VLOOKUP(C492,Countries!$B$3:$C$140,2,FALSE)</f>
        <v>Europe</v>
      </c>
      <c r="E492" s="3" t="s">
        <v>52</v>
      </c>
      <c r="F492" s="3" t="str">
        <f>VLOOKUP(E492,Countries!$B$3:$C$140,2,FALSE)</f>
        <v>Europe</v>
      </c>
      <c r="G492" s="4">
        <v>6</v>
      </c>
      <c r="H492" s="4">
        <v>0</v>
      </c>
    </row>
    <row r="493" spans="2:8" x14ac:dyDescent="0.2">
      <c r="B493" s="3" t="s">
        <v>140</v>
      </c>
      <c r="C493" s="3" t="s">
        <v>38</v>
      </c>
      <c r="D493" s="3" t="str">
        <f>VLOOKUP(C493,Countries!$B$3:$C$140,2,FALSE)</f>
        <v>Europe</v>
      </c>
      <c r="E493" s="3" t="s">
        <v>53</v>
      </c>
      <c r="F493" s="3" t="str">
        <f>VLOOKUP(E493,Countries!$B$3:$C$140,2,FALSE)</f>
        <v>Europe</v>
      </c>
      <c r="G493" s="4">
        <v>2</v>
      </c>
      <c r="H493" s="4">
        <v>0</v>
      </c>
    </row>
    <row r="494" spans="2:8" x14ac:dyDescent="0.2">
      <c r="B494" s="3" t="s">
        <v>140</v>
      </c>
      <c r="C494" s="3" t="s">
        <v>38</v>
      </c>
      <c r="D494" s="3" t="str">
        <f>VLOOKUP(C494,Countries!$B$3:$C$140,2,FALSE)</f>
        <v>Europe</v>
      </c>
      <c r="E494" s="3" t="s">
        <v>44</v>
      </c>
      <c r="F494" s="3" t="str">
        <f>VLOOKUP(E494,Countries!$B$3:$C$140,2,FALSE)</f>
        <v>Europe</v>
      </c>
      <c r="G494" s="4">
        <v>2</v>
      </c>
      <c r="H494" s="4">
        <v>161433.237804</v>
      </c>
    </row>
    <row r="495" spans="2:8" x14ac:dyDescent="0.2">
      <c r="B495" s="3" t="s">
        <v>140</v>
      </c>
      <c r="C495" s="3" t="s">
        <v>38</v>
      </c>
      <c r="D495" s="3" t="str">
        <f>VLOOKUP(C495,Countries!$B$3:$C$140,2,FALSE)</f>
        <v>Europe</v>
      </c>
      <c r="E495" s="3" t="s">
        <v>54</v>
      </c>
      <c r="F495" s="3" t="str">
        <f>VLOOKUP(E495,Countries!$B$3:$C$140,2,FALSE)</f>
        <v>Europe</v>
      </c>
      <c r="G495" s="4">
        <v>6</v>
      </c>
      <c r="H495" s="4">
        <v>0</v>
      </c>
    </row>
    <row r="496" spans="2:8" x14ac:dyDescent="0.2">
      <c r="B496" s="3" t="s">
        <v>140</v>
      </c>
      <c r="C496" s="3" t="s">
        <v>38</v>
      </c>
      <c r="D496" s="3" t="str">
        <f>VLOOKUP(C496,Countries!$B$3:$C$140,2,FALSE)</f>
        <v>Europe</v>
      </c>
      <c r="E496" s="3" t="s">
        <v>25</v>
      </c>
      <c r="F496" s="3" t="str">
        <f>VLOOKUP(E496,Countries!$B$3:$C$140,2,FALSE)</f>
        <v>Europe</v>
      </c>
      <c r="G496" s="4">
        <v>2</v>
      </c>
      <c r="H496" s="4">
        <v>0</v>
      </c>
    </row>
    <row r="497" spans="2:8" x14ac:dyDescent="0.2">
      <c r="B497" s="3" t="s">
        <v>140</v>
      </c>
      <c r="C497" s="3" t="s">
        <v>38</v>
      </c>
      <c r="D497" s="3" t="str">
        <f>VLOOKUP(C497,Countries!$B$3:$C$140,2,FALSE)</f>
        <v>Europe</v>
      </c>
      <c r="E497" s="3" t="s">
        <v>26</v>
      </c>
      <c r="F497" s="3" t="str">
        <f>VLOOKUP(E497,Countries!$B$3:$C$140,2,FALSE)</f>
        <v>Europe</v>
      </c>
      <c r="G497" s="4">
        <v>2</v>
      </c>
      <c r="H497" s="4">
        <v>0</v>
      </c>
    </row>
    <row r="498" spans="2:8" x14ac:dyDescent="0.2">
      <c r="B498" s="3" t="s">
        <v>140</v>
      </c>
      <c r="C498" s="3" t="s">
        <v>38</v>
      </c>
      <c r="D498" s="3" t="str">
        <f>VLOOKUP(C498,Countries!$B$3:$C$140,2,FALSE)</f>
        <v>Europe</v>
      </c>
      <c r="E498" s="3" t="s">
        <v>46</v>
      </c>
      <c r="F498" s="3" t="str">
        <f>VLOOKUP(E498,Countries!$B$3:$C$140,2,FALSE)</f>
        <v>Europe/Asia</v>
      </c>
      <c r="G498" s="4">
        <v>14</v>
      </c>
      <c r="H498" s="4">
        <v>0</v>
      </c>
    </row>
    <row r="499" spans="2:8" x14ac:dyDescent="0.2">
      <c r="B499" s="3" t="s">
        <v>140</v>
      </c>
      <c r="C499" s="3" t="s">
        <v>38</v>
      </c>
      <c r="D499" s="3" t="str">
        <f>VLOOKUP(C499,Countries!$B$3:$C$140,2,FALSE)</f>
        <v>Europe</v>
      </c>
      <c r="E499" s="3" t="s">
        <v>31</v>
      </c>
      <c r="F499" s="3" t="str">
        <f>VLOOKUP(E499,Countries!$B$3:$C$140,2,FALSE)</f>
        <v>Europe</v>
      </c>
      <c r="G499" s="4">
        <v>2</v>
      </c>
      <c r="H499" s="4">
        <v>0</v>
      </c>
    </row>
    <row r="500" spans="2:8" x14ac:dyDescent="0.2">
      <c r="B500" s="3" t="s">
        <v>140</v>
      </c>
      <c r="C500" s="3" t="s">
        <v>38</v>
      </c>
      <c r="D500" s="3" t="str">
        <f>VLOOKUP(C500,Countries!$B$3:$C$140,2,FALSE)</f>
        <v>Europe</v>
      </c>
      <c r="E500" s="3" t="s">
        <v>33</v>
      </c>
      <c r="F500" s="3" t="str">
        <f>VLOOKUP(E500,Countries!$B$3:$C$140,2,FALSE)</f>
        <v>North America</v>
      </c>
      <c r="G500" s="4">
        <v>4</v>
      </c>
      <c r="H500" s="4">
        <v>0</v>
      </c>
    </row>
    <row r="501" spans="2:8" x14ac:dyDescent="0.2">
      <c r="B501" s="3" t="s">
        <v>140</v>
      </c>
      <c r="C501" s="3" t="s">
        <v>73</v>
      </c>
      <c r="D501" s="3" t="str">
        <f>VLOOKUP(C501,Countries!$B$3:$C$140,2,FALSE)</f>
        <v>Europe</v>
      </c>
      <c r="E501" s="3" t="s">
        <v>2</v>
      </c>
      <c r="F501" s="3" t="str">
        <f>VLOOKUP(E501,Countries!$B$3:$C$140,2,FALSE)</f>
        <v>Europe</v>
      </c>
      <c r="G501" s="4">
        <v>2</v>
      </c>
      <c r="H501" s="4">
        <v>0</v>
      </c>
    </row>
    <row r="502" spans="2:8" x14ac:dyDescent="0.2">
      <c r="B502" s="3" t="s">
        <v>140</v>
      </c>
      <c r="C502" s="3" t="s">
        <v>73</v>
      </c>
      <c r="D502" s="3" t="str">
        <f>VLOOKUP(C502,Countries!$B$3:$C$140,2,FALSE)</f>
        <v>Europe</v>
      </c>
      <c r="E502" s="3" t="s">
        <v>69</v>
      </c>
      <c r="F502" s="3" t="str">
        <f>VLOOKUP(E502,Countries!$B$3:$C$140,2,FALSE)</f>
        <v>South America</v>
      </c>
      <c r="G502" s="4">
        <v>2</v>
      </c>
      <c r="H502" s="4">
        <v>0</v>
      </c>
    </row>
    <row r="503" spans="2:8" x14ac:dyDescent="0.2">
      <c r="B503" s="3" t="s">
        <v>140</v>
      </c>
      <c r="C503" s="3" t="s">
        <v>73</v>
      </c>
      <c r="D503" s="3" t="str">
        <f>VLOOKUP(C503,Countries!$B$3:$C$140,2,FALSE)</f>
        <v>Europe</v>
      </c>
      <c r="E503" s="3" t="s">
        <v>48</v>
      </c>
      <c r="F503" s="3" t="str">
        <f>VLOOKUP(E503,Countries!$B$3:$C$140,2,FALSE)</f>
        <v>Oceania</v>
      </c>
      <c r="G503" s="4">
        <v>4</v>
      </c>
      <c r="H503" s="4">
        <v>0</v>
      </c>
    </row>
    <row r="504" spans="2:8" x14ac:dyDescent="0.2">
      <c r="B504" s="3" t="s">
        <v>140</v>
      </c>
      <c r="C504" s="3" t="s">
        <v>73</v>
      </c>
      <c r="D504" s="3" t="str">
        <f>VLOOKUP(C504,Countries!$B$3:$C$140,2,FALSE)</f>
        <v>Europe</v>
      </c>
      <c r="E504" s="3" t="s">
        <v>4</v>
      </c>
      <c r="F504" s="3" t="str">
        <f>VLOOKUP(E504,Countries!$B$3:$C$140,2,FALSE)</f>
        <v>Asia</v>
      </c>
      <c r="G504" s="4">
        <v>2</v>
      </c>
      <c r="H504" s="4">
        <v>0</v>
      </c>
    </row>
    <row r="505" spans="2:8" x14ac:dyDescent="0.2">
      <c r="B505" s="3" t="s">
        <v>140</v>
      </c>
      <c r="C505" s="3" t="s">
        <v>73</v>
      </c>
      <c r="D505" s="3" t="str">
        <f>VLOOKUP(C505,Countries!$B$3:$C$140,2,FALSE)</f>
        <v>Europe</v>
      </c>
      <c r="E505" s="3" t="s">
        <v>110</v>
      </c>
      <c r="F505" s="3" t="str">
        <f>VLOOKUP(E505,Countries!$B$3:$C$140,2,FALSE)</f>
        <v>Africa</v>
      </c>
      <c r="G505" s="4">
        <v>4</v>
      </c>
      <c r="H505" s="4">
        <v>0</v>
      </c>
    </row>
    <row r="506" spans="2:8" x14ac:dyDescent="0.2">
      <c r="B506" s="3" t="s">
        <v>140</v>
      </c>
      <c r="C506" s="3" t="s">
        <v>73</v>
      </c>
      <c r="D506" s="3" t="str">
        <f>VLOOKUP(C506,Countries!$B$3:$C$140,2,FALSE)</f>
        <v>Europe</v>
      </c>
      <c r="E506" s="3" t="s">
        <v>7</v>
      </c>
      <c r="F506" s="3" t="str">
        <f>VLOOKUP(E506,Countries!$B$3:$C$140,2,FALSE)</f>
        <v>South America</v>
      </c>
      <c r="G506" s="4">
        <v>2</v>
      </c>
      <c r="H506" s="4">
        <v>0</v>
      </c>
    </row>
    <row r="507" spans="2:8" x14ac:dyDescent="0.2">
      <c r="B507" s="3" t="s">
        <v>140</v>
      </c>
      <c r="C507" s="3" t="s">
        <v>73</v>
      </c>
      <c r="D507" s="3" t="str">
        <f>VLOOKUP(C507,Countries!$B$3:$C$140,2,FALSE)</f>
        <v>Europe</v>
      </c>
      <c r="E507" s="3" t="s">
        <v>8</v>
      </c>
      <c r="F507" s="3" t="str">
        <f>VLOOKUP(E507,Countries!$B$3:$C$140,2,FALSE)</f>
        <v>North America</v>
      </c>
      <c r="G507" s="4">
        <v>6</v>
      </c>
      <c r="H507" s="4">
        <v>0</v>
      </c>
    </row>
    <row r="508" spans="2:8" x14ac:dyDescent="0.2">
      <c r="B508" s="3" t="s">
        <v>140</v>
      </c>
      <c r="C508" s="3" t="s">
        <v>73</v>
      </c>
      <c r="D508" s="3" t="str">
        <f>VLOOKUP(C508,Countries!$B$3:$C$140,2,FALSE)</f>
        <v>Europe</v>
      </c>
      <c r="E508" s="3" t="s">
        <v>106</v>
      </c>
      <c r="F508" s="3" t="str">
        <f>VLOOKUP(E508,Countries!$B$3:$C$140,2,FALSE)</f>
        <v>Africa</v>
      </c>
      <c r="G508" s="4">
        <v>2</v>
      </c>
      <c r="H508" s="4">
        <v>0</v>
      </c>
    </row>
    <row r="509" spans="2:8" x14ac:dyDescent="0.2">
      <c r="B509" s="3" t="s">
        <v>140</v>
      </c>
      <c r="C509" s="3" t="s">
        <v>73</v>
      </c>
      <c r="D509" s="3" t="str">
        <f>VLOOKUP(C509,Countries!$B$3:$C$140,2,FALSE)</f>
        <v>Europe</v>
      </c>
      <c r="E509" s="3" t="s">
        <v>62</v>
      </c>
      <c r="F509" s="3" t="str">
        <f>VLOOKUP(E509,Countries!$B$3:$C$140,2,FALSE)</f>
        <v>Asia</v>
      </c>
      <c r="G509" s="4">
        <v>2</v>
      </c>
      <c r="H509" s="4">
        <v>0</v>
      </c>
    </row>
    <row r="510" spans="2:8" x14ac:dyDescent="0.2">
      <c r="B510" s="3" t="s">
        <v>140</v>
      </c>
      <c r="C510" s="3" t="s">
        <v>73</v>
      </c>
      <c r="D510" s="3" t="str">
        <f>VLOOKUP(C510,Countries!$B$3:$C$140,2,FALSE)</f>
        <v>Europe</v>
      </c>
      <c r="E510" s="3" t="s">
        <v>49</v>
      </c>
      <c r="F510" s="3" t="str">
        <f>VLOOKUP(E510,Countries!$B$3:$C$140,2,FALSE)</f>
        <v>Europe</v>
      </c>
      <c r="G510" s="4">
        <v>2</v>
      </c>
      <c r="H510" s="4">
        <v>0</v>
      </c>
    </row>
    <row r="511" spans="2:8" x14ac:dyDescent="0.2">
      <c r="B511" s="3" t="s">
        <v>140</v>
      </c>
      <c r="C511" s="3" t="s">
        <v>73</v>
      </c>
      <c r="D511" s="3" t="str">
        <f>VLOOKUP(C511,Countries!$B$3:$C$140,2,FALSE)</f>
        <v>Europe</v>
      </c>
      <c r="E511" s="3" t="s">
        <v>63</v>
      </c>
      <c r="F511" s="3" t="str">
        <f>VLOOKUP(E511,Countries!$B$3:$C$140,2,FALSE)</f>
        <v>Africa</v>
      </c>
      <c r="G511" s="4">
        <v>4</v>
      </c>
      <c r="H511" s="4">
        <v>160290.87544799998</v>
      </c>
    </row>
    <row r="512" spans="2:8" x14ac:dyDescent="0.2">
      <c r="B512" s="3" t="s">
        <v>140</v>
      </c>
      <c r="C512" s="3" t="s">
        <v>73</v>
      </c>
      <c r="D512" s="3" t="str">
        <f>VLOOKUP(C512,Countries!$B$3:$C$140,2,FALSE)</f>
        <v>Europe</v>
      </c>
      <c r="E512" s="3" t="s">
        <v>50</v>
      </c>
      <c r="F512" s="3" t="str">
        <f>VLOOKUP(E512,Countries!$B$3:$C$140,2,FALSE)</f>
        <v>Europe</v>
      </c>
      <c r="G512" s="4">
        <v>8</v>
      </c>
      <c r="H512" s="4">
        <v>1410.7244355</v>
      </c>
    </row>
    <row r="513" spans="2:8" x14ac:dyDescent="0.2">
      <c r="B513" s="3" t="s">
        <v>140</v>
      </c>
      <c r="C513" s="3" t="s">
        <v>73</v>
      </c>
      <c r="D513" s="3" t="str">
        <f>VLOOKUP(C513,Countries!$B$3:$C$140,2,FALSE)</f>
        <v>Europe</v>
      </c>
      <c r="E513" s="3" t="s">
        <v>11</v>
      </c>
      <c r="F513" s="3" t="str">
        <f>VLOOKUP(E513,Countries!$B$3:$C$140,2,FALSE)</f>
        <v>Europe</v>
      </c>
      <c r="G513" s="4">
        <v>2</v>
      </c>
      <c r="H513" s="4">
        <v>0</v>
      </c>
    </row>
    <row r="514" spans="2:8" x14ac:dyDescent="0.2">
      <c r="B514" s="3" t="s">
        <v>140</v>
      </c>
      <c r="C514" s="3" t="s">
        <v>73</v>
      </c>
      <c r="D514" s="3" t="str">
        <f>VLOOKUP(C514,Countries!$B$3:$C$140,2,FALSE)</f>
        <v>Europe</v>
      </c>
      <c r="E514" s="3" t="s">
        <v>38</v>
      </c>
      <c r="F514" s="3" t="str">
        <f>VLOOKUP(E514,Countries!$B$3:$C$140,2,FALSE)</f>
        <v>Europe</v>
      </c>
      <c r="G514" s="4">
        <v>2</v>
      </c>
      <c r="H514" s="4">
        <v>0</v>
      </c>
    </row>
    <row r="515" spans="2:8" x14ac:dyDescent="0.2">
      <c r="B515" s="3" t="s">
        <v>140</v>
      </c>
      <c r="C515" s="3" t="s">
        <v>73</v>
      </c>
      <c r="D515" s="3" t="str">
        <f>VLOOKUP(C515,Countries!$B$3:$C$140,2,FALSE)</f>
        <v>Europe</v>
      </c>
      <c r="E515" s="3" t="s">
        <v>12</v>
      </c>
      <c r="F515" s="3" t="str">
        <f>VLOOKUP(E515,Countries!$B$3:$C$140,2,FALSE)</f>
        <v>Europe</v>
      </c>
      <c r="G515" s="4">
        <v>4</v>
      </c>
      <c r="H515" s="4">
        <v>0</v>
      </c>
    </row>
    <row r="516" spans="2:8" x14ac:dyDescent="0.2">
      <c r="B516" s="3" t="s">
        <v>140</v>
      </c>
      <c r="C516" s="3" t="s">
        <v>73</v>
      </c>
      <c r="D516" s="3" t="str">
        <f>VLOOKUP(C516,Countries!$B$3:$C$140,2,FALSE)</f>
        <v>Europe</v>
      </c>
      <c r="E516" s="3" t="s">
        <v>111</v>
      </c>
      <c r="F516" s="3" t="str">
        <f>VLOOKUP(E516,Countries!$B$3:$C$140,2,FALSE)</f>
        <v>Africa</v>
      </c>
      <c r="G516" s="4">
        <v>2</v>
      </c>
      <c r="H516" s="4">
        <v>0</v>
      </c>
    </row>
    <row r="517" spans="2:8" x14ac:dyDescent="0.2">
      <c r="B517" s="3" t="s">
        <v>140</v>
      </c>
      <c r="C517" s="3" t="s">
        <v>73</v>
      </c>
      <c r="D517" s="3" t="str">
        <f>VLOOKUP(C517,Countries!$B$3:$C$140,2,FALSE)</f>
        <v>Europe</v>
      </c>
      <c r="E517" s="3" t="s">
        <v>39</v>
      </c>
      <c r="F517" s="3" t="str">
        <f>VLOOKUP(E517,Countries!$B$3:$C$140,2,FALSE)</f>
        <v>Europe/Asia</v>
      </c>
      <c r="G517" s="4">
        <v>4</v>
      </c>
      <c r="H517" s="4">
        <v>0</v>
      </c>
    </row>
    <row r="518" spans="2:8" x14ac:dyDescent="0.2">
      <c r="B518" s="3" t="s">
        <v>140</v>
      </c>
      <c r="C518" s="3" t="s">
        <v>73</v>
      </c>
      <c r="D518" s="3" t="str">
        <f>VLOOKUP(C518,Countries!$B$3:$C$140,2,FALSE)</f>
        <v>Europe</v>
      </c>
      <c r="E518" s="3" t="s">
        <v>13</v>
      </c>
      <c r="F518" s="3" t="str">
        <f>VLOOKUP(E518,Countries!$B$3:$C$140,2,FALSE)</f>
        <v>Europe</v>
      </c>
      <c r="G518" s="4">
        <v>8</v>
      </c>
      <c r="H518" s="4">
        <v>0</v>
      </c>
    </row>
    <row r="519" spans="2:8" x14ac:dyDescent="0.2">
      <c r="B519" s="3" t="s">
        <v>140</v>
      </c>
      <c r="C519" s="3" t="s">
        <v>73</v>
      </c>
      <c r="D519" s="3" t="str">
        <f>VLOOKUP(C519,Countries!$B$3:$C$140,2,FALSE)</f>
        <v>Europe</v>
      </c>
      <c r="E519" s="3" t="s">
        <v>64</v>
      </c>
      <c r="F519" s="3" t="str">
        <f>VLOOKUP(E519,Countries!$B$3:$C$140,2,FALSE)</f>
        <v>Africa</v>
      </c>
      <c r="G519" s="4">
        <v>2</v>
      </c>
      <c r="H519" s="4">
        <v>0</v>
      </c>
    </row>
    <row r="520" spans="2:8" x14ac:dyDescent="0.2">
      <c r="B520" s="3" t="s">
        <v>140</v>
      </c>
      <c r="C520" s="3" t="s">
        <v>73</v>
      </c>
      <c r="D520" s="3" t="str">
        <f>VLOOKUP(C520,Countries!$B$3:$C$140,2,FALSE)</f>
        <v>Europe</v>
      </c>
      <c r="E520" s="3" t="s">
        <v>14</v>
      </c>
      <c r="F520" s="3" t="str">
        <f>VLOOKUP(E520,Countries!$B$3:$C$140,2,FALSE)</f>
        <v>Europe</v>
      </c>
      <c r="G520" s="4">
        <v>6</v>
      </c>
      <c r="H520" s="4">
        <v>0</v>
      </c>
    </row>
    <row r="521" spans="2:8" x14ac:dyDescent="0.2">
      <c r="B521" s="3" t="s">
        <v>140</v>
      </c>
      <c r="C521" s="3" t="s">
        <v>73</v>
      </c>
      <c r="D521" s="3" t="str">
        <f>VLOOKUP(C521,Countries!$B$3:$C$140,2,FALSE)</f>
        <v>Europe</v>
      </c>
      <c r="E521" s="3" t="s">
        <v>15</v>
      </c>
      <c r="F521" s="3" t="str">
        <f>VLOOKUP(E521,Countries!$B$3:$C$140,2,FALSE)</f>
        <v>Europe</v>
      </c>
      <c r="G521" s="4">
        <v>4</v>
      </c>
      <c r="H521" s="4">
        <v>0</v>
      </c>
    </row>
    <row r="522" spans="2:8" x14ac:dyDescent="0.2">
      <c r="B522" s="3" t="s">
        <v>140</v>
      </c>
      <c r="C522" s="3" t="s">
        <v>73</v>
      </c>
      <c r="D522" s="3" t="str">
        <f>VLOOKUP(C522,Countries!$B$3:$C$140,2,FALSE)</f>
        <v>Europe</v>
      </c>
      <c r="E522" s="3" t="s">
        <v>74</v>
      </c>
      <c r="F522" s="3" t="str">
        <f>VLOOKUP(E522,Countries!$B$3:$C$140,2,FALSE)</f>
        <v>Asia</v>
      </c>
      <c r="G522" s="4">
        <v>4</v>
      </c>
      <c r="H522" s="4">
        <v>0</v>
      </c>
    </row>
    <row r="523" spans="2:8" x14ac:dyDescent="0.2">
      <c r="B523" s="3" t="s">
        <v>140</v>
      </c>
      <c r="C523" s="3" t="s">
        <v>73</v>
      </c>
      <c r="D523" s="3" t="str">
        <f>VLOOKUP(C523,Countries!$B$3:$C$140,2,FALSE)</f>
        <v>Europe</v>
      </c>
      <c r="E523" s="3" t="s">
        <v>101</v>
      </c>
      <c r="F523" s="3" t="str">
        <f>VLOOKUP(E523,Countries!$B$3:$C$140,2,FALSE)</f>
        <v>Europe</v>
      </c>
      <c r="G523" s="4">
        <v>2</v>
      </c>
      <c r="H523" s="4">
        <v>0</v>
      </c>
    </row>
    <row r="524" spans="2:8" x14ac:dyDescent="0.2">
      <c r="B524" s="3" t="s">
        <v>140</v>
      </c>
      <c r="C524" s="3" t="s">
        <v>73</v>
      </c>
      <c r="D524" s="3" t="str">
        <f>VLOOKUP(C524,Countries!$B$3:$C$140,2,FALSE)</f>
        <v>Europe</v>
      </c>
      <c r="E524" s="3" t="s">
        <v>51</v>
      </c>
      <c r="F524" s="3" t="str">
        <f>VLOOKUP(E524,Countries!$B$3:$C$140,2,FALSE)</f>
        <v>Asia</v>
      </c>
      <c r="G524" s="4">
        <v>2</v>
      </c>
      <c r="H524" s="4">
        <v>0</v>
      </c>
    </row>
    <row r="525" spans="2:8" x14ac:dyDescent="0.2">
      <c r="B525" s="3" t="s">
        <v>140</v>
      </c>
      <c r="C525" s="3" t="s">
        <v>73</v>
      </c>
      <c r="D525" s="3" t="str">
        <f>VLOOKUP(C525,Countries!$B$3:$C$140,2,FALSE)</f>
        <v>Europe</v>
      </c>
      <c r="E525" s="3" t="s">
        <v>17</v>
      </c>
      <c r="F525" s="3" t="str">
        <f>VLOOKUP(E525,Countries!$B$3:$C$140,2,FALSE)</f>
        <v>Europe</v>
      </c>
      <c r="G525" s="4">
        <v>6</v>
      </c>
      <c r="H525" s="4">
        <v>0</v>
      </c>
    </row>
    <row r="526" spans="2:8" x14ac:dyDescent="0.2">
      <c r="B526" s="3" t="s">
        <v>140</v>
      </c>
      <c r="C526" s="3" t="s">
        <v>73</v>
      </c>
      <c r="D526" s="3" t="str">
        <f>VLOOKUP(C526,Countries!$B$3:$C$140,2,FALSE)</f>
        <v>Europe</v>
      </c>
      <c r="E526" s="3" t="s">
        <v>102</v>
      </c>
      <c r="F526" s="3" t="str">
        <f>VLOOKUP(E526,Countries!$B$3:$C$140,2,FALSE)</f>
        <v>North America</v>
      </c>
      <c r="G526" s="4">
        <v>2</v>
      </c>
      <c r="H526" s="4">
        <v>0</v>
      </c>
    </row>
    <row r="527" spans="2:8" x14ac:dyDescent="0.2">
      <c r="B527" s="3" t="s">
        <v>140</v>
      </c>
      <c r="C527" s="3" t="s">
        <v>73</v>
      </c>
      <c r="D527" s="3" t="str">
        <f>VLOOKUP(C527,Countries!$B$3:$C$140,2,FALSE)</f>
        <v>Europe</v>
      </c>
      <c r="E527" s="3" t="s">
        <v>40</v>
      </c>
      <c r="F527" s="3" t="str">
        <f>VLOOKUP(E527,Countries!$B$3:$C$140,2,FALSE)</f>
        <v>Asia</v>
      </c>
      <c r="G527" s="4">
        <v>2</v>
      </c>
      <c r="H527" s="4">
        <v>0</v>
      </c>
    </row>
    <row r="528" spans="2:8" x14ac:dyDescent="0.2">
      <c r="B528" s="3" t="s">
        <v>140</v>
      </c>
      <c r="C528" s="3" t="s">
        <v>73</v>
      </c>
      <c r="D528" s="3" t="str">
        <f>VLOOKUP(C528,Countries!$B$3:$C$140,2,FALSE)</f>
        <v>Europe</v>
      </c>
      <c r="E528" s="3" t="s">
        <v>94</v>
      </c>
      <c r="F528" s="3" t="str">
        <f>VLOOKUP(E528,Countries!$B$3:$C$140,2,FALSE)</f>
        <v>North America</v>
      </c>
      <c r="G528" s="4">
        <v>4</v>
      </c>
      <c r="H528" s="4">
        <v>0</v>
      </c>
    </row>
    <row r="529" spans="2:8" x14ac:dyDescent="0.2">
      <c r="B529" s="3" t="s">
        <v>140</v>
      </c>
      <c r="C529" s="3" t="s">
        <v>73</v>
      </c>
      <c r="D529" s="3" t="str">
        <f>VLOOKUP(C529,Countries!$B$3:$C$140,2,FALSE)</f>
        <v>Europe</v>
      </c>
      <c r="E529" s="3" t="s">
        <v>21</v>
      </c>
      <c r="F529" s="3" t="str">
        <f>VLOOKUP(E529,Countries!$B$3:$C$140,2,FALSE)</f>
        <v>Europe</v>
      </c>
      <c r="G529" s="4">
        <v>8</v>
      </c>
      <c r="H529" s="4">
        <v>0</v>
      </c>
    </row>
    <row r="530" spans="2:8" x14ac:dyDescent="0.2">
      <c r="B530" s="3" t="s">
        <v>140</v>
      </c>
      <c r="C530" s="3" t="s">
        <v>73</v>
      </c>
      <c r="D530" s="3" t="str">
        <f>VLOOKUP(C530,Countries!$B$3:$C$140,2,FALSE)</f>
        <v>Europe</v>
      </c>
      <c r="E530" s="3" t="s">
        <v>53</v>
      </c>
      <c r="F530" s="3" t="str">
        <f>VLOOKUP(E530,Countries!$B$3:$C$140,2,FALSE)</f>
        <v>Europe</v>
      </c>
      <c r="G530" s="4">
        <v>4</v>
      </c>
      <c r="H530" s="4">
        <v>0</v>
      </c>
    </row>
    <row r="531" spans="2:8" x14ac:dyDescent="0.2">
      <c r="B531" s="3" t="s">
        <v>140</v>
      </c>
      <c r="C531" s="3" t="s">
        <v>73</v>
      </c>
      <c r="D531" s="3" t="str">
        <f>VLOOKUP(C531,Countries!$B$3:$C$140,2,FALSE)</f>
        <v>Europe</v>
      </c>
      <c r="E531" s="3" t="s">
        <v>24</v>
      </c>
      <c r="F531" s="3" t="str">
        <f>VLOOKUP(E531,Countries!$B$3:$C$140,2,FALSE)</f>
        <v>Africa</v>
      </c>
      <c r="G531" s="4">
        <v>8</v>
      </c>
      <c r="H531" s="4">
        <v>0</v>
      </c>
    </row>
    <row r="532" spans="2:8" x14ac:dyDescent="0.2">
      <c r="B532" s="3" t="s">
        <v>140</v>
      </c>
      <c r="C532" s="3" t="s">
        <v>73</v>
      </c>
      <c r="D532" s="3" t="str">
        <f>VLOOKUP(C532,Countries!$B$3:$C$140,2,FALSE)</f>
        <v>Europe</v>
      </c>
      <c r="E532" s="3" t="s">
        <v>44</v>
      </c>
      <c r="F532" s="3" t="str">
        <f>VLOOKUP(E532,Countries!$B$3:$C$140,2,FALSE)</f>
        <v>Europe</v>
      </c>
      <c r="G532" s="4">
        <v>6</v>
      </c>
      <c r="H532" s="4">
        <v>0</v>
      </c>
    </row>
    <row r="533" spans="2:8" x14ac:dyDescent="0.2">
      <c r="B533" s="3" t="s">
        <v>140</v>
      </c>
      <c r="C533" s="3" t="s">
        <v>73</v>
      </c>
      <c r="D533" s="3" t="str">
        <f>VLOOKUP(C533,Countries!$B$3:$C$140,2,FALSE)</f>
        <v>Europe</v>
      </c>
      <c r="E533" s="3" t="s">
        <v>54</v>
      </c>
      <c r="F533" s="3" t="str">
        <f>VLOOKUP(E533,Countries!$B$3:$C$140,2,FALSE)</f>
        <v>Europe</v>
      </c>
      <c r="G533" s="4">
        <v>2</v>
      </c>
      <c r="H533" s="4">
        <v>0</v>
      </c>
    </row>
    <row r="534" spans="2:8" x14ac:dyDescent="0.2">
      <c r="B534" s="3" t="s">
        <v>140</v>
      </c>
      <c r="C534" s="3" t="s">
        <v>73</v>
      </c>
      <c r="D534" s="3" t="str">
        <f>VLOOKUP(C534,Countries!$B$3:$C$140,2,FALSE)</f>
        <v>Europe</v>
      </c>
      <c r="E534" s="3" t="s">
        <v>25</v>
      </c>
      <c r="F534" s="3" t="str">
        <f>VLOOKUP(E534,Countries!$B$3:$C$140,2,FALSE)</f>
        <v>Europe</v>
      </c>
      <c r="G534" s="4">
        <v>2</v>
      </c>
      <c r="H534" s="4">
        <v>0</v>
      </c>
    </row>
    <row r="535" spans="2:8" x14ac:dyDescent="0.2">
      <c r="B535" s="3" t="s">
        <v>140</v>
      </c>
      <c r="C535" s="3" t="s">
        <v>73</v>
      </c>
      <c r="D535" s="3" t="str">
        <f>VLOOKUP(C535,Countries!$B$3:$C$140,2,FALSE)</f>
        <v>Europe</v>
      </c>
      <c r="E535" s="3" t="s">
        <v>82</v>
      </c>
      <c r="F535" s="3" t="e">
        <f>VLOOKUP(E535,Countries!$B$3:$C$140,2,FALSE)</f>
        <v>#N/A</v>
      </c>
      <c r="G535" s="4">
        <v>2</v>
      </c>
      <c r="H535" s="4">
        <v>0</v>
      </c>
    </row>
    <row r="536" spans="2:8" x14ac:dyDescent="0.2">
      <c r="B536" s="3" t="s">
        <v>140</v>
      </c>
      <c r="C536" s="3" t="s">
        <v>73</v>
      </c>
      <c r="D536" s="3" t="str">
        <f>VLOOKUP(C536,Countries!$B$3:$C$140,2,FALSE)</f>
        <v>Europe</v>
      </c>
      <c r="E536" s="3" t="s">
        <v>46</v>
      </c>
      <c r="F536" s="3" t="str">
        <f>VLOOKUP(E536,Countries!$B$3:$C$140,2,FALSE)</f>
        <v>Europe/Asia</v>
      </c>
      <c r="G536" s="4">
        <v>4</v>
      </c>
      <c r="H536" s="4">
        <v>0</v>
      </c>
    </row>
    <row r="537" spans="2:8" x14ac:dyDescent="0.2">
      <c r="B537" s="3" t="s">
        <v>140</v>
      </c>
      <c r="C537" s="3" t="s">
        <v>73</v>
      </c>
      <c r="D537" s="3" t="str">
        <f>VLOOKUP(C537,Countries!$B$3:$C$140,2,FALSE)</f>
        <v>Europe</v>
      </c>
      <c r="E537" s="3" t="s">
        <v>47</v>
      </c>
      <c r="F537" s="3" t="str">
        <f>VLOOKUP(E537,Countries!$B$3:$C$140,2,FALSE)</f>
        <v>Africa</v>
      </c>
      <c r="G537" s="4">
        <v>2</v>
      </c>
      <c r="H537" s="4">
        <v>0</v>
      </c>
    </row>
    <row r="538" spans="2:8" x14ac:dyDescent="0.2">
      <c r="B538" s="3" t="s">
        <v>140</v>
      </c>
      <c r="C538" s="3" t="s">
        <v>73</v>
      </c>
      <c r="D538" s="3" t="str">
        <f>VLOOKUP(C538,Countries!$B$3:$C$140,2,FALSE)</f>
        <v>Europe</v>
      </c>
      <c r="E538" s="3" t="s">
        <v>98</v>
      </c>
      <c r="F538" s="3" t="str">
        <f>VLOOKUP(E538,Countries!$B$3:$C$140,2,FALSE)</f>
        <v>North America</v>
      </c>
      <c r="G538" s="4">
        <v>2</v>
      </c>
      <c r="H538" s="4">
        <v>60000</v>
      </c>
    </row>
    <row r="539" spans="2:8" x14ac:dyDescent="0.2">
      <c r="B539" s="3" t="s">
        <v>140</v>
      </c>
      <c r="C539" s="3" t="s">
        <v>73</v>
      </c>
      <c r="D539" s="3" t="str">
        <f>VLOOKUP(C539,Countries!$B$3:$C$140,2,FALSE)</f>
        <v>Europe</v>
      </c>
      <c r="E539" s="3" t="s">
        <v>28</v>
      </c>
      <c r="F539" s="3" t="str">
        <f>VLOOKUP(E539,Countries!$B$3:$C$140,2,FALSE)</f>
        <v>Europe</v>
      </c>
      <c r="G539" s="4">
        <v>6</v>
      </c>
      <c r="H539" s="4">
        <v>0</v>
      </c>
    </row>
    <row r="540" spans="2:8" x14ac:dyDescent="0.2">
      <c r="B540" s="3" t="s">
        <v>140</v>
      </c>
      <c r="C540" s="3" t="s">
        <v>73</v>
      </c>
      <c r="D540" s="3" t="str">
        <f>VLOOKUP(C540,Countries!$B$3:$C$140,2,FALSE)</f>
        <v>Europe</v>
      </c>
      <c r="E540" s="3" t="s">
        <v>31</v>
      </c>
      <c r="F540" s="3" t="str">
        <f>VLOOKUP(E540,Countries!$B$3:$C$140,2,FALSE)</f>
        <v>Europe</v>
      </c>
      <c r="G540" s="4">
        <v>24</v>
      </c>
      <c r="H540" s="4">
        <v>191010.59153100001</v>
      </c>
    </row>
    <row r="541" spans="2:8" x14ac:dyDescent="0.2">
      <c r="B541" s="3" t="s">
        <v>140</v>
      </c>
      <c r="C541" s="3" t="s">
        <v>73</v>
      </c>
      <c r="D541" s="3" t="str">
        <f>VLOOKUP(C541,Countries!$B$3:$C$140,2,FALSE)</f>
        <v>Europe</v>
      </c>
      <c r="E541" s="3" t="s">
        <v>112</v>
      </c>
      <c r="F541" s="3" t="str">
        <f>VLOOKUP(E541,Countries!$B$3:$C$140,2,FALSE)</f>
        <v>Asia</v>
      </c>
      <c r="G541" s="4">
        <v>6</v>
      </c>
      <c r="H541" s="4">
        <v>0</v>
      </c>
    </row>
    <row r="542" spans="2:8" x14ac:dyDescent="0.2">
      <c r="B542" s="3" t="s">
        <v>140</v>
      </c>
      <c r="C542" s="3" t="s">
        <v>73</v>
      </c>
      <c r="D542" s="3" t="str">
        <f>VLOOKUP(C542,Countries!$B$3:$C$140,2,FALSE)</f>
        <v>Europe</v>
      </c>
      <c r="E542" s="3" t="s">
        <v>57</v>
      </c>
      <c r="F542" s="3" t="str">
        <f>VLOOKUP(E542,Countries!$B$3:$C$140,2,FALSE)</f>
        <v>Europe/Asia</v>
      </c>
      <c r="G542" s="4">
        <v>2</v>
      </c>
      <c r="H542" s="4">
        <v>0</v>
      </c>
    </row>
    <row r="543" spans="2:8" x14ac:dyDescent="0.2">
      <c r="B543" s="3" t="s">
        <v>140</v>
      </c>
      <c r="C543" s="3" t="s">
        <v>73</v>
      </c>
      <c r="D543" s="3" t="str">
        <f>VLOOKUP(C543,Countries!$B$3:$C$140,2,FALSE)</f>
        <v>Europe</v>
      </c>
      <c r="E543" s="3" t="s">
        <v>33</v>
      </c>
      <c r="F543" s="3" t="str">
        <f>VLOOKUP(E543,Countries!$B$3:$C$140,2,FALSE)</f>
        <v>North America</v>
      </c>
      <c r="G543" s="4">
        <v>24</v>
      </c>
      <c r="H543" s="4">
        <v>0</v>
      </c>
    </row>
    <row r="544" spans="2:8" x14ac:dyDescent="0.2">
      <c r="B544" s="3" t="s">
        <v>140</v>
      </c>
      <c r="C544" s="3" t="s">
        <v>73</v>
      </c>
      <c r="D544" s="3" t="str">
        <f>VLOOKUP(C544,Countries!$B$3:$C$140,2,FALSE)</f>
        <v>Europe</v>
      </c>
      <c r="E544" s="3" t="s">
        <v>86</v>
      </c>
      <c r="F544" s="3" t="str">
        <f>VLOOKUP(E544,Countries!$B$3:$C$140,2,FALSE)</f>
        <v>Europe</v>
      </c>
      <c r="G544" s="4">
        <v>2</v>
      </c>
      <c r="H544" s="4">
        <v>0</v>
      </c>
    </row>
    <row r="545" spans="2:8" x14ac:dyDescent="0.2">
      <c r="B545" s="3" t="s">
        <v>140</v>
      </c>
      <c r="C545" s="3" t="s">
        <v>12</v>
      </c>
      <c r="D545" s="3" t="str">
        <f>VLOOKUP(C545,Countries!$B$3:$C$140,2,FALSE)</f>
        <v>Europe</v>
      </c>
      <c r="E545" s="3" t="s">
        <v>113</v>
      </c>
      <c r="F545" s="3" t="str">
        <f>VLOOKUP(E545,Countries!$B$3:$C$140,2,FALSE)</f>
        <v>Africa</v>
      </c>
      <c r="G545" s="4">
        <v>16</v>
      </c>
      <c r="H545" s="4">
        <v>0</v>
      </c>
    </row>
    <row r="546" spans="2:8" x14ac:dyDescent="0.2">
      <c r="B546" s="3" t="s">
        <v>140</v>
      </c>
      <c r="C546" s="3" t="s">
        <v>12</v>
      </c>
      <c r="D546" s="3" t="str">
        <f>VLOOKUP(C546,Countries!$B$3:$C$140,2,FALSE)</f>
        <v>Europe</v>
      </c>
      <c r="E546" s="3" t="s">
        <v>69</v>
      </c>
      <c r="F546" s="3" t="str">
        <f>VLOOKUP(E546,Countries!$B$3:$C$140,2,FALSE)</f>
        <v>South America</v>
      </c>
      <c r="G546" s="4">
        <v>8</v>
      </c>
      <c r="H546" s="4">
        <v>6860912.6066699997</v>
      </c>
    </row>
    <row r="547" spans="2:8" x14ac:dyDescent="0.2">
      <c r="B547" s="3" t="s">
        <v>140</v>
      </c>
      <c r="C547" s="3" t="s">
        <v>12</v>
      </c>
      <c r="D547" s="3" t="str">
        <f>VLOOKUP(C547,Countries!$B$3:$C$140,2,FALSE)</f>
        <v>Europe</v>
      </c>
      <c r="E547" s="3" t="s">
        <v>3</v>
      </c>
      <c r="F547" s="3" t="str">
        <f>VLOOKUP(E547,Countries!$B$3:$C$140,2,FALSE)</f>
        <v>Europe</v>
      </c>
      <c r="G547" s="4">
        <v>4</v>
      </c>
      <c r="H547" s="4">
        <v>12914659.024319999</v>
      </c>
    </row>
    <row r="548" spans="2:8" x14ac:dyDescent="0.2">
      <c r="B548" s="3" t="s">
        <v>140</v>
      </c>
      <c r="C548" s="3" t="s">
        <v>12</v>
      </c>
      <c r="D548" s="3" t="str">
        <f>VLOOKUP(C548,Countries!$B$3:$C$140,2,FALSE)</f>
        <v>Europe</v>
      </c>
      <c r="E548" s="3" t="s">
        <v>4</v>
      </c>
      <c r="F548" s="3" t="str">
        <f>VLOOKUP(E548,Countries!$B$3:$C$140,2,FALSE)</f>
        <v>Asia</v>
      </c>
      <c r="G548" s="4">
        <v>2</v>
      </c>
      <c r="H548" s="4">
        <v>0</v>
      </c>
    </row>
    <row r="549" spans="2:8" x14ac:dyDescent="0.2">
      <c r="B549" s="3" t="s">
        <v>140</v>
      </c>
      <c r="C549" s="3" t="s">
        <v>12</v>
      </c>
      <c r="D549" s="3" t="str">
        <f>VLOOKUP(C549,Countries!$B$3:$C$140,2,FALSE)</f>
        <v>Europe</v>
      </c>
      <c r="E549" s="3" t="s">
        <v>35</v>
      </c>
      <c r="F549" s="3" t="str">
        <f>VLOOKUP(E549,Countries!$B$3:$C$140,2,FALSE)</f>
        <v>Europe</v>
      </c>
      <c r="G549" s="4">
        <v>34</v>
      </c>
      <c r="H549" s="4">
        <v>35111729.222369999</v>
      </c>
    </row>
    <row r="550" spans="2:8" x14ac:dyDescent="0.2">
      <c r="B550" s="3" t="s">
        <v>140</v>
      </c>
      <c r="C550" s="3" t="s">
        <v>12</v>
      </c>
      <c r="D550" s="3" t="str">
        <f>VLOOKUP(C550,Countries!$B$3:$C$140,2,FALSE)</f>
        <v>Europe</v>
      </c>
      <c r="E550" s="3" t="s">
        <v>70</v>
      </c>
      <c r="F550" s="3" t="str">
        <f>VLOOKUP(E550,Countries!$B$3:$C$140,2,FALSE)</f>
        <v>Africa</v>
      </c>
      <c r="G550" s="4">
        <v>8</v>
      </c>
      <c r="H550" s="4">
        <v>686091.26066699997</v>
      </c>
    </row>
    <row r="551" spans="2:8" x14ac:dyDescent="0.2">
      <c r="B551" s="3" t="s">
        <v>140</v>
      </c>
      <c r="C551" s="3" t="s">
        <v>12</v>
      </c>
      <c r="D551" s="3" t="str">
        <f>VLOOKUP(C551,Countries!$B$3:$C$140,2,FALSE)</f>
        <v>Europe</v>
      </c>
      <c r="E551" s="3" t="s">
        <v>59</v>
      </c>
      <c r="F551" s="3" t="str">
        <f>VLOOKUP(E551,Countries!$B$3:$C$140,2,FALSE)</f>
        <v>Europe</v>
      </c>
      <c r="G551" s="4">
        <v>2</v>
      </c>
      <c r="H551" s="4">
        <v>1008957.7362749999</v>
      </c>
    </row>
    <row r="552" spans="2:8" x14ac:dyDescent="0.2">
      <c r="B552" s="3" t="s">
        <v>140</v>
      </c>
      <c r="C552" s="3" t="s">
        <v>12</v>
      </c>
      <c r="D552" s="3" t="str">
        <f>VLOOKUP(C552,Countries!$B$3:$C$140,2,FALSE)</f>
        <v>Europe</v>
      </c>
      <c r="E552" s="3" t="s">
        <v>7</v>
      </c>
      <c r="F552" s="3" t="str">
        <f>VLOOKUP(E552,Countries!$B$3:$C$140,2,FALSE)</f>
        <v>South America</v>
      </c>
      <c r="G552" s="4">
        <v>22</v>
      </c>
      <c r="H552" s="4">
        <v>25223943.406874999</v>
      </c>
    </row>
    <row r="553" spans="2:8" x14ac:dyDescent="0.2">
      <c r="B553" s="3" t="s">
        <v>140</v>
      </c>
      <c r="C553" s="3" t="s">
        <v>12</v>
      </c>
      <c r="D553" s="3" t="str">
        <f>VLOOKUP(C553,Countries!$B$3:$C$140,2,FALSE)</f>
        <v>Europe</v>
      </c>
      <c r="E553" s="3" t="s">
        <v>8</v>
      </c>
      <c r="F553" s="3" t="str">
        <f>VLOOKUP(E553,Countries!$B$3:$C$140,2,FALSE)</f>
        <v>North America</v>
      </c>
      <c r="G553" s="4">
        <v>6</v>
      </c>
      <c r="H553" s="4">
        <v>0</v>
      </c>
    </row>
    <row r="554" spans="2:8" x14ac:dyDescent="0.2">
      <c r="B554" s="3" t="s">
        <v>140</v>
      </c>
      <c r="C554" s="3" t="s">
        <v>12</v>
      </c>
      <c r="D554" s="3" t="str">
        <f>VLOOKUP(C554,Countries!$B$3:$C$140,2,FALSE)</f>
        <v>Europe</v>
      </c>
      <c r="E554" s="3" t="s">
        <v>88</v>
      </c>
      <c r="F554" s="3" t="str">
        <f>VLOOKUP(E554,Countries!$B$3:$C$140,2,FALSE)</f>
        <v>South America</v>
      </c>
      <c r="G554" s="4">
        <v>6</v>
      </c>
      <c r="H554" s="4">
        <v>4886698.0169099998</v>
      </c>
    </row>
    <row r="555" spans="2:8" x14ac:dyDescent="0.2">
      <c r="B555" s="3" t="s">
        <v>140</v>
      </c>
      <c r="C555" s="3" t="s">
        <v>12</v>
      </c>
      <c r="D555" s="3" t="str">
        <f>VLOOKUP(C555,Countries!$B$3:$C$140,2,FALSE)</f>
        <v>Europe</v>
      </c>
      <c r="E555" s="3" t="s">
        <v>89</v>
      </c>
      <c r="F555" s="3" t="str">
        <f>VLOOKUP(E555,Countries!$B$3:$C$140,2,FALSE)</f>
        <v>Asia</v>
      </c>
      <c r="G555" s="4">
        <v>2</v>
      </c>
      <c r="H555" s="4">
        <v>0</v>
      </c>
    </row>
    <row r="556" spans="2:8" x14ac:dyDescent="0.2">
      <c r="B556" s="3" t="s">
        <v>140</v>
      </c>
      <c r="C556" s="3" t="s">
        <v>12</v>
      </c>
      <c r="D556" s="3" t="str">
        <f>VLOOKUP(C556,Countries!$B$3:$C$140,2,FALSE)</f>
        <v>Europe</v>
      </c>
      <c r="E556" s="3" t="s">
        <v>37</v>
      </c>
      <c r="F556" s="3" t="str">
        <f>VLOOKUP(E556,Countries!$B$3:$C$140,2,FALSE)</f>
        <v>Africa</v>
      </c>
      <c r="G556" s="4">
        <v>4</v>
      </c>
      <c r="H556" s="4">
        <v>496407.20624730003</v>
      </c>
    </row>
    <row r="557" spans="2:8" x14ac:dyDescent="0.2">
      <c r="B557" s="3" t="s">
        <v>140</v>
      </c>
      <c r="C557" s="3" t="s">
        <v>12</v>
      </c>
      <c r="D557" s="3" t="str">
        <f>VLOOKUP(C557,Countries!$B$3:$C$140,2,FALSE)</f>
        <v>Europe</v>
      </c>
      <c r="E557" s="3" t="s">
        <v>106</v>
      </c>
      <c r="F557" s="3" t="str">
        <f>VLOOKUP(E557,Countries!$B$3:$C$140,2,FALSE)</f>
        <v>Africa</v>
      </c>
      <c r="G557" s="4">
        <v>8</v>
      </c>
      <c r="H557" s="4">
        <v>2925977.4351975</v>
      </c>
    </row>
    <row r="558" spans="2:8" x14ac:dyDescent="0.2">
      <c r="B558" s="3" t="s">
        <v>140</v>
      </c>
      <c r="C558" s="3" t="s">
        <v>12</v>
      </c>
      <c r="D558" s="3" t="str">
        <f>VLOOKUP(C558,Countries!$B$3:$C$140,2,FALSE)</f>
        <v>Europe</v>
      </c>
      <c r="E558" s="3" t="s">
        <v>61</v>
      </c>
      <c r="F558" s="3" t="str">
        <f>VLOOKUP(E558,Countries!$B$3:$C$140,2,FALSE)</f>
        <v>North America</v>
      </c>
      <c r="G558" s="4">
        <v>2</v>
      </c>
      <c r="H558" s="4">
        <v>4842997.1341200005</v>
      </c>
    </row>
    <row r="559" spans="2:8" x14ac:dyDescent="0.2">
      <c r="B559" s="3" t="s">
        <v>140</v>
      </c>
      <c r="C559" s="3" t="s">
        <v>12</v>
      </c>
      <c r="D559" s="3" t="str">
        <f>VLOOKUP(C559,Countries!$B$3:$C$140,2,FALSE)</f>
        <v>Europe</v>
      </c>
      <c r="E559" s="3" t="s">
        <v>9</v>
      </c>
      <c r="F559" s="3" t="str">
        <f>VLOOKUP(E559,Countries!$B$3:$C$140,2,FALSE)</f>
        <v>Europe</v>
      </c>
      <c r="G559" s="4">
        <v>4</v>
      </c>
      <c r="H559" s="4">
        <v>2825081.66157</v>
      </c>
    </row>
    <row r="560" spans="2:8" x14ac:dyDescent="0.2">
      <c r="B560" s="3" t="s">
        <v>140</v>
      </c>
      <c r="C560" s="3" t="s">
        <v>12</v>
      </c>
      <c r="D560" s="3" t="str">
        <f>VLOOKUP(C560,Countries!$B$3:$C$140,2,FALSE)</f>
        <v>Europe</v>
      </c>
      <c r="E560" s="3" t="s">
        <v>62</v>
      </c>
      <c r="F560" s="3" t="str">
        <f>VLOOKUP(E560,Countries!$B$3:$C$140,2,FALSE)</f>
        <v>Asia</v>
      </c>
      <c r="G560" s="4">
        <v>6</v>
      </c>
      <c r="H560" s="4">
        <v>0</v>
      </c>
    </row>
    <row r="561" spans="2:8" x14ac:dyDescent="0.2">
      <c r="B561" s="3" t="s">
        <v>140</v>
      </c>
      <c r="C561" s="3" t="s">
        <v>12</v>
      </c>
      <c r="D561" s="3" t="str">
        <f>VLOOKUP(C561,Countries!$B$3:$C$140,2,FALSE)</f>
        <v>Europe</v>
      </c>
      <c r="E561" s="3" t="s">
        <v>49</v>
      </c>
      <c r="F561" s="3" t="str">
        <f>VLOOKUP(E561,Countries!$B$3:$C$140,2,FALSE)</f>
        <v>Europe</v>
      </c>
      <c r="G561" s="4">
        <v>6</v>
      </c>
      <c r="H561" s="4">
        <v>0</v>
      </c>
    </row>
    <row r="562" spans="2:8" x14ac:dyDescent="0.2">
      <c r="B562" s="3" t="s">
        <v>140</v>
      </c>
      <c r="C562" s="3" t="s">
        <v>12</v>
      </c>
      <c r="D562" s="3" t="str">
        <f>VLOOKUP(C562,Countries!$B$3:$C$140,2,FALSE)</f>
        <v>Europe</v>
      </c>
      <c r="E562" s="3" t="s">
        <v>10</v>
      </c>
      <c r="F562" s="3" t="str">
        <f>VLOOKUP(E562,Countries!$B$3:$C$140,2,FALSE)</f>
        <v>Europe</v>
      </c>
      <c r="G562" s="4">
        <v>4</v>
      </c>
      <c r="H562" s="4">
        <v>963895.53568500001</v>
      </c>
    </row>
    <row r="563" spans="2:8" x14ac:dyDescent="0.2">
      <c r="B563" s="3" t="s">
        <v>140</v>
      </c>
      <c r="C563" s="3" t="s">
        <v>12</v>
      </c>
      <c r="D563" s="3" t="str">
        <f>VLOOKUP(C563,Countries!$B$3:$C$140,2,FALSE)</f>
        <v>Europe</v>
      </c>
      <c r="E563" s="3" t="s">
        <v>50</v>
      </c>
      <c r="F563" s="3" t="str">
        <f>VLOOKUP(E563,Countries!$B$3:$C$140,2,FALSE)</f>
        <v>Europe</v>
      </c>
      <c r="G563" s="4">
        <v>44</v>
      </c>
      <c r="H563" s="4">
        <v>57473318.088686697</v>
      </c>
    </row>
    <row r="564" spans="2:8" x14ac:dyDescent="0.2">
      <c r="B564" s="3" t="s">
        <v>140</v>
      </c>
      <c r="C564" s="3" t="s">
        <v>12</v>
      </c>
      <c r="D564" s="3" t="str">
        <f>VLOOKUP(C564,Countries!$B$3:$C$140,2,FALSE)</f>
        <v>Europe</v>
      </c>
      <c r="E564" s="3" t="s">
        <v>11</v>
      </c>
      <c r="F564" s="3" t="str">
        <f>VLOOKUP(E564,Countries!$B$3:$C$140,2,FALSE)</f>
        <v>Europe</v>
      </c>
      <c r="G564" s="4">
        <v>26</v>
      </c>
      <c r="H564" s="4">
        <v>25266425.85486903</v>
      </c>
    </row>
    <row r="565" spans="2:8" x14ac:dyDescent="0.2">
      <c r="B565" s="3" t="s">
        <v>140</v>
      </c>
      <c r="C565" s="3" t="s">
        <v>12</v>
      </c>
      <c r="D565" s="3" t="str">
        <f>VLOOKUP(C565,Countries!$B$3:$C$140,2,FALSE)</f>
        <v>Europe</v>
      </c>
      <c r="E565" s="3" t="s">
        <v>38</v>
      </c>
      <c r="F565" s="3" t="str">
        <f>VLOOKUP(E565,Countries!$B$3:$C$140,2,FALSE)</f>
        <v>Europe</v>
      </c>
      <c r="G565" s="4">
        <v>4</v>
      </c>
      <c r="H565" s="4">
        <v>0</v>
      </c>
    </row>
    <row r="566" spans="2:8" x14ac:dyDescent="0.2">
      <c r="B566" s="3" t="s">
        <v>140</v>
      </c>
      <c r="C566" s="3" t="s">
        <v>12</v>
      </c>
      <c r="D566" s="3" t="str">
        <f>VLOOKUP(C566,Countries!$B$3:$C$140,2,FALSE)</f>
        <v>Europe</v>
      </c>
      <c r="E566" s="3" t="s">
        <v>73</v>
      </c>
      <c r="F566" s="3" t="str">
        <f>VLOOKUP(E566,Countries!$B$3:$C$140,2,FALSE)</f>
        <v>Europe</v>
      </c>
      <c r="G566" s="4">
        <v>2</v>
      </c>
      <c r="H566" s="4">
        <v>0</v>
      </c>
    </row>
    <row r="567" spans="2:8" x14ac:dyDescent="0.2">
      <c r="B567" s="3" t="s">
        <v>140</v>
      </c>
      <c r="C567" s="3" t="s">
        <v>12</v>
      </c>
      <c r="D567" s="3" t="str">
        <f>VLOOKUP(C567,Countries!$B$3:$C$140,2,FALSE)</f>
        <v>Europe</v>
      </c>
      <c r="E567" s="3" t="s">
        <v>114</v>
      </c>
      <c r="F567" s="3" t="str">
        <f>VLOOKUP(E567,Countries!$B$3:$C$140,2,FALSE)</f>
        <v>Africa</v>
      </c>
      <c r="G567" s="4">
        <v>2</v>
      </c>
      <c r="H567" s="4">
        <v>201791.54725499998</v>
      </c>
    </row>
    <row r="568" spans="2:8" x14ac:dyDescent="0.2">
      <c r="B568" s="3" t="s">
        <v>140</v>
      </c>
      <c r="C568" s="3" t="s">
        <v>12</v>
      </c>
      <c r="D568" s="3" t="str">
        <f>VLOOKUP(C568,Countries!$B$3:$C$140,2,FALSE)</f>
        <v>Europe</v>
      </c>
      <c r="E568" s="3" t="s">
        <v>13</v>
      </c>
      <c r="F568" s="3" t="str">
        <f>VLOOKUP(E568,Countries!$B$3:$C$140,2,FALSE)</f>
        <v>Europe</v>
      </c>
      <c r="G568" s="4">
        <v>20</v>
      </c>
      <c r="H568" s="4">
        <v>19085908.40535</v>
      </c>
    </row>
    <row r="569" spans="2:8" x14ac:dyDescent="0.2">
      <c r="B569" s="3" t="s">
        <v>140</v>
      </c>
      <c r="C569" s="3" t="s">
        <v>12</v>
      </c>
      <c r="D569" s="3" t="str">
        <f>VLOOKUP(C569,Countries!$B$3:$C$140,2,FALSE)</f>
        <v>Europe</v>
      </c>
      <c r="E569" s="3" t="s">
        <v>14</v>
      </c>
      <c r="F569" s="3" t="str">
        <f>VLOOKUP(E569,Countries!$B$3:$C$140,2,FALSE)</f>
        <v>Europe</v>
      </c>
      <c r="G569" s="4">
        <v>26</v>
      </c>
      <c r="H569" s="4">
        <v>807166.18901999993</v>
      </c>
    </row>
    <row r="570" spans="2:8" x14ac:dyDescent="0.2">
      <c r="B570" s="3" t="s">
        <v>140</v>
      </c>
      <c r="C570" s="3" t="s">
        <v>12</v>
      </c>
      <c r="D570" s="3" t="str">
        <f>VLOOKUP(C570,Countries!$B$3:$C$140,2,FALSE)</f>
        <v>Europe</v>
      </c>
      <c r="E570" s="3" t="s">
        <v>115</v>
      </c>
      <c r="F570" s="3" t="str">
        <f>VLOOKUP(E570,Countries!$B$3:$C$140,2,FALSE)</f>
        <v>North America</v>
      </c>
      <c r="G570" s="4">
        <v>2</v>
      </c>
      <c r="H570" s="4">
        <v>0</v>
      </c>
    </row>
    <row r="571" spans="2:8" x14ac:dyDescent="0.2">
      <c r="B571" s="3" t="s">
        <v>140</v>
      </c>
      <c r="C571" s="3" t="s">
        <v>12</v>
      </c>
      <c r="D571" s="3" t="str">
        <f>VLOOKUP(C571,Countries!$B$3:$C$140,2,FALSE)</f>
        <v>Europe</v>
      </c>
      <c r="E571" s="3" t="s">
        <v>15</v>
      </c>
      <c r="F571" s="3" t="str">
        <f>VLOOKUP(E571,Countries!$B$3:$C$140,2,FALSE)</f>
        <v>Europe</v>
      </c>
      <c r="G571" s="4">
        <v>2</v>
      </c>
      <c r="H571" s="4">
        <v>0</v>
      </c>
    </row>
    <row r="572" spans="2:8" x14ac:dyDescent="0.2">
      <c r="B572" s="3" t="s">
        <v>140</v>
      </c>
      <c r="C572" s="3" t="s">
        <v>12</v>
      </c>
      <c r="D572" s="3" t="str">
        <f>VLOOKUP(C572,Countries!$B$3:$C$140,2,FALSE)</f>
        <v>Europe</v>
      </c>
      <c r="E572" s="3" t="s">
        <v>101</v>
      </c>
      <c r="F572" s="3" t="str">
        <f>VLOOKUP(E572,Countries!$B$3:$C$140,2,FALSE)</f>
        <v>Europe</v>
      </c>
      <c r="G572" s="4">
        <v>2</v>
      </c>
      <c r="H572" s="4">
        <v>0</v>
      </c>
    </row>
    <row r="573" spans="2:8" x14ac:dyDescent="0.2">
      <c r="B573" s="3" t="s">
        <v>140</v>
      </c>
      <c r="C573" s="3" t="s">
        <v>12</v>
      </c>
      <c r="D573" s="3" t="str">
        <f>VLOOKUP(C573,Countries!$B$3:$C$140,2,FALSE)</f>
        <v>Europe</v>
      </c>
      <c r="E573" s="3" t="s">
        <v>51</v>
      </c>
      <c r="F573" s="3" t="str">
        <f>VLOOKUP(E573,Countries!$B$3:$C$140,2,FALSE)</f>
        <v>Asia</v>
      </c>
      <c r="G573" s="4">
        <v>8</v>
      </c>
      <c r="H573" s="4">
        <v>0</v>
      </c>
    </row>
    <row r="574" spans="2:8" x14ac:dyDescent="0.2">
      <c r="B574" s="3" t="s">
        <v>140</v>
      </c>
      <c r="C574" s="3" t="s">
        <v>12</v>
      </c>
      <c r="D574" s="3" t="str">
        <f>VLOOKUP(C574,Countries!$B$3:$C$140,2,FALSE)</f>
        <v>Europe</v>
      </c>
      <c r="E574" s="3" t="s">
        <v>17</v>
      </c>
      <c r="F574" s="3" t="str">
        <f>VLOOKUP(E574,Countries!$B$3:$C$140,2,FALSE)</f>
        <v>Europe</v>
      </c>
      <c r="G574" s="4">
        <v>36</v>
      </c>
      <c r="H574" s="4">
        <v>301631545.892928</v>
      </c>
    </row>
    <row r="575" spans="2:8" x14ac:dyDescent="0.2">
      <c r="B575" s="3" t="s">
        <v>140</v>
      </c>
      <c r="C575" s="3" t="s">
        <v>12</v>
      </c>
      <c r="D575" s="3" t="str">
        <f>VLOOKUP(C575,Countries!$B$3:$C$140,2,FALSE)</f>
        <v>Europe</v>
      </c>
      <c r="E575" s="3" t="s">
        <v>40</v>
      </c>
      <c r="F575" s="3" t="str">
        <f>VLOOKUP(E575,Countries!$B$3:$C$140,2,FALSE)</f>
        <v>Asia</v>
      </c>
      <c r="G575" s="4">
        <v>2</v>
      </c>
      <c r="H575" s="4">
        <v>0</v>
      </c>
    </row>
    <row r="576" spans="2:8" x14ac:dyDescent="0.2">
      <c r="B576" s="3" t="s">
        <v>140</v>
      </c>
      <c r="C576" s="3" t="s">
        <v>12</v>
      </c>
      <c r="D576" s="3" t="str">
        <f>VLOOKUP(C576,Countries!$B$3:$C$140,2,FALSE)</f>
        <v>Europe</v>
      </c>
      <c r="E576" s="3" t="s">
        <v>77</v>
      </c>
      <c r="F576" s="3" t="str">
        <f>VLOOKUP(E576,Countries!$B$3:$C$140,2,FALSE)</f>
        <v>Europe</v>
      </c>
      <c r="G576" s="4">
        <v>6</v>
      </c>
      <c r="H576" s="4">
        <v>0</v>
      </c>
    </row>
    <row r="577" spans="2:8" x14ac:dyDescent="0.2">
      <c r="B577" s="3" t="s">
        <v>140</v>
      </c>
      <c r="C577" s="3" t="s">
        <v>12</v>
      </c>
      <c r="D577" s="3" t="str">
        <f>VLOOKUP(C577,Countries!$B$3:$C$140,2,FALSE)</f>
        <v>Europe</v>
      </c>
      <c r="E577" s="3" t="s">
        <v>116</v>
      </c>
      <c r="F577" s="3" t="str">
        <f>VLOOKUP(E577,Countries!$B$3:$C$140,2,FALSE)</f>
        <v>Africa</v>
      </c>
      <c r="G577" s="4">
        <v>6</v>
      </c>
      <c r="H577" s="4">
        <v>0</v>
      </c>
    </row>
    <row r="578" spans="2:8" x14ac:dyDescent="0.2">
      <c r="B578" s="3" t="s">
        <v>140</v>
      </c>
      <c r="C578" s="3" t="s">
        <v>12</v>
      </c>
      <c r="D578" s="3" t="str">
        <f>VLOOKUP(C578,Countries!$B$3:$C$140,2,FALSE)</f>
        <v>Europe</v>
      </c>
      <c r="E578" s="3" t="s">
        <v>42</v>
      </c>
      <c r="F578" s="3" t="str">
        <f>VLOOKUP(E578,Countries!$B$3:$C$140,2,FALSE)</f>
        <v>Africa</v>
      </c>
      <c r="G578" s="4">
        <v>16</v>
      </c>
      <c r="H578" s="4">
        <v>0</v>
      </c>
    </row>
    <row r="579" spans="2:8" x14ac:dyDescent="0.2">
      <c r="B579" s="3" t="s">
        <v>140</v>
      </c>
      <c r="C579" s="3" t="s">
        <v>12</v>
      </c>
      <c r="D579" s="3" t="str">
        <f>VLOOKUP(C579,Countries!$B$3:$C$140,2,FALSE)</f>
        <v>Europe</v>
      </c>
      <c r="E579" s="3" t="s">
        <v>43</v>
      </c>
      <c r="F579" s="3" t="str">
        <f>VLOOKUP(E579,Countries!$B$3:$C$140,2,FALSE)</f>
        <v>Europe</v>
      </c>
      <c r="G579" s="4">
        <v>2</v>
      </c>
      <c r="H579" s="4">
        <v>0</v>
      </c>
    </row>
    <row r="580" spans="2:8" x14ac:dyDescent="0.2">
      <c r="B580" s="3" t="s">
        <v>140</v>
      </c>
      <c r="C580" s="3" t="s">
        <v>12</v>
      </c>
      <c r="D580" s="3" t="str">
        <f>VLOOKUP(C580,Countries!$B$3:$C$140,2,FALSE)</f>
        <v>Europe</v>
      </c>
      <c r="E580" s="3" t="s">
        <v>94</v>
      </c>
      <c r="F580" s="3" t="str">
        <f>VLOOKUP(E580,Countries!$B$3:$C$140,2,FALSE)</f>
        <v>North America</v>
      </c>
      <c r="G580" s="4">
        <v>2</v>
      </c>
      <c r="H580" s="4">
        <v>0</v>
      </c>
    </row>
    <row r="581" spans="2:8" x14ac:dyDescent="0.2">
      <c r="B581" s="3" t="s">
        <v>140</v>
      </c>
      <c r="C581" s="3" t="s">
        <v>12</v>
      </c>
      <c r="D581" s="3" t="str">
        <f>VLOOKUP(C581,Countries!$B$3:$C$140,2,FALSE)</f>
        <v>Europe</v>
      </c>
      <c r="E581" s="3" t="s">
        <v>67</v>
      </c>
      <c r="F581" s="3" t="str">
        <f>VLOOKUP(E581,Countries!$B$3:$C$140,2,FALSE)</f>
        <v>Africa</v>
      </c>
      <c r="G581" s="4">
        <v>8</v>
      </c>
      <c r="H581" s="4">
        <v>908061.96264749998</v>
      </c>
    </row>
    <row r="582" spans="2:8" x14ac:dyDescent="0.2">
      <c r="B582" s="3" t="s">
        <v>140</v>
      </c>
      <c r="C582" s="3" t="s">
        <v>12</v>
      </c>
      <c r="D582" s="3" t="str">
        <f>VLOOKUP(C582,Countries!$B$3:$C$140,2,FALSE)</f>
        <v>Europe</v>
      </c>
      <c r="E582" s="3" t="s">
        <v>53</v>
      </c>
      <c r="F582" s="3" t="str">
        <f>VLOOKUP(E582,Countries!$B$3:$C$140,2,FALSE)</f>
        <v>Europe</v>
      </c>
      <c r="G582" s="4">
        <v>2</v>
      </c>
      <c r="H582" s="4">
        <v>0</v>
      </c>
    </row>
    <row r="583" spans="2:8" x14ac:dyDescent="0.2">
      <c r="B583" s="3" t="s">
        <v>140</v>
      </c>
      <c r="C583" s="3" t="s">
        <v>12</v>
      </c>
      <c r="D583" s="3" t="str">
        <f>VLOOKUP(C583,Countries!$B$3:$C$140,2,FALSE)</f>
        <v>Europe</v>
      </c>
      <c r="E583" s="3" t="s">
        <v>109</v>
      </c>
      <c r="F583" s="3" t="str">
        <f>VLOOKUP(E583,Countries!$B$3:$C$140,2,FALSE)</f>
        <v>Africa</v>
      </c>
      <c r="G583" s="4">
        <v>2</v>
      </c>
      <c r="H583" s="4">
        <v>0</v>
      </c>
    </row>
    <row r="584" spans="2:8" x14ac:dyDescent="0.2">
      <c r="B584" s="3" t="s">
        <v>140</v>
      </c>
      <c r="C584" s="3" t="s">
        <v>12</v>
      </c>
      <c r="D584" s="3" t="str">
        <f>VLOOKUP(C584,Countries!$B$3:$C$140,2,FALSE)</f>
        <v>Europe</v>
      </c>
      <c r="E584" s="3" t="s">
        <v>44</v>
      </c>
      <c r="F584" s="3" t="str">
        <f>VLOOKUP(E584,Countries!$B$3:$C$140,2,FALSE)</f>
        <v>Europe</v>
      </c>
      <c r="G584" s="4">
        <v>2</v>
      </c>
      <c r="H584" s="4">
        <v>0</v>
      </c>
    </row>
    <row r="585" spans="2:8" x14ac:dyDescent="0.2">
      <c r="B585" s="3" t="s">
        <v>140</v>
      </c>
      <c r="C585" s="3" t="s">
        <v>12</v>
      </c>
      <c r="D585" s="3" t="str">
        <f>VLOOKUP(C585,Countries!$B$3:$C$140,2,FALSE)</f>
        <v>Europe</v>
      </c>
      <c r="E585" s="3" t="s">
        <v>80</v>
      </c>
      <c r="F585" s="3" t="str">
        <f>VLOOKUP(E585,Countries!$B$3:$C$140,2,FALSE)</f>
        <v>South America</v>
      </c>
      <c r="G585" s="4">
        <v>2</v>
      </c>
      <c r="H585" s="4">
        <v>0</v>
      </c>
    </row>
    <row r="586" spans="2:8" x14ac:dyDescent="0.2">
      <c r="B586" s="3" t="s">
        <v>140</v>
      </c>
      <c r="C586" s="3" t="s">
        <v>12</v>
      </c>
      <c r="D586" s="3" t="str">
        <f>VLOOKUP(C586,Countries!$B$3:$C$140,2,FALSE)</f>
        <v>Europe</v>
      </c>
      <c r="E586" s="3" t="s">
        <v>25</v>
      </c>
      <c r="F586" s="3" t="str">
        <f>VLOOKUP(E586,Countries!$B$3:$C$140,2,FALSE)</f>
        <v>Europe</v>
      </c>
      <c r="G586" s="4">
        <v>18</v>
      </c>
      <c r="H586" s="4">
        <v>0</v>
      </c>
    </row>
    <row r="587" spans="2:8" x14ac:dyDescent="0.2">
      <c r="B587" s="3" t="s">
        <v>140</v>
      </c>
      <c r="C587" s="3" t="s">
        <v>12</v>
      </c>
      <c r="D587" s="3" t="str">
        <f>VLOOKUP(C587,Countries!$B$3:$C$140,2,FALSE)</f>
        <v>Europe</v>
      </c>
      <c r="E587" s="3" t="s">
        <v>81</v>
      </c>
      <c r="F587" s="3" t="str">
        <f>VLOOKUP(E587,Countries!$B$3:$C$140,2,FALSE)</f>
        <v>Asia</v>
      </c>
      <c r="G587" s="4">
        <v>2</v>
      </c>
      <c r="H587" s="4">
        <v>0</v>
      </c>
    </row>
    <row r="588" spans="2:8" x14ac:dyDescent="0.2">
      <c r="B588" s="3" t="s">
        <v>140</v>
      </c>
      <c r="C588" s="3" t="s">
        <v>12</v>
      </c>
      <c r="D588" s="3" t="str">
        <f>VLOOKUP(C588,Countries!$B$3:$C$140,2,FALSE)</f>
        <v>Europe</v>
      </c>
      <c r="E588" s="3" t="s">
        <v>26</v>
      </c>
      <c r="F588" s="3" t="str">
        <f>VLOOKUP(E588,Countries!$B$3:$C$140,2,FALSE)</f>
        <v>Europe</v>
      </c>
      <c r="G588" s="4">
        <v>12</v>
      </c>
      <c r="H588" s="4">
        <v>4842997.1341200005</v>
      </c>
    </row>
    <row r="589" spans="2:8" x14ac:dyDescent="0.2">
      <c r="B589" s="3" t="s">
        <v>140</v>
      </c>
      <c r="C589" s="3" t="s">
        <v>12</v>
      </c>
      <c r="D589" s="3" t="str">
        <f>VLOOKUP(C589,Countries!$B$3:$C$140,2,FALSE)</f>
        <v>Europe</v>
      </c>
      <c r="E589" s="3" t="s">
        <v>46</v>
      </c>
      <c r="F589" s="3" t="str">
        <f>VLOOKUP(E589,Countries!$B$3:$C$140,2,FALSE)</f>
        <v>Europe/Asia</v>
      </c>
      <c r="G589" s="4">
        <v>8</v>
      </c>
      <c r="H589" s="4">
        <v>7315705.4427675009</v>
      </c>
    </row>
    <row r="590" spans="2:8" x14ac:dyDescent="0.2">
      <c r="B590" s="3" t="s">
        <v>140</v>
      </c>
      <c r="C590" s="3" t="s">
        <v>12</v>
      </c>
      <c r="D590" s="3" t="str">
        <f>VLOOKUP(C590,Countries!$B$3:$C$140,2,FALSE)</f>
        <v>Europe</v>
      </c>
      <c r="E590" s="3" t="s">
        <v>55</v>
      </c>
      <c r="F590" s="3" t="str">
        <f>VLOOKUP(E590,Countries!$B$3:$C$140,2,FALSE)</f>
        <v>Europe</v>
      </c>
      <c r="G590" s="4">
        <v>2</v>
      </c>
      <c r="H590" s="4">
        <v>0</v>
      </c>
    </row>
    <row r="591" spans="2:8" x14ac:dyDescent="0.2">
      <c r="B591" s="3" t="s">
        <v>140</v>
      </c>
      <c r="C591" s="3" t="s">
        <v>12</v>
      </c>
      <c r="D591" s="3" t="str">
        <f>VLOOKUP(C591,Countries!$B$3:$C$140,2,FALSE)</f>
        <v>Europe</v>
      </c>
      <c r="E591" s="3" t="s">
        <v>47</v>
      </c>
      <c r="F591" s="3" t="str">
        <f>VLOOKUP(E591,Countries!$B$3:$C$140,2,FALSE)</f>
        <v>Africa</v>
      </c>
      <c r="G591" s="4">
        <v>12</v>
      </c>
      <c r="H591" s="4">
        <v>1977557.1630990002</v>
      </c>
    </row>
    <row r="592" spans="2:8" x14ac:dyDescent="0.2">
      <c r="B592" s="3" t="s">
        <v>140</v>
      </c>
      <c r="C592" s="3" t="s">
        <v>12</v>
      </c>
      <c r="D592" s="3" t="str">
        <f>VLOOKUP(C592,Countries!$B$3:$C$140,2,FALSE)</f>
        <v>Europe</v>
      </c>
      <c r="E592" s="3" t="s">
        <v>90</v>
      </c>
      <c r="F592" s="3" t="str">
        <f>VLOOKUP(E592,Countries!$B$3:$C$140,2,FALSE)</f>
        <v>Asia</v>
      </c>
      <c r="G592" s="4">
        <v>6</v>
      </c>
      <c r="H592" s="4">
        <v>0</v>
      </c>
    </row>
    <row r="593" spans="2:8" x14ac:dyDescent="0.2">
      <c r="B593" s="3" t="s">
        <v>140</v>
      </c>
      <c r="C593" s="3" t="s">
        <v>12</v>
      </c>
      <c r="D593" s="3" t="str">
        <f>VLOOKUP(C593,Countries!$B$3:$C$140,2,FALSE)</f>
        <v>Europe</v>
      </c>
      <c r="E593" s="3" t="s">
        <v>28</v>
      </c>
      <c r="F593" s="3" t="str">
        <f>VLOOKUP(E593,Countries!$B$3:$C$140,2,FALSE)</f>
        <v>Europe</v>
      </c>
      <c r="G593" s="4">
        <v>6</v>
      </c>
      <c r="H593" s="4">
        <v>7385570.6295330003</v>
      </c>
    </row>
    <row r="594" spans="2:8" x14ac:dyDescent="0.2">
      <c r="B594" s="3" t="s">
        <v>140</v>
      </c>
      <c r="C594" s="3" t="s">
        <v>12</v>
      </c>
      <c r="D594" s="3" t="str">
        <f>VLOOKUP(C594,Countries!$B$3:$C$140,2,FALSE)</f>
        <v>Europe</v>
      </c>
      <c r="E594" s="3" t="s">
        <v>29</v>
      </c>
      <c r="F594" s="3" t="str">
        <f>VLOOKUP(E594,Countries!$B$3:$C$140,2,FALSE)</f>
        <v>Europe</v>
      </c>
      <c r="G594" s="4">
        <v>16</v>
      </c>
      <c r="H594" s="4">
        <v>13620929.439712502</v>
      </c>
    </row>
    <row r="595" spans="2:8" x14ac:dyDescent="0.2">
      <c r="B595" s="3" t="s">
        <v>140</v>
      </c>
      <c r="C595" s="3" t="s">
        <v>12</v>
      </c>
      <c r="D595" s="3" t="str">
        <f>VLOOKUP(C595,Countries!$B$3:$C$140,2,FALSE)</f>
        <v>Europe</v>
      </c>
      <c r="E595" s="3" t="s">
        <v>56</v>
      </c>
      <c r="F595" s="3" t="str">
        <f>VLOOKUP(E595,Countries!$B$3:$C$140,2,FALSE)</f>
        <v>Europe</v>
      </c>
      <c r="G595" s="4">
        <v>2</v>
      </c>
      <c r="H595" s="4">
        <v>1059405.6230887501</v>
      </c>
    </row>
    <row r="596" spans="2:8" x14ac:dyDescent="0.2">
      <c r="B596" s="3" t="s">
        <v>140</v>
      </c>
      <c r="C596" s="3" t="s">
        <v>12</v>
      </c>
      <c r="D596" s="3" t="str">
        <f>VLOOKUP(C596,Countries!$B$3:$C$140,2,FALSE)</f>
        <v>Europe</v>
      </c>
      <c r="E596" s="3" t="s">
        <v>30</v>
      </c>
      <c r="F596" s="3" t="str">
        <f>VLOOKUP(E596,Countries!$B$3:$C$140,2,FALSE)</f>
        <v>Europe</v>
      </c>
      <c r="G596" s="4">
        <v>2</v>
      </c>
      <c r="H596" s="4">
        <v>0</v>
      </c>
    </row>
    <row r="597" spans="2:8" x14ac:dyDescent="0.2">
      <c r="B597" s="3" t="s">
        <v>140</v>
      </c>
      <c r="C597" s="3" t="s">
        <v>12</v>
      </c>
      <c r="D597" s="3" t="str">
        <f>VLOOKUP(C597,Countries!$B$3:$C$140,2,FALSE)</f>
        <v>Europe</v>
      </c>
      <c r="E597" s="3" t="s">
        <v>104</v>
      </c>
      <c r="F597" s="3" t="str">
        <f>VLOOKUP(E597,Countries!$B$3:$C$140,2,FALSE)</f>
        <v>Africa</v>
      </c>
      <c r="G597" s="4">
        <v>14</v>
      </c>
      <c r="H597" s="4">
        <v>9080619.6264750008</v>
      </c>
    </row>
    <row r="598" spans="2:8" x14ac:dyDescent="0.2">
      <c r="B598" s="3" t="s">
        <v>140</v>
      </c>
      <c r="C598" s="3" t="s">
        <v>12</v>
      </c>
      <c r="D598" s="3" t="str">
        <f>VLOOKUP(C598,Countries!$B$3:$C$140,2,FALSE)</f>
        <v>Europe</v>
      </c>
      <c r="E598" s="3" t="s">
        <v>57</v>
      </c>
      <c r="F598" s="3" t="str">
        <f>VLOOKUP(E598,Countries!$B$3:$C$140,2,FALSE)</f>
        <v>Europe/Asia</v>
      </c>
      <c r="G598" s="4">
        <v>8</v>
      </c>
      <c r="H598" s="4">
        <v>29802173.887672652</v>
      </c>
    </row>
    <row r="599" spans="2:8" x14ac:dyDescent="0.2">
      <c r="B599" s="3" t="s">
        <v>140</v>
      </c>
      <c r="C599" s="3" t="s">
        <v>12</v>
      </c>
      <c r="D599" s="3" t="str">
        <f>VLOOKUP(C599,Countries!$B$3:$C$140,2,FALSE)</f>
        <v>Europe</v>
      </c>
      <c r="E599" s="3" t="s">
        <v>105</v>
      </c>
      <c r="F599" s="3" t="str">
        <f>VLOOKUP(E599,Countries!$B$3:$C$140,2,FALSE)</f>
        <v>Asia</v>
      </c>
      <c r="G599" s="4">
        <v>8</v>
      </c>
      <c r="H599" s="4">
        <v>4439414.0396100003</v>
      </c>
    </row>
    <row r="600" spans="2:8" x14ac:dyDescent="0.2">
      <c r="B600" s="3" t="s">
        <v>140</v>
      </c>
      <c r="C600" s="3" t="s">
        <v>12</v>
      </c>
      <c r="D600" s="3" t="str">
        <f>VLOOKUP(C600,Countries!$B$3:$C$140,2,FALSE)</f>
        <v>Europe</v>
      </c>
      <c r="E600" s="3" t="s">
        <v>32</v>
      </c>
      <c r="F600" s="3" t="str">
        <f>VLOOKUP(E600,Countries!$B$3:$C$140,2,FALSE)</f>
        <v>Europe</v>
      </c>
      <c r="G600" s="4">
        <v>2</v>
      </c>
      <c r="H600" s="4">
        <v>0</v>
      </c>
    </row>
    <row r="601" spans="2:8" x14ac:dyDescent="0.2">
      <c r="B601" s="3" t="s">
        <v>140</v>
      </c>
      <c r="C601" s="3" t="s">
        <v>12</v>
      </c>
      <c r="D601" s="3" t="str">
        <f>VLOOKUP(C601,Countries!$B$3:$C$140,2,FALSE)</f>
        <v>Europe</v>
      </c>
      <c r="E601" s="3" t="s">
        <v>33</v>
      </c>
      <c r="F601" s="3" t="str">
        <f>VLOOKUP(E601,Countries!$B$3:$C$140,2,FALSE)</f>
        <v>North America</v>
      </c>
      <c r="G601" s="4">
        <v>2</v>
      </c>
      <c r="H601" s="4">
        <v>0</v>
      </c>
    </row>
    <row r="602" spans="2:8" x14ac:dyDescent="0.2">
      <c r="B602" s="3" t="s">
        <v>140</v>
      </c>
      <c r="C602" s="3" t="s">
        <v>12</v>
      </c>
      <c r="D602" s="3" t="str">
        <f>VLOOKUP(C602,Countries!$B$3:$C$140,2,FALSE)</f>
        <v>Europe</v>
      </c>
      <c r="E602" s="3" t="s">
        <v>91</v>
      </c>
      <c r="F602" s="3" t="str">
        <f>VLOOKUP(E602,Countries!$B$3:$C$140,2,FALSE)</f>
        <v>South America</v>
      </c>
      <c r="G602" s="4">
        <v>4</v>
      </c>
      <c r="H602" s="4">
        <v>1130032.664628</v>
      </c>
    </row>
    <row r="603" spans="2:8" x14ac:dyDescent="0.2">
      <c r="B603" s="3" t="s">
        <v>140</v>
      </c>
      <c r="C603" s="3" t="s">
        <v>12</v>
      </c>
      <c r="D603" s="3" t="str">
        <f>VLOOKUP(C603,Countries!$B$3:$C$140,2,FALSE)</f>
        <v>Europe</v>
      </c>
      <c r="E603" s="3" t="s">
        <v>86</v>
      </c>
      <c r="F603" s="3" t="str">
        <f>VLOOKUP(E603,Countries!$B$3:$C$140,2,FALSE)</f>
        <v>Europe</v>
      </c>
      <c r="G603" s="4">
        <v>2</v>
      </c>
      <c r="H603" s="4">
        <v>0</v>
      </c>
    </row>
    <row r="604" spans="2:8" x14ac:dyDescent="0.2">
      <c r="B604" s="3" t="s">
        <v>140</v>
      </c>
      <c r="C604" s="3" t="s">
        <v>97</v>
      </c>
      <c r="D604" s="3" t="str">
        <f>VLOOKUP(C604,Countries!$B$3:$C$140,2,FALSE)</f>
        <v>Europe</v>
      </c>
      <c r="E604" s="3" t="s">
        <v>10</v>
      </c>
      <c r="F604" s="3" t="str">
        <f>VLOOKUP(E604,Countries!$B$3:$C$140,2,FALSE)</f>
        <v>Europe</v>
      </c>
      <c r="G604" s="4">
        <v>40</v>
      </c>
      <c r="H604" s="4">
        <v>10818.135714</v>
      </c>
    </row>
    <row r="605" spans="2:8" x14ac:dyDescent="0.2">
      <c r="B605" s="3" t="s">
        <v>140</v>
      </c>
      <c r="C605" s="3" t="s">
        <v>97</v>
      </c>
      <c r="D605" s="3" t="str">
        <f>VLOOKUP(C605,Countries!$B$3:$C$140,2,FALSE)</f>
        <v>Europe</v>
      </c>
      <c r="E605" s="3" t="s">
        <v>64</v>
      </c>
      <c r="F605" s="3" t="str">
        <f>VLOOKUP(E605,Countries!$B$3:$C$140,2,FALSE)</f>
        <v>Africa</v>
      </c>
      <c r="G605" s="4">
        <v>4</v>
      </c>
      <c r="H605" s="4">
        <v>0</v>
      </c>
    </row>
    <row r="606" spans="2:8" x14ac:dyDescent="0.2">
      <c r="B606" s="3" t="s">
        <v>140</v>
      </c>
      <c r="C606" s="3" t="s">
        <v>97</v>
      </c>
      <c r="D606" s="3" t="str">
        <f>VLOOKUP(C606,Countries!$B$3:$C$140,2,FALSE)</f>
        <v>Europe</v>
      </c>
      <c r="E606" s="3" t="s">
        <v>75</v>
      </c>
      <c r="F606" s="3" t="str">
        <f>VLOOKUP(E606,Countries!$B$3:$C$140,2,FALSE)</f>
        <v>Europe</v>
      </c>
      <c r="G606" s="4">
        <v>2</v>
      </c>
      <c r="H606" s="4">
        <v>0</v>
      </c>
    </row>
    <row r="607" spans="2:8" x14ac:dyDescent="0.2">
      <c r="B607" s="3" t="s">
        <v>140</v>
      </c>
      <c r="C607" s="3" t="s">
        <v>97</v>
      </c>
      <c r="D607" s="3" t="str">
        <f>VLOOKUP(C607,Countries!$B$3:$C$140,2,FALSE)</f>
        <v>Europe</v>
      </c>
      <c r="E607" s="3" t="s">
        <v>22</v>
      </c>
      <c r="F607" s="3" t="str">
        <f>VLOOKUP(E607,Countries!$B$3:$C$140,2,FALSE)</f>
        <v>Europe</v>
      </c>
      <c r="G607" s="4">
        <v>2</v>
      </c>
      <c r="H607" s="4">
        <v>0</v>
      </c>
    </row>
    <row r="608" spans="2:8" x14ac:dyDescent="0.2">
      <c r="B608" s="3" t="s">
        <v>140</v>
      </c>
      <c r="C608" s="3" t="s">
        <v>97</v>
      </c>
      <c r="D608" s="3" t="str">
        <f>VLOOKUP(C608,Countries!$B$3:$C$140,2,FALSE)</f>
        <v>Europe</v>
      </c>
      <c r="E608" s="3" t="s">
        <v>54</v>
      </c>
      <c r="F608" s="3" t="str">
        <f>VLOOKUP(E608,Countries!$B$3:$C$140,2,FALSE)</f>
        <v>Europe</v>
      </c>
      <c r="G608" s="4">
        <v>2</v>
      </c>
      <c r="H608" s="4">
        <v>0</v>
      </c>
    </row>
    <row r="609" spans="2:8" x14ac:dyDescent="0.2">
      <c r="B609" s="3" t="s">
        <v>140</v>
      </c>
      <c r="C609" s="3" t="s">
        <v>97</v>
      </c>
      <c r="D609" s="3" t="str">
        <f>VLOOKUP(C609,Countries!$B$3:$C$140,2,FALSE)</f>
        <v>Europe</v>
      </c>
      <c r="E609" s="3" t="s">
        <v>28</v>
      </c>
      <c r="F609" s="3" t="str">
        <f>VLOOKUP(E609,Countries!$B$3:$C$140,2,FALSE)</f>
        <v>Europe</v>
      </c>
      <c r="G609" s="4">
        <v>4</v>
      </c>
      <c r="H609" s="4">
        <v>0</v>
      </c>
    </row>
    <row r="610" spans="2:8" x14ac:dyDescent="0.2">
      <c r="B610" s="3" t="s">
        <v>140</v>
      </c>
      <c r="C610" s="3" t="s">
        <v>97</v>
      </c>
      <c r="D610" s="3" t="str">
        <f>VLOOKUP(C610,Countries!$B$3:$C$140,2,FALSE)</f>
        <v>Europe</v>
      </c>
      <c r="E610" s="3" t="s">
        <v>30</v>
      </c>
      <c r="F610" s="3" t="str">
        <f>VLOOKUP(E610,Countries!$B$3:$C$140,2,FALSE)</f>
        <v>Europe</v>
      </c>
      <c r="G610" s="4">
        <v>2</v>
      </c>
      <c r="H610" s="4">
        <v>0</v>
      </c>
    </row>
    <row r="611" spans="2:8" x14ac:dyDescent="0.2">
      <c r="B611" s="3" t="s">
        <v>140</v>
      </c>
      <c r="C611" s="3" t="s">
        <v>39</v>
      </c>
      <c r="D611" s="3" t="str">
        <f>VLOOKUP(C611,Countries!$B$3:$C$140,2,FALSE)</f>
        <v>Europe/Asia</v>
      </c>
      <c r="E611" s="3" t="s">
        <v>34</v>
      </c>
      <c r="F611" s="3" t="str">
        <f>VLOOKUP(E611,Countries!$B$3:$C$140,2,FALSE)</f>
        <v>Asia</v>
      </c>
      <c r="G611" s="4">
        <v>4</v>
      </c>
      <c r="H611" s="4">
        <v>0</v>
      </c>
    </row>
    <row r="612" spans="2:8" x14ac:dyDescent="0.2">
      <c r="B612" s="3" t="s">
        <v>140</v>
      </c>
      <c r="C612" s="3" t="s">
        <v>39</v>
      </c>
      <c r="D612" s="3" t="str">
        <f>VLOOKUP(C612,Countries!$B$3:$C$140,2,FALSE)</f>
        <v>Europe/Asia</v>
      </c>
      <c r="E612" s="3" t="s">
        <v>4</v>
      </c>
      <c r="F612" s="3" t="str">
        <f>VLOOKUP(E612,Countries!$B$3:$C$140,2,FALSE)</f>
        <v>Asia</v>
      </c>
      <c r="G612" s="4">
        <v>18</v>
      </c>
      <c r="H612" s="4">
        <v>0</v>
      </c>
    </row>
    <row r="613" spans="2:8" x14ac:dyDescent="0.2">
      <c r="B613" s="3" t="s">
        <v>140</v>
      </c>
      <c r="C613" s="3" t="s">
        <v>39</v>
      </c>
      <c r="D613" s="3" t="str">
        <f>VLOOKUP(C613,Countries!$B$3:$C$140,2,FALSE)</f>
        <v>Europe/Asia</v>
      </c>
      <c r="E613" s="3" t="s">
        <v>35</v>
      </c>
      <c r="F613" s="3" t="str">
        <f>VLOOKUP(E613,Countries!$B$3:$C$140,2,FALSE)</f>
        <v>Europe</v>
      </c>
      <c r="G613" s="4">
        <v>2</v>
      </c>
      <c r="H613" s="4">
        <v>0</v>
      </c>
    </row>
    <row r="614" spans="2:8" x14ac:dyDescent="0.2">
      <c r="B614" s="3" t="s">
        <v>140</v>
      </c>
      <c r="C614" s="3" t="s">
        <v>39</v>
      </c>
      <c r="D614" s="3" t="str">
        <f>VLOOKUP(C614,Countries!$B$3:$C$140,2,FALSE)</f>
        <v>Europe/Asia</v>
      </c>
      <c r="E614" s="3" t="s">
        <v>6</v>
      </c>
      <c r="F614" s="3" t="str">
        <f>VLOOKUP(E614,Countries!$B$3:$C$140,2,FALSE)</f>
        <v>Europe</v>
      </c>
      <c r="G614" s="4">
        <v>2</v>
      </c>
      <c r="H614" s="4">
        <v>0</v>
      </c>
    </row>
    <row r="615" spans="2:8" x14ac:dyDescent="0.2">
      <c r="B615" s="3" t="s">
        <v>140</v>
      </c>
      <c r="C615" s="3" t="s">
        <v>39</v>
      </c>
      <c r="D615" s="3" t="str">
        <f>VLOOKUP(C615,Countries!$B$3:$C$140,2,FALSE)</f>
        <v>Europe/Asia</v>
      </c>
      <c r="E615" s="3" t="s">
        <v>59</v>
      </c>
      <c r="F615" s="3" t="str">
        <f>VLOOKUP(E615,Countries!$B$3:$C$140,2,FALSE)</f>
        <v>Europe</v>
      </c>
      <c r="G615" s="4">
        <v>2</v>
      </c>
      <c r="H615" s="4">
        <v>0</v>
      </c>
    </row>
    <row r="616" spans="2:8" x14ac:dyDescent="0.2">
      <c r="B616" s="3" t="s">
        <v>140</v>
      </c>
      <c r="C616" s="3" t="s">
        <v>39</v>
      </c>
      <c r="D616" s="3" t="str">
        <f>VLOOKUP(C616,Countries!$B$3:$C$140,2,FALSE)</f>
        <v>Europe/Asia</v>
      </c>
      <c r="E616" s="3" t="s">
        <v>37</v>
      </c>
      <c r="F616" s="3" t="str">
        <f>VLOOKUP(E616,Countries!$B$3:$C$140,2,FALSE)</f>
        <v>Africa</v>
      </c>
      <c r="G616" s="4">
        <v>2</v>
      </c>
      <c r="H616" s="4">
        <v>0</v>
      </c>
    </row>
    <row r="617" spans="2:8" x14ac:dyDescent="0.2">
      <c r="B617" s="3" t="s">
        <v>140</v>
      </c>
      <c r="C617" s="3" t="s">
        <v>39</v>
      </c>
      <c r="D617" s="3" t="str">
        <f>VLOOKUP(C617,Countries!$B$3:$C$140,2,FALSE)</f>
        <v>Europe/Asia</v>
      </c>
      <c r="E617" s="3" t="s">
        <v>106</v>
      </c>
      <c r="F617" s="3" t="str">
        <f>VLOOKUP(E617,Countries!$B$3:$C$140,2,FALSE)</f>
        <v>Africa</v>
      </c>
      <c r="G617" s="4">
        <v>2</v>
      </c>
      <c r="H617" s="4">
        <v>0</v>
      </c>
    </row>
    <row r="618" spans="2:8" x14ac:dyDescent="0.2">
      <c r="B618" s="3" t="s">
        <v>140</v>
      </c>
      <c r="C618" s="3" t="s">
        <v>39</v>
      </c>
      <c r="D618" s="3" t="str">
        <f>VLOOKUP(C618,Countries!$B$3:$C$140,2,FALSE)</f>
        <v>Europe/Asia</v>
      </c>
      <c r="E618" s="3" t="s">
        <v>9</v>
      </c>
      <c r="F618" s="3" t="str">
        <f>VLOOKUP(E618,Countries!$B$3:$C$140,2,FALSE)</f>
        <v>Europe</v>
      </c>
      <c r="G618" s="4">
        <v>2</v>
      </c>
      <c r="H618" s="4">
        <v>0</v>
      </c>
    </row>
    <row r="619" spans="2:8" x14ac:dyDescent="0.2">
      <c r="B619" s="3" t="s">
        <v>140</v>
      </c>
      <c r="C619" s="3" t="s">
        <v>39</v>
      </c>
      <c r="D619" s="3" t="str">
        <f>VLOOKUP(C619,Countries!$B$3:$C$140,2,FALSE)</f>
        <v>Europe/Asia</v>
      </c>
      <c r="E619" s="3" t="s">
        <v>62</v>
      </c>
      <c r="F619" s="3" t="str">
        <f>VLOOKUP(E619,Countries!$B$3:$C$140,2,FALSE)</f>
        <v>Asia</v>
      </c>
      <c r="G619" s="4">
        <v>4</v>
      </c>
      <c r="H619" s="4">
        <v>0</v>
      </c>
    </row>
    <row r="620" spans="2:8" x14ac:dyDescent="0.2">
      <c r="B620" s="3" t="s">
        <v>140</v>
      </c>
      <c r="C620" s="3" t="s">
        <v>39</v>
      </c>
      <c r="D620" s="3" t="str">
        <f>VLOOKUP(C620,Countries!$B$3:$C$140,2,FALSE)</f>
        <v>Europe/Asia</v>
      </c>
      <c r="E620" s="3" t="s">
        <v>11</v>
      </c>
      <c r="F620" s="3" t="str">
        <f>VLOOKUP(E620,Countries!$B$3:$C$140,2,FALSE)</f>
        <v>Europe</v>
      </c>
      <c r="G620" s="4">
        <v>8</v>
      </c>
      <c r="H620" s="4">
        <v>0</v>
      </c>
    </row>
    <row r="621" spans="2:8" x14ac:dyDescent="0.2">
      <c r="B621" s="3" t="s">
        <v>140</v>
      </c>
      <c r="C621" s="3" t="s">
        <v>39</v>
      </c>
      <c r="D621" s="3" t="str">
        <f>VLOOKUP(C621,Countries!$B$3:$C$140,2,FALSE)</f>
        <v>Europe/Asia</v>
      </c>
      <c r="E621" s="3" t="s">
        <v>73</v>
      </c>
      <c r="F621" s="3" t="str">
        <f>VLOOKUP(E621,Countries!$B$3:$C$140,2,FALSE)</f>
        <v>Europe</v>
      </c>
      <c r="G621" s="4">
        <v>8</v>
      </c>
      <c r="H621" s="4">
        <v>0</v>
      </c>
    </row>
    <row r="622" spans="2:8" x14ac:dyDescent="0.2">
      <c r="B622" s="3" t="s">
        <v>140</v>
      </c>
      <c r="C622" s="3" t="s">
        <v>39</v>
      </c>
      <c r="D622" s="3" t="str">
        <f>VLOOKUP(C622,Countries!$B$3:$C$140,2,FALSE)</f>
        <v>Europe/Asia</v>
      </c>
      <c r="E622" s="3" t="s">
        <v>97</v>
      </c>
      <c r="F622" s="3" t="str">
        <f>VLOOKUP(E622,Countries!$B$3:$C$140,2,FALSE)</f>
        <v>Europe</v>
      </c>
      <c r="G622" s="4">
        <v>2</v>
      </c>
      <c r="H622" s="4">
        <v>0</v>
      </c>
    </row>
    <row r="623" spans="2:8" x14ac:dyDescent="0.2">
      <c r="B623" s="3" t="s">
        <v>140</v>
      </c>
      <c r="C623" s="3" t="s">
        <v>39</v>
      </c>
      <c r="D623" s="3" t="str">
        <f>VLOOKUP(C623,Countries!$B$3:$C$140,2,FALSE)</f>
        <v>Europe/Asia</v>
      </c>
      <c r="E623" s="3" t="s">
        <v>14</v>
      </c>
      <c r="F623" s="3" t="str">
        <f>VLOOKUP(E623,Countries!$B$3:$C$140,2,FALSE)</f>
        <v>Europe</v>
      </c>
      <c r="G623" s="4">
        <v>2</v>
      </c>
      <c r="H623" s="4">
        <v>0</v>
      </c>
    </row>
    <row r="624" spans="2:8" x14ac:dyDescent="0.2">
      <c r="B624" s="3" t="s">
        <v>140</v>
      </c>
      <c r="C624" s="3" t="s">
        <v>39</v>
      </c>
      <c r="D624" s="3" t="str">
        <f>VLOOKUP(C624,Countries!$B$3:$C$140,2,FALSE)</f>
        <v>Europe/Asia</v>
      </c>
      <c r="E624" s="3" t="s">
        <v>15</v>
      </c>
      <c r="F624" s="3" t="str">
        <f>VLOOKUP(E624,Countries!$B$3:$C$140,2,FALSE)</f>
        <v>Europe</v>
      </c>
      <c r="G624" s="4">
        <v>4</v>
      </c>
      <c r="H624" s="4">
        <v>0</v>
      </c>
    </row>
    <row r="625" spans="2:8" x14ac:dyDescent="0.2">
      <c r="B625" s="3" t="s">
        <v>140</v>
      </c>
      <c r="C625" s="3" t="s">
        <v>39</v>
      </c>
      <c r="D625" s="3" t="str">
        <f>VLOOKUP(C625,Countries!$B$3:$C$140,2,FALSE)</f>
        <v>Europe/Asia</v>
      </c>
      <c r="E625" s="3" t="s">
        <v>51</v>
      </c>
      <c r="F625" s="3" t="str">
        <f>VLOOKUP(E625,Countries!$B$3:$C$140,2,FALSE)</f>
        <v>Asia</v>
      </c>
      <c r="G625" s="4">
        <v>2</v>
      </c>
      <c r="H625" s="4">
        <v>64700.349901560003</v>
      </c>
    </row>
    <row r="626" spans="2:8" x14ac:dyDescent="0.2">
      <c r="B626" s="3" t="s">
        <v>140</v>
      </c>
      <c r="C626" s="3" t="s">
        <v>39</v>
      </c>
      <c r="D626" s="3" t="str">
        <f>VLOOKUP(C626,Countries!$B$3:$C$140,2,FALSE)</f>
        <v>Europe/Asia</v>
      </c>
      <c r="E626" s="3" t="s">
        <v>92</v>
      </c>
      <c r="F626" s="3" t="str">
        <f>VLOOKUP(E626,Countries!$B$3:$C$140,2,FALSE)</f>
        <v>Asia</v>
      </c>
      <c r="G626" s="4">
        <v>2</v>
      </c>
      <c r="H626" s="4">
        <v>0</v>
      </c>
    </row>
    <row r="627" spans="2:8" x14ac:dyDescent="0.2">
      <c r="B627" s="3" t="s">
        <v>140</v>
      </c>
      <c r="C627" s="3" t="s">
        <v>39</v>
      </c>
      <c r="D627" s="3" t="str">
        <f>VLOOKUP(C627,Countries!$B$3:$C$140,2,FALSE)</f>
        <v>Europe/Asia</v>
      </c>
      <c r="E627" s="3" t="s">
        <v>40</v>
      </c>
      <c r="F627" s="3" t="str">
        <f>VLOOKUP(E627,Countries!$B$3:$C$140,2,FALSE)</f>
        <v>Asia</v>
      </c>
      <c r="G627" s="4">
        <v>4</v>
      </c>
      <c r="H627" s="4">
        <v>0</v>
      </c>
    </row>
    <row r="628" spans="2:8" x14ac:dyDescent="0.2">
      <c r="B628" s="3" t="s">
        <v>140</v>
      </c>
      <c r="C628" s="3" t="s">
        <v>39</v>
      </c>
      <c r="D628" s="3" t="str">
        <f>VLOOKUP(C628,Countries!$B$3:$C$140,2,FALSE)</f>
        <v>Europe/Asia</v>
      </c>
      <c r="E628" s="3" t="s">
        <v>52</v>
      </c>
      <c r="F628" s="3" t="str">
        <f>VLOOKUP(E628,Countries!$B$3:$C$140,2,FALSE)</f>
        <v>Europe</v>
      </c>
      <c r="G628" s="4">
        <v>12</v>
      </c>
      <c r="H628" s="4">
        <v>0</v>
      </c>
    </row>
    <row r="629" spans="2:8" x14ac:dyDescent="0.2">
      <c r="B629" s="3" t="s">
        <v>140</v>
      </c>
      <c r="C629" s="3" t="s">
        <v>39</v>
      </c>
      <c r="D629" s="3" t="str">
        <f>VLOOKUP(C629,Countries!$B$3:$C$140,2,FALSE)</f>
        <v>Europe/Asia</v>
      </c>
      <c r="E629" s="3" t="s">
        <v>43</v>
      </c>
      <c r="F629" s="3" t="str">
        <f>VLOOKUP(E629,Countries!$B$3:$C$140,2,FALSE)</f>
        <v>Europe</v>
      </c>
      <c r="G629" s="4">
        <v>10</v>
      </c>
      <c r="H629" s="4">
        <v>0</v>
      </c>
    </row>
    <row r="630" spans="2:8" x14ac:dyDescent="0.2">
      <c r="B630" s="3" t="s">
        <v>140</v>
      </c>
      <c r="C630" s="3" t="s">
        <v>39</v>
      </c>
      <c r="D630" s="3" t="str">
        <f>VLOOKUP(C630,Countries!$B$3:$C$140,2,FALSE)</f>
        <v>Europe/Asia</v>
      </c>
      <c r="E630" s="3" t="s">
        <v>24</v>
      </c>
      <c r="F630" s="3" t="str">
        <f>VLOOKUP(E630,Countries!$B$3:$C$140,2,FALSE)</f>
        <v>Africa</v>
      </c>
      <c r="G630" s="4">
        <v>6</v>
      </c>
      <c r="H630" s="4">
        <v>0</v>
      </c>
    </row>
    <row r="631" spans="2:8" x14ac:dyDescent="0.2">
      <c r="B631" s="3" t="s">
        <v>140</v>
      </c>
      <c r="C631" s="3" t="s">
        <v>39</v>
      </c>
      <c r="D631" s="3" t="str">
        <f>VLOOKUP(C631,Countries!$B$3:$C$140,2,FALSE)</f>
        <v>Europe/Asia</v>
      </c>
      <c r="E631" s="3" t="s">
        <v>103</v>
      </c>
      <c r="F631" s="3" t="str">
        <f>VLOOKUP(E631,Countries!$B$3:$C$140,2,FALSE)</f>
        <v>Oceania</v>
      </c>
      <c r="G631" s="4">
        <v>2</v>
      </c>
      <c r="H631" s="4">
        <v>0</v>
      </c>
    </row>
    <row r="632" spans="2:8" x14ac:dyDescent="0.2">
      <c r="B632" s="3" t="s">
        <v>140</v>
      </c>
      <c r="C632" s="3" t="s">
        <v>39</v>
      </c>
      <c r="D632" s="3" t="str">
        <f>VLOOKUP(C632,Countries!$B$3:$C$140,2,FALSE)</f>
        <v>Europe/Asia</v>
      </c>
      <c r="E632" s="3" t="s">
        <v>54</v>
      </c>
      <c r="F632" s="3" t="str">
        <f>VLOOKUP(E632,Countries!$B$3:$C$140,2,FALSE)</f>
        <v>Europe</v>
      </c>
      <c r="G632" s="4">
        <v>2</v>
      </c>
      <c r="H632" s="4">
        <v>0</v>
      </c>
    </row>
    <row r="633" spans="2:8" x14ac:dyDescent="0.2">
      <c r="B633" s="3" t="s">
        <v>140</v>
      </c>
      <c r="C633" s="3" t="s">
        <v>39</v>
      </c>
      <c r="D633" s="3" t="str">
        <f>VLOOKUP(C633,Countries!$B$3:$C$140,2,FALSE)</f>
        <v>Europe/Asia</v>
      </c>
      <c r="E633" s="3" t="s">
        <v>25</v>
      </c>
      <c r="F633" s="3" t="str">
        <f>VLOOKUP(E633,Countries!$B$3:$C$140,2,FALSE)</f>
        <v>Europe</v>
      </c>
      <c r="G633" s="4">
        <v>2</v>
      </c>
      <c r="H633" s="4">
        <v>0</v>
      </c>
    </row>
    <row r="634" spans="2:8" x14ac:dyDescent="0.2">
      <c r="B634" s="3" t="s">
        <v>140</v>
      </c>
      <c r="C634" s="3" t="s">
        <v>39</v>
      </c>
      <c r="D634" s="3" t="str">
        <f>VLOOKUP(C634,Countries!$B$3:$C$140,2,FALSE)</f>
        <v>Europe/Asia</v>
      </c>
      <c r="E634" s="3" t="s">
        <v>46</v>
      </c>
      <c r="F634" s="3" t="str">
        <f>VLOOKUP(E634,Countries!$B$3:$C$140,2,FALSE)</f>
        <v>Europe/Asia</v>
      </c>
      <c r="G634" s="4">
        <v>14</v>
      </c>
      <c r="H634" s="4">
        <v>0</v>
      </c>
    </row>
    <row r="635" spans="2:8" x14ac:dyDescent="0.2">
      <c r="B635" s="3" t="s">
        <v>140</v>
      </c>
      <c r="C635" s="3" t="s">
        <v>39</v>
      </c>
      <c r="D635" s="3" t="str">
        <f>VLOOKUP(C635,Countries!$B$3:$C$140,2,FALSE)</f>
        <v>Europe/Asia</v>
      </c>
      <c r="E635" s="3" t="s">
        <v>28</v>
      </c>
      <c r="F635" s="3" t="str">
        <f>VLOOKUP(E635,Countries!$B$3:$C$140,2,FALSE)</f>
        <v>Europe</v>
      </c>
      <c r="G635" s="4">
        <v>2</v>
      </c>
      <c r="H635" s="4">
        <v>1210749.2835300001</v>
      </c>
    </row>
    <row r="636" spans="2:8" x14ac:dyDescent="0.2">
      <c r="B636" s="3" t="s">
        <v>140</v>
      </c>
      <c r="C636" s="3" t="s">
        <v>39</v>
      </c>
      <c r="D636" s="3" t="str">
        <f>VLOOKUP(C636,Countries!$B$3:$C$140,2,FALSE)</f>
        <v>Europe/Asia</v>
      </c>
      <c r="E636" s="3" t="s">
        <v>56</v>
      </c>
      <c r="F636" s="3" t="str">
        <f>VLOOKUP(E636,Countries!$B$3:$C$140,2,FALSE)</f>
        <v>Europe</v>
      </c>
      <c r="G636" s="4">
        <v>4</v>
      </c>
      <c r="H636" s="4">
        <v>0</v>
      </c>
    </row>
    <row r="637" spans="2:8" x14ac:dyDescent="0.2">
      <c r="B637" s="3" t="s">
        <v>140</v>
      </c>
      <c r="C637" s="3" t="s">
        <v>39</v>
      </c>
      <c r="D637" s="3" t="str">
        <f>VLOOKUP(C637,Countries!$B$3:$C$140,2,FALSE)</f>
        <v>Europe/Asia</v>
      </c>
      <c r="E637" s="3" t="s">
        <v>57</v>
      </c>
      <c r="F637" s="3" t="str">
        <f>VLOOKUP(E637,Countries!$B$3:$C$140,2,FALSE)</f>
        <v>Europe/Asia</v>
      </c>
      <c r="G637" s="4">
        <v>2</v>
      </c>
      <c r="H637" s="4">
        <v>0</v>
      </c>
    </row>
    <row r="638" spans="2:8" x14ac:dyDescent="0.2">
      <c r="B638" s="3" t="s">
        <v>140</v>
      </c>
      <c r="C638" s="3" t="s">
        <v>39</v>
      </c>
      <c r="D638" s="3" t="str">
        <f>VLOOKUP(C638,Countries!$B$3:$C$140,2,FALSE)</f>
        <v>Europe/Asia</v>
      </c>
      <c r="E638" s="3" t="s">
        <v>32</v>
      </c>
      <c r="F638" s="3" t="str">
        <f>VLOOKUP(E638,Countries!$B$3:$C$140,2,FALSE)</f>
        <v>Europe</v>
      </c>
      <c r="G638" s="4">
        <v>8</v>
      </c>
      <c r="H638" s="4">
        <v>300</v>
      </c>
    </row>
    <row r="639" spans="2:8" x14ac:dyDescent="0.2">
      <c r="B639" s="3" t="s">
        <v>140</v>
      </c>
      <c r="C639" s="3" t="s">
        <v>39</v>
      </c>
      <c r="D639" s="3" t="str">
        <f>VLOOKUP(C639,Countries!$B$3:$C$140,2,FALSE)</f>
        <v>Europe/Asia</v>
      </c>
      <c r="E639" s="3" t="s">
        <v>87</v>
      </c>
      <c r="F639" s="3" t="str">
        <f>VLOOKUP(E639,Countries!$B$3:$C$140,2,FALSE)</f>
        <v>Asia</v>
      </c>
      <c r="G639" s="4">
        <v>2</v>
      </c>
      <c r="H639" s="4">
        <v>0</v>
      </c>
    </row>
    <row r="640" spans="2:8" x14ac:dyDescent="0.2">
      <c r="B640" s="3" t="s">
        <v>140</v>
      </c>
      <c r="C640" s="3" t="s">
        <v>13</v>
      </c>
      <c r="D640" s="3" t="str">
        <f>VLOOKUP(C640,Countries!$B$3:$C$140,2,FALSE)</f>
        <v>Europe</v>
      </c>
      <c r="E640" s="3" t="s">
        <v>2</v>
      </c>
      <c r="F640" s="3" t="str">
        <f>VLOOKUP(E640,Countries!$B$3:$C$140,2,FALSE)</f>
        <v>Europe</v>
      </c>
      <c r="G640" s="4">
        <v>2</v>
      </c>
      <c r="H640" s="4">
        <v>0</v>
      </c>
    </row>
    <row r="641" spans="2:8" x14ac:dyDescent="0.2">
      <c r="B641" s="3" t="s">
        <v>140</v>
      </c>
      <c r="C641" s="3" t="s">
        <v>13</v>
      </c>
      <c r="D641" s="3" t="str">
        <f>VLOOKUP(C641,Countries!$B$3:$C$140,2,FALSE)</f>
        <v>Europe</v>
      </c>
      <c r="E641" s="3" t="s">
        <v>48</v>
      </c>
      <c r="F641" s="3" t="str">
        <f>VLOOKUP(E641,Countries!$B$3:$C$140,2,FALSE)</f>
        <v>Oceania</v>
      </c>
      <c r="G641" s="4">
        <v>8</v>
      </c>
      <c r="H641" s="4">
        <v>0</v>
      </c>
    </row>
    <row r="642" spans="2:8" x14ac:dyDescent="0.2">
      <c r="B642" s="3" t="s">
        <v>140</v>
      </c>
      <c r="C642" s="3" t="s">
        <v>13</v>
      </c>
      <c r="D642" s="3" t="str">
        <f>VLOOKUP(C642,Countries!$B$3:$C$140,2,FALSE)</f>
        <v>Europe</v>
      </c>
      <c r="E642" s="3" t="s">
        <v>3</v>
      </c>
      <c r="F642" s="3" t="str">
        <f>VLOOKUP(E642,Countries!$B$3:$C$140,2,FALSE)</f>
        <v>Europe</v>
      </c>
      <c r="G642" s="4">
        <v>48</v>
      </c>
      <c r="H642" s="4">
        <v>23629790.183560502</v>
      </c>
    </row>
    <row r="643" spans="2:8" x14ac:dyDescent="0.2">
      <c r="B643" s="3" t="s">
        <v>140</v>
      </c>
      <c r="C643" s="3" t="s">
        <v>13</v>
      </c>
      <c r="D643" s="3" t="str">
        <f>VLOOKUP(C643,Countries!$B$3:$C$140,2,FALSE)</f>
        <v>Europe</v>
      </c>
      <c r="E643" s="3" t="s">
        <v>35</v>
      </c>
      <c r="F643" s="3" t="str">
        <f>VLOOKUP(E643,Countries!$B$3:$C$140,2,FALSE)</f>
        <v>Europe</v>
      </c>
      <c r="G643" s="4">
        <v>16</v>
      </c>
      <c r="H643" s="4">
        <v>21995282.686625939</v>
      </c>
    </row>
    <row r="644" spans="2:8" x14ac:dyDescent="0.2">
      <c r="B644" s="3" t="s">
        <v>140</v>
      </c>
      <c r="C644" s="3" t="s">
        <v>13</v>
      </c>
      <c r="D644" s="3" t="str">
        <f>VLOOKUP(C644,Countries!$B$3:$C$140,2,FALSE)</f>
        <v>Europe</v>
      </c>
      <c r="E644" s="3" t="s">
        <v>6</v>
      </c>
      <c r="F644" s="3" t="str">
        <f>VLOOKUP(E644,Countries!$B$3:$C$140,2,FALSE)</f>
        <v>Europe</v>
      </c>
      <c r="G644" s="4">
        <v>8</v>
      </c>
      <c r="H644" s="4">
        <v>80716.618902000002</v>
      </c>
    </row>
    <row r="645" spans="2:8" x14ac:dyDescent="0.2">
      <c r="B645" s="3" t="s">
        <v>140</v>
      </c>
      <c r="C645" s="3" t="s">
        <v>13</v>
      </c>
      <c r="D645" s="3" t="str">
        <f>VLOOKUP(C645,Countries!$B$3:$C$140,2,FALSE)</f>
        <v>Europe</v>
      </c>
      <c r="E645" s="3" t="s">
        <v>59</v>
      </c>
      <c r="F645" s="3" t="str">
        <f>VLOOKUP(E645,Countries!$B$3:$C$140,2,FALSE)</f>
        <v>Europe</v>
      </c>
      <c r="G645" s="4">
        <v>2</v>
      </c>
      <c r="H645" s="4">
        <v>0</v>
      </c>
    </row>
    <row r="646" spans="2:8" x14ac:dyDescent="0.2">
      <c r="B646" s="3" t="s">
        <v>140</v>
      </c>
      <c r="C646" s="3" t="s">
        <v>13</v>
      </c>
      <c r="D646" s="3" t="str">
        <f>VLOOKUP(C646,Countries!$B$3:$C$140,2,FALSE)</f>
        <v>Europe</v>
      </c>
      <c r="E646" s="3" t="s">
        <v>7</v>
      </c>
      <c r="F646" s="3" t="str">
        <f>VLOOKUP(E646,Countries!$B$3:$C$140,2,FALSE)</f>
        <v>South America</v>
      </c>
      <c r="G646" s="4">
        <v>8</v>
      </c>
      <c r="H646" s="4">
        <v>0</v>
      </c>
    </row>
    <row r="647" spans="2:8" x14ac:dyDescent="0.2">
      <c r="B647" s="3" t="s">
        <v>140</v>
      </c>
      <c r="C647" s="3" t="s">
        <v>13</v>
      </c>
      <c r="D647" s="3" t="str">
        <f>VLOOKUP(C647,Countries!$B$3:$C$140,2,FALSE)</f>
        <v>Europe</v>
      </c>
      <c r="E647" s="3" t="s">
        <v>36</v>
      </c>
      <c r="F647" s="3" t="str">
        <f>VLOOKUP(E647,Countries!$B$3:$C$140,2,FALSE)</f>
        <v>Europe</v>
      </c>
      <c r="G647" s="4">
        <v>10</v>
      </c>
      <c r="H647" s="4">
        <v>11776545.744711</v>
      </c>
    </row>
    <row r="648" spans="2:8" x14ac:dyDescent="0.2">
      <c r="B648" s="3" t="s">
        <v>140</v>
      </c>
      <c r="C648" s="3" t="s">
        <v>13</v>
      </c>
      <c r="D648" s="3" t="str">
        <f>VLOOKUP(C648,Countries!$B$3:$C$140,2,FALSE)</f>
        <v>Europe</v>
      </c>
      <c r="E648" s="3" t="s">
        <v>8</v>
      </c>
      <c r="F648" s="3" t="str">
        <f>VLOOKUP(E648,Countries!$B$3:$C$140,2,FALSE)</f>
        <v>North America</v>
      </c>
      <c r="G648" s="4">
        <v>6</v>
      </c>
      <c r="H648" s="4">
        <v>0</v>
      </c>
    </row>
    <row r="649" spans="2:8" x14ac:dyDescent="0.2">
      <c r="B649" s="3" t="s">
        <v>140</v>
      </c>
      <c r="C649" s="3" t="s">
        <v>13</v>
      </c>
      <c r="D649" s="3" t="str">
        <f>VLOOKUP(C649,Countries!$B$3:$C$140,2,FALSE)</f>
        <v>Europe</v>
      </c>
      <c r="E649" s="3" t="s">
        <v>89</v>
      </c>
      <c r="F649" s="3" t="str">
        <f>VLOOKUP(E649,Countries!$B$3:$C$140,2,FALSE)</f>
        <v>Asia</v>
      </c>
      <c r="G649" s="4">
        <v>2</v>
      </c>
      <c r="H649" s="4">
        <v>0</v>
      </c>
    </row>
    <row r="650" spans="2:8" x14ac:dyDescent="0.2">
      <c r="B650" s="3" t="s">
        <v>140</v>
      </c>
      <c r="C650" s="3" t="s">
        <v>13</v>
      </c>
      <c r="D650" s="3" t="str">
        <f>VLOOKUP(C650,Countries!$B$3:$C$140,2,FALSE)</f>
        <v>Europe</v>
      </c>
      <c r="E650" s="3" t="s">
        <v>106</v>
      </c>
      <c r="F650" s="3" t="str">
        <f>VLOOKUP(E650,Countries!$B$3:$C$140,2,FALSE)</f>
        <v>Africa</v>
      </c>
      <c r="G650" s="4">
        <v>2</v>
      </c>
      <c r="H650" s="4">
        <v>0</v>
      </c>
    </row>
    <row r="651" spans="2:8" x14ac:dyDescent="0.2">
      <c r="B651" s="3" t="s">
        <v>140</v>
      </c>
      <c r="C651" s="3" t="s">
        <v>13</v>
      </c>
      <c r="D651" s="3" t="str">
        <f>VLOOKUP(C651,Countries!$B$3:$C$140,2,FALSE)</f>
        <v>Europe</v>
      </c>
      <c r="E651" s="3" t="s">
        <v>9</v>
      </c>
      <c r="F651" s="3" t="str">
        <f>VLOOKUP(E651,Countries!$B$3:$C$140,2,FALSE)</f>
        <v>Europe</v>
      </c>
      <c r="G651" s="4">
        <v>2</v>
      </c>
      <c r="H651" s="4">
        <v>1210749.2835300001</v>
      </c>
    </row>
    <row r="652" spans="2:8" x14ac:dyDescent="0.2">
      <c r="B652" s="3" t="s">
        <v>140</v>
      </c>
      <c r="C652" s="3" t="s">
        <v>13</v>
      </c>
      <c r="D652" s="3" t="str">
        <f>VLOOKUP(C652,Countries!$B$3:$C$140,2,FALSE)</f>
        <v>Europe</v>
      </c>
      <c r="E652" s="3" t="s">
        <v>62</v>
      </c>
      <c r="F652" s="3" t="str">
        <f>VLOOKUP(E652,Countries!$B$3:$C$140,2,FALSE)</f>
        <v>Asia</v>
      </c>
      <c r="G652" s="4">
        <v>8</v>
      </c>
      <c r="H652" s="4">
        <v>201791.54725499998</v>
      </c>
    </row>
    <row r="653" spans="2:8" x14ac:dyDescent="0.2">
      <c r="B653" s="3" t="s">
        <v>140</v>
      </c>
      <c r="C653" s="3" t="s">
        <v>13</v>
      </c>
      <c r="D653" s="3" t="str">
        <f>VLOOKUP(C653,Countries!$B$3:$C$140,2,FALSE)</f>
        <v>Europe</v>
      </c>
      <c r="E653" s="3" t="s">
        <v>49</v>
      </c>
      <c r="F653" s="3" t="str">
        <f>VLOOKUP(E653,Countries!$B$3:$C$140,2,FALSE)</f>
        <v>Europe</v>
      </c>
      <c r="G653" s="4">
        <v>22</v>
      </c>
      <c r="H653" s="4">
        <v>36781352.868751496</v>
      </c>
    </row>
    <row r="654" spans="2:8" x14ac:dyDescent="0.2">
      <c r="B654" s="3" t="s">
        <v>140</v>
      </c>
      <c r="C654" s="3" t="s">
        <v>13</v>
      </c>
      <c r="D654" s="3" t="str">
        <f>VLOOKUP(C654,Countries!$B$3:$C$140,2,FALSE)</f>
        <v>Europe</v>
      </c>
      <c r="E654" s="3" t="s">
        <v>10</v>
      </c>
      <c r="F654" s="3" t="str">
        <f>VLOOKUP(E654,Countries!$B$3:$C$140,2,FALSE)</f>
        <v>Europe</v>
      </c>
      <c r="G654" s="4">
        <v>16</v>
      </c>
      <c r="H654" s="4">
        <v>20209423.457588248</v>
      </c>
    </row>
    <row r="655" spans="2:8" x14ac:dyDescent="0.2">
      <c r="B655" s="3" t="s">
        <v>140</v>
      </c>
      <c r="C655" s="3" t="s">
        <v>13</v>
      </c>
      <c r="D655" s="3" t="str">
        <f>VLOOKUP(C655,Countries!$B$3:$C$140,2,FALSE)</f>
        <v>Europe</v>
      </c>
      <c r="E655" s="3" t="s">
        <v>107</v>
      </c>
      <c r="F655" s="3" t="str">
        <f>VLOOKUP(E655,Countries!$B$3:$C$140,2,FALSE)</f>
        <v>South America</v>
      </c>
      <c r="G655" s="4">
        <v>2</v>
      </c>
      <c r="H655" s="4">
        <v>0</v>
      </c>
    </row>
    <row r="656" spans="2:8" x14ac:dyDescent="0.2">
      <c r="B656" s="3" t="s">
        <v>140</v>
      </c>
      <c r="C656" s="3" t="s">
        <v>13</v>
      </c>
      <c r="D656" s="3" t="str">
        <f>VLOOKUP(C656,Countries!$B$3:$C$140,2,FALSE)</f>
        <v>Europe</v>
      </c>
      <c r="E656" s="3" t="s">
        <v>50</v>
      </c>
      <c r="F656" s="3" t="str">
        <f>VLOOKUP(E656,Countries!$B$3:$C$140,2,FALSE)</f>
        <v>Europe</v>
      </c>
      <c r="G656" s="4">
        <v>46</v>
      </c>
      <c r="H656" s="4">
        <v>123528507.32770501</v>
      </c>
    </row>
    <row r="657" spans="2:8" x14ac:dyDescent="0.2">
      <c r="B657" s="3" t="s">
        <v>140</v>
      </c>
      <c r="C657" s="3" t="s">
        <v>13</v>
      </c>
      <c r="D657" s="3" t="str">
        <f>VLOOKUP(C657,Countries!$B$3:$C$140,2,FALSE)</f>
        <v>Europe</v>
      </c>
      <c r="E657" s="3" t="s">
        <v>11</v>
      </c>
      <c r="F657" s="3" t="str">
        <f>VLOOKUP(E657,Countries!$B$3:$C$140,2,FALSE)</f>
        <v>Europe</v>
      </c>
      <c r="G657" s="4">
        <v>18</v>
      </c>
      <c r="H657" s="4">
        <v>605374.64176500007</v>
      </c>
    </row>
    <row r="658" spans="2:8" x14ac:dyDescent="0.2">
      <c r="B658" s="3" t="s">
        <v>140</v>
      </c>
      <c r="C658" s="3" t="s">
        <v>13</v>
      </c>
      <c r="D658" s="3" t="str">
        <f>VLOOKUP(C658,Countries!$B$3:$C$140,2,FALSE)</f>
        <v>Europe</v>
      </c>
      <c r="E658" s="3" t="s">
        <v>73</v>
      </c>
      <c r="F658" s="3" t="str">
        <f>VLOOKUP(E658,Countries!$B$3:$C$140,2,FALSE)</f>
        <v>Europe</v>
      </c>
      <c r="G658" s="4">
        <v>14</v>
      </c>
      <c r="H658" s="4">
        <v>10089577.362749999</v>
      </c>
    </row>
    <row r="659" spans="2:8" x14ac:dyDescent="0.2">
      <c r="B659" s="3" t="s">
        <v>140</v>
      </c>
      <c r="C659" s="3" t="s">
        <v>13</v>
      </c>
      <c r="D659" s="3" t="str">
        <f>VLOOKUP(C659,Countries!$B$3:$C$140,2,FALSE)</f>
        <v>Europe</v>
      </c>
      <c r="E659" s="3" t="s">
        <v>12</v>
      </c>
      <c r="F659" s="3" t="str">
        <f>VLOOKUP(E659,Countries!$B$3:$C$140,2,FALSE)</f>
        <v>Europe</v>
      </c>
      <c r="G659" s="4">
        <v>36</v>
      </c>
      <c r="H659" s="4">
        <v>4318339.1112569999</v>
      </c>
    </row>
    <row r="660" spans="2:8" x14ac:dyDescent="0.2">
      <c r="B660" s="3" t="s">
        <v>140</v>
      </c>
      <c r="C660" s="3" t="s">
        <v>13</v>
      </c>
      <c r="D660" s="3" t="str">
        <f>VLOOKUP(C660,Countries!$B$3:$C$140,2,FALSE)</f>
        <v>Europe</v>
      </c>
      <c r="E660" s="3" t="s">
        <v>39</v>
      </c>
      <c r="F660" s="3" t="str">
        <f>VLOOKUP(E660,Countries!$B$3:$C$140,2,FALSE)</f>
        <v>Europe/Asia</v>
      </c>
      <c r="G660" s="4">
        <v>2</v>
      </c>
      <c r="H660" s="4">
        <v>1614332.3780399999</v>
      </c>
    </row>
    <row r="661" spans="2:8" x14ac:dyDescent="0.2">
      <c r="B661" s="3" t="s">
        <v>140</v>
      </c>
      <c r="C661" s="3" t="s">
        <v>13</v>
      </c>
      <c r="D661" s="3" t="str">
        <f>VLOOKUP(C661,Countries!$B$3:$C$140,2,FALSE)</f>
        <v>Europe</v>
      </c>
      <c r="E661" s="3" t="s">
        <v>14</v>
      </c>
      <c r="F661" s="3" t="str">
        <f>VLOOKUP(E661,Countries!$B$3:$C$140,2,FALSE)</f>
        <v>Europe</v>
      </c>
      <c r="G661" s="4">
        <v>22</v>
      </c>
      <c r="H661" s="4">
        <v>20582737.820009999</v>
      </c>
    </row>
    <row r="662" spans="2:8" x14ac:dyDescent="0.2">
      <c r="B662" s="3" t="s">
        <v>140</v>
      </c>
      <c r="C662" s="3" t="s">
        <v>13</v>
      </c>
      <c r="D662" s="3" t="str">
        <f>VLOOKUP(C662,Countries!$B$3:$C$140,2,FALSE)</f>
        <v>Europe</v>
      </c>
      <c r="E662" s="3" t="s">
        <v>15</v>
      </c>
      <c r="F662" s="3" t="str">
        <f>VLOOKUP(E662,Countries!$B$3:$C$140,2,FALSE)</f>
        <v>Europe</v>
      </c>
      <c r="G662" s="4">
        <v>6</v>
      </c>
      <c r="H662" s="4">
        <v>0</v>
      </c>
    </row>
    <row r="663" spans="2:8" x14ac:dyDescent="0.2">
      <c r="B663" s="3" t="s">
        <v>140</v>
      </c>
      <c r="C663" s="3" t="s">
        <v>13</v>
      </c>
      <c r="D663" s="3" t="str">
        <f>VLOOKUP(C663,Countries!$B$3:$C$140,2,FALSE)</f>
        <v>Europe</v>
      </c>
      <c r="E663" s="3" t="s">
        <v>16</v>
      </c>
      <c r="F663" s="3" t="str">
        <f>VLOOKUP(E663,Countries!$B$3:$C$140,2,FALSE)</f>
        <v>Asia</v>
      </c>
      <c r="G663" s="4">
        <v>2</v>
      </c>
      <c r="H663" s="4">
        <v>0</v>
      </c>
    </row>
    <row r="664" spans="2:8" x14ac:dyDescent="0.2">
      <c r="B664" s="3" t="s">
        <v>140</v>
      </c>
      <c r="C664" s="3" t="s">
        <v>13</v>
      </c>
      <c r="D664" s="3" t="str">
        <f>VLOOKUP(C664,Countries!$B$3:$C$140,2,FALSE)</f>
        <v>Europe</v>
      </c>
      <c r="E664" s="3" t="s">
        <v>75</v>
      </c>
      <c r="F664" s="3" t="str">
        <f>VLOOKUP(E664,Countries!$B$3:$C$140,2,FALSE)</f>
        <v>Europe</v>
      </c>
      <c r="G664" s="4">
        <v>2</v>
      </c>
      <c r="H664" s="4">
        <v>605374.64176500007</v>
      </c>
    </row>
    <row r="665" spans="2:8" x14ac:dyDescent="0.2">
      <c r="B665" s="3" t="s">
        <v>140</v>
      </c>
      <c r="C665" s="3" t="s">
        <v>13</v>
      </c>
      <c r="D665" s="3" t="str">
        <f>VLOOKUP(C665,Countries!$B$3:$C$140,2,FALSE)</f>
        <v>Europe</v>
      </c>
      <c r="E665" s="3" t="s">
        <v>51</v>
      </c>
      <c r="F665" s="3" t="str">
        <f>VLOOKUP(E665,Countries!$B$3:$C$140,2,FALSE)</f>
        <v>Asia</v>
      </c>
      <c r="G665" s="4">
        <v>10</v>
      </c>
      <c r="H665" s="4">
        <v>13116450.571575001</v>
      </c>
    </row>
    <row r="666" spans="2:8" x14ac:dyDescent="0.2">
      <c r="B666" s="3" t="s">
        <v>140</v>
      </c>
      <c r="C666" s="3" t="s">
        <v>13</v>
      </c>
      <c r="D666" s="3" t="str">
        <f>VLOOKUP(C666,Countries!$B$3:$C$140,2,FALSE)</f>
        <v>Europe</v>
      </c>
      <c r="E666" s="3" t="s">
        <v>17</v>
      </c>
      <c r="F666" s="3" t="str">
        <f>VLOOKUP(E666,Countries!$B$3:$C$140,2,FALSE)</f>
        <v>Europe</v>
      </c>
      <c r="G666" s="4">
        <v>18</v>
      </c>
      <c r="H666" s="4">
        <v>42455533.037452199</v>
      </c>
    </row>
    <row r="667" spans="2:8" x14ac:dyDescent="0.2">
      <c r="B667" s="3" t="s">
        <v>140</v>
      </c>
      <c r="C667" s="3" t="s">
        <v>13</v>
      </c>
      <c r="D667" s="3" t="str">
        <f>VLOOKUP(C667,Countries!$B$3:$C$140,2,FALSE)</f>
        <v>Europe</v>
      </c>
      <c r="E667" s="3" t="s">
        <v>92</v>
      </c>
      <c r="F667" s="3" t="str">
        <f>VLOOKUP(E667,Countries!$B$3:$C$140,2,FALSE)</f>
        <v>Asia</v>
      </c>
      <c r="G667" s="4">
        <v>8</v>
      </c>
      <c r="H667" s="4">
        <v>6962096.4108045604</v>
      </c>
    </row>
    <row r="668" spans="2:8" x14ac:dyDescent="0.2">
      <c r="B668" s="3" t="s">
        <v>140</v>
      </c>
      <c r="C668" s="3" t="s">
        <v>13</v>
      </c>
      <c r="D668" s="3" t="str">
        <f>VLOOKUP(C668,Countries!$B$3:$C$140,2,FALSE)</f>
        <v>Europe</v>
      </c>
      <c r="E668" s="3" t="s">
        <v>40</v>
      </c>
      <c r="F668" s="3" t="str">
        <f>VLOOKUP(E668,Countries!$B$3:$C$140,2,FALSE)</f>
        <v>Asia</v>
      </c>
      <c r="G668" s="4">
        <v>2</v>
      </c>
      <c r="H668" s="4">
        <v>0</v>
      </c>
    </row>
    <row r="669" spans="2:8" x14ac:dyDescent="0.2">
      <c r="B669" s="3" t="s">
        <v>140</v>
      </c>
      <c r="C669" s="3" t="s">
        <v>13</v>
      </c>
      <c r="D669" s="3" t="str">
        <f>VLOOKUP(C669,Countries!$B$3:$C$140,2,FALSE)</f>
        <v>Europe</v>
      </c>
      <c r="E669" s="3" t="s">
        <v>93</v>
      </c>
      <c r="F669" s="3" t="str">
        <f>VLOOKUP(E669,Countries!$B$3:$C$140,2,FALSE)</f>
        <v>Asia</v>
      </c>
      <c r="G669" s="4">
        <v>4</v>
      </c>
      <c r="H669" s="4">
        <v>0</v>
      </c>
    </row>
    <row r="670" spans="2:8" x14ac:dyDescent="0.2">
      <c r="B670" s="3" t="s">
        <v>140</v>
      </c>
      <c r="C670" s="3" t="s">
        <v>13</v>
      </c>
      <c r="D670" s="3" t="str">
        <f>VLOOKUP(C670,Countries!$B$3:$C$140,2,FALSE)</f>
        <v>Europe</v>
      </c>
      <c r="E670" s="3" t="s">
        <v>19</v>
      </c>
      <c r="F670" s="3" t="str">
        <f>VLOOKUP(E670,Countries!$B$3:$C$140,2,FALSE)</f>
        <v>Asia</v>
      </c>
      <c r="G670" s="4">
        <v>4</v>
      </c>
      <c r="H670" s="4">
        <v>0</v>
      </c>
    </row>
    <row r="671" spans="2:8" x14ac:dyDescent="0.2">
      <c r="B671" s="3" t="s">
        <v>140</v>
      </c>
      <c r="C671" s="3" t="s">
        <v>13</v>
      </c>
      <c r="D671" s="3" t="str">
        <f>VLOOKUP(C671,Countries!$B$3:$C$140,2,FALSE)</f>
        <v>Europe</v>
      </c>
      <c r="E671" s="3" t="s">
        <v>77</v>
      </c>
      <c r="F671" s="3" t="str">
        <f>VLOOKUP(E671,Countries!$B$3:$C$140,2,FALSE)</f>
        <v>Europe</v>
      </c>
      <c r="G671" s="4">
        <v>6</v>
      </c>
      <c r="H671" s="4">
        <v>0</v>
      </c>
    </row>
    <row r="672" spans="2:8" x14ac:dyDescent="0.2">
      <c r="B672" s="3" t="s">
        <v>140</v>
      </c>
      <c r="C672" s="3" t="s">
        <v>13</v>
      </c>
      <c r="D672" s="3" t="str">
        <f>VLOOKUP(C672,Countries!$B$3:$C$140,2,FALSE)</f>
        <v>Europe</v>
      </c>
      <c r="E672" s="3" t="s">
        <v>52</v>
      </c>
      <c r="F672" s="3" t="str">
        <f>VLOOKUP(E672,Countries!$B$3:$C$140,2,FALSE)</f>
        <v>Europe</v>
      </c>
      <c r="G672" s="4">
        <v>2</v>
      </c>
      <c r="H672" s="4">
        <v>0</v>
      </c>
    </row>
    <row r="673" spans="2:8" x14ac:dyDescent="0.2">
      <c r="B673" s="3" t="s">
        <v>140</v>
      </c>
      <c r="C673" s="3" t="s">
        <v>13</v>
      </c>
      <c r="D673" s="3" t="str">
        <f>VLOOKUP(C673,Countries!$B$3:$C$140,2,FALSE)</f>
        <v>Europe</v>
      </c>
      <c r="E673" s="3" t="s">
        <v>94</v>
      </c>
      <c r="F673" s="3" t="str">
        <f>VLOOKUP(E673,Countries!$B$3:$C$140,2,FALSE)</f>
        <v>North America</v>
      </c>
      <c r="G673" s="4">
        <v>2</v>
      </c>
      <c r="H673" s="4">
        <v>1210749.2835300001</v>
      </c>
    </row>
    <row r="674" spans="2:8" x14ac:dyDescent="0.2">
      <c r="B674" s="3" t="s">
        <v>140</v>
      </c>
      <c r="C674" s="3" t="s">
        <v>13</v>
      </c>
      <c r="D674" s="3" t="str">
        <f>VLOOKUP(C674,Countries!$B$3:$C$140,2,FALSE)</f>
        <v>Europe</v>
      </c>
      <c r="E674" s="3" t="s">
        <v>21</v>
      </c>
      <c r="F674" s="3" t="str">
        <f>VLOOKUP(E674,Countries!$B$3:$C$140,2,FALSE)</f>
        <v>Europe</v>
      </c>
      <c r="G674" s="4">
        <v>2</v>
      </c>
      <c r="H674" s="4">
        <v>1172536.9215299999</v>
      </c>
    </row>
    <row r="675" spans="2:8" x14ac:dyDescent="0.2">
      <c r="B675" s="3" t="s">
        <v>140</v>
      </c>
      <c r="C675" s="3" t="s">
        <v>13</v>
      </c>
      <c r="D675" s="3" t="str">
        <f>VLOOKUP(C675,Countries!$B$3:$C$140,2,FALSE)</f>
        <v>Europe</v>
      </c>
      <c r="E675" s="3" t="s">
        <v>22</v>
      </c>
      <c r="F675" s="3" t="str">
        <f>VLOOKUP(E675,Countries!$B$3:$C$140,2,FALSE)</f>
        <v>Europe</v>
      </c>
      <c r="G675" s="4">
        <v>2</v>
      </c>
      <c r="H675" s="4">
        <v>0</v>
      </c>
    </row>
    <row r="676" spans="2:8" x14ac:dyDescent="0.2">
      <c r="B676" s="3" t="s">
        <v>140</v>
      </c>
      <c r="C676" s="3" t="s">
        <v>13</v>
      </c>
      <c r="D676" s="3" t="str">
        <f>VLOOKUP(C676,Countries!$B$3:$C$140,2,FALSE)</f>
        <v>Europe</v>
      </c>
      <c r="E676" s="3" t="s">
        <v>53</v>
      </c>
      <c r="F676" s="3" t="str">
        <f>VLOOKUP(E676,Countries!$B$3:$C$140,2,FALSE)</f>
        <v>Europe</v>
      </c>
      <c r="G676" s="4">
        <v>32</v>
      </c>
      <c r="H676" s="4">
        <v>10644504.117701251</v>
      </c>
    </row>
    <row r="677" spans="2:8" x14ac:dyDescent="0.2">
      <c r="B677" s="3" t="s">
        <v>140</v>
      </c>
      <c r="C677" s="3" t="s">
        <v>13</v>
      </c>
      <c r="D677" s="3" t="str">
        <f>VLOOKUP(C677,Countries!$B$3:$C$140,2,FALSE)</f>
        <v>Europe</v>
      </c>
      <c r="E677" s="3" t="s">
        <v>44</v>
      </c>
      <c r="F677" s="3" t="str">
        <f>VLOOKUP(E677,Countries!$B$3:$C$140,2,FALSE)</f>
        <v>Europe</v>
      </c>
      <c r="G677" s="4">
        <v>10</v>
      </c>
      <c r="H677" s="4">
        <v>18322672.490754001</v>
      </c>
    </row>
    <row r="678" spans="2:8" x14ac:dyDescent="0.2">
      <c r="B678" s="3" t="s">
        <v>140</v>
      </c>
      <c r="C678" s="3" t="s">
        <v>13</v>
      </c>
      <c r="D678" s="3" t="str">
        <f>VLOOKUP(C678,Countries!$B$3:$C$140,2,FALSE)</f>
        <v>Europe</v>
      </c>
      <c r="E678" s="3" t="s">
        <v>54</v>
      </c>
      <c r="F678" s="3" t="str">
        <f>VLOOKUP(E678,Countries!$B$3:$C$140,2,FALSE)</f>
        <v>Europe</v>
      </c>
      <c r="G678" s="4">
        <v>26</v>
      </c>
      <c r="H678" s="4">
        <v>22570880.36728086</v>
      </c>
    </row>
    <row r="679" spans="2:8" x14ac:dyDescent="0.2">
      <c r="B679" s="3" t="s">
        <v>140</v>
      </c>
      <c r="C679" s="3" t="s">
        <v>13</v>
      </c>
      <c r="D679" s="3" t="str">
        <f>VLOOKUP(C679,Countries!$B$3:$C$140,2,FALSE)</f>
        <v>Europe</v>
      </c>
      <c r="E679" s="3" t="s">
        <v>25</v>
      </c>
      <c r="F679" s="3" t="str">
        <f>VLOOKUP(E679,Countries!$B$3:$C$140,2,FALSE)</f>
        <v>Europe</v>
      </c>
      <c r="G679" s="4">
        <v>16</v>
      </c>
      <c r="H679" s="4">
        <v>17095779.883443601</v>
      </c>
    </row>
    <row r="680" spans="2:8" x14ac:dyDescent="0.2">
      <c r="B680" s="3" t="s">
        <v>140</v>
      </c>
      <c r="C680" s="3" t="s">
        <v>13</v>
      </c>
      <c r="D680" s="3" t="str">
        <f>VLOOKUP(C680,Countries!$B$3:$C$140,2,FALSE)</f>
        <v>Europe</v>
      </c>
      <c r="E680" s="3" t="s">
        <v>26</v>
      </c>
      <c r="F680" s="3" t="str">
        <f>VLOOKUP(E680,Countries!$B$3:$C$140,2,FALSE)</f>
        <v>Europe</v>
      </c>
      <c r="G680" s="4">
        <v>2</v>
      </c>
      <c r="H680" s="4">
        <v>1840338.9109656001</v>
      </c>
    </row>
    <row r="681" spans="2:8" x14ac:dyDescent="0.2">
      <c r="B681" s="3" t="s">
        <v>140</v>
      </c>
      <c r="C681" s="3" t="s">
        <v>13</v>
      </c>
      <c r="D681" s="3" t="str">
        <f>VLOOKUP(C681,Countries!$B$3:$C$140,2,FALSE)</f>
        <v>Europe</v>
      </c>
      <c r="E681" s="3" t="s">
        <v>82</v>
      </c>
      <c r="F681" s="3" t="e">
        <f>VLOOKUP(E681,Countries!$B$3:$C$140,2,FALSE)</f>
        <v>#N/A</v>
      </c>
      <c r="G681" s="4">
        <v>4</v>
      </c>
      <c r="H681" s="4">
        <v>6053746.4176500002</v>
      </c>
    </row>
    <row r="682" spans="2:8" x14ac:dyDescent="0.2">
      <c r="B682" s="3" t="s">
        <v>140</v>
      </c>
      <c r="C682" s="3" t="s">
        <v>13</v>
      </c>
      <c r="D682" s="3" t="str">
        <f>VLOOKUP(C682,Countries!$B$3:$C$140,2,FALSE)</f>
        <v>Europe</v>
      </c>
      <c r="E682" s="3" t="s">
        <v>46</v>
      </c>
      <c r="F682" s="3" t="str">
        <f>VLOOKUP(E682,Countries!$B$3:$C$140,2,FALSE)</f>
        <v>Europe/Asia</v>
      </c>
      <c r="G682" s="4">
        <v>2</v>
      </c>
      <c r="H682" s="4">
        <v>928241.1173729999</v>
      </c>
    </row>
    <row r="683" spans="2:8" x14ac:dyDescent="0.2">
      <c r="B683" s="3" t="s">
        <v>140</v>
      </c>
      <c r="C683" s="3" t="s">
        <v>13</v>
      </c>
      <c r="D683" s="3" t="str">
        <f>VLOOKUP(C683,Countries!$B$3:$C$140,2,FALSE)</f>
        <v>Europe</v>
      </c>
      <c r="E683" s="3" t="s">
        <v>55</v>
      </c>
      <c r="F683" s="3" t="str">
        <f>VLOOKUP(E683,Countries!$B$3:$C$140,2,FALSE)</f>
        <v>Europe</v>
      </c>
      <c r="G683" s="4">
        <v>6</v>
      </c>
      <c r="H683" s="4">
        <v>0</v>
      </c>
    </row>
    <row r="684" spans="2:8" x14ac:dyDescent="0.2">
      <c r="B684" s="3" t="s">
        <v>140</v>
      </c>
      <c r="C684" s="3" t="s">
        <v>13</v>
      </c>
      <c r="D684" s="3" t="str">
        <f>VLOOKUP(C684,Countries!$B$3:$C$140,2,FALSE)</f>
        <v>Europe</v>
      </c>
      <c r="E684" s="3" t="s">
        <v>28</v>
      </c>
      <c r="F684" s="3" t="str">
        <f>VLOOKUP(E684,Countries!$B$3:$C$140,2,FALSE)</f>
        <v>Europe</v>
      </c>
      <c r="G684" s="4">
        <v>4</v>
      </c>
      <c r="H684" s="4">
        <v>10594056.230887499</v>
      </c>
    </row>
    <row r="685" spans="2:8" x14ac:dyDescent="0.2">
      <c r="B685" s="3" t="s">
        <v>140</v>
      </c>
      <c r="C685" s="3" t="s">
        <v>13</v>
      </c>
      <c r="D685" s="3" t="str">
        <f>VLOOKUP(C685,Countries!$B$3:$C$140,2,FALSE)</f>
        <v>Europe</v>
      </c>
      <c r="E685" s="3" t="s">
        <v>29</v>
      </c>
      <c r="F685" s="3" t="str">
        <f>VLOOKUP(E685,Countries!$B$3:$C$140,2,FALSE)</f>
        <v>Europe</v>
      </c>
      <c r="G685" s="4">
        <v>38</v>
      </c>
      <c r="H685" s="4">
        <v>77307847.028646901</v>
      </c>
    </row>
    <row r="686" spans="2:8" x14ac:dyDescent="0.2">
      <c r="B686" s="3" t="s">
        <v>140</v>
      </c>
      <c r="C686" s="3" t="s">
        <v>13</v>
      </c>
      <c r="D686" s="3" t="str">
        <f>VLOOKUP(C686,Countries!$B$3:$C$140,2,FALSE)</f>
        <v>Europe</v>
      </c>
      <c r="E686" s="3" t="s">
        <v>56</v>
      </c>
      <c r="F686" s="3" t="str">
        <f>VLOOKUP(E686,Countries!$B$3:$C$140,2,FALSE)</f>
        <v>Europe</v>
      </c>
      <c r="G686" s="4">
        <v>8</v>
      </c>
      <c r="H686" s="4">
        <v>1816123.925295</v>
      </c>
    </row>
    <row r="687" spans="2:8" x14ac:dyDescent="0.2">
      <c r="B687" s="3" t="s">
        <v>140</v>
      </c>
      <c r="C687" s="3" t="s">
        <v>13</v>
      </c>
      <c r="D687" s="3" t="str">
        <f>VLOOKUP(C687,Countries!$B$3:$C$140,2,FALSE)</f>
        <v>Europe</v>
      </c>
      <c r="E687" s="3" t="s">
        <v>30</v>
      </c>
      <c r="F687" s="3" t="str">
        <f>VLOOKUP(E687,Countries!$B$3:$C$140,2,FALSE)</f>
        <v>Europe</v>
      </c>
      <c r="G687" s="4">
        <v>2</v>
      </c>
      <c r="H687" s="4">
        <v>0</v>
      </c>
    </row>
    <row r="688" spans="2:8" x14ac:dyDescent="0.2">
      <c r="B688" s="3" t="s">
        <v>140</v>
      </c>
      <c r="C688" s="3" t="s">
        <v>13</v>
      </c>
      <c r="D688" s="3" t="str">
        <f>VLOOKUP(C688,Countries!$B$3:$C$140,2,FALSE)</f>
        <v>Europe</v>
      </c>
      <c r="E688" s="3" t="s">
        <v>31</v>
      </c>
      <c r="F688" s="3" t="str">
        <f>VLOOKUP(E688,Countries!$B$3:$C$140,2,FALSE)</f>
        <v>Europe</v>
      </c>
      <c r="G688" s="4">
        <v>8</v>
      </c>
      <c r="H688" s="4">
        <v>16748698.422164999</v>
      </c>
    </row>
    <row r="689" spans="2:8" x14ac:dyDescent="0.2">
      <c r="B689" s="3" t="s">
        <v>140</v>
      </c>
      <c r="C689" s="3" t="s">
        <v>13</v>
      </c>
      <c r="D689" s="3" t="str">
        <f>VLOOKUP(C689,Countries!$B$3:$C$140,2,FALSE)</f>
        <v>Europe</v>
      </c>
      <c r="E689" s="3" t="s">
        <v>112</v>
      </c>
      <c r="F689" s="3" t="str">
        <f>VLOOKUP(E689,Countries!$B$3:$C$140,2,FALSE)</f>
        <v>Asia</v>
      </c>
      <c r="G689" s="4">
        <v>2</v>
      </c>
      <c r="H689" s="4">
        <v>0</v>
      </c>
    </row>
    <row r="690" spans="2:8" x14ac:dyDescent="0.2">
      <c r="B690" s="3" t="s">
        <v>140</v>
      </c>
      <c r="C690" s="3" t="s">
        <v>13</v>
      </c>
      <c r="D690" s="3" t="str">
        <f>VLOOKUP(C690,Countries!$B$3:$C$140,2,FALSE)</f>
        <v>Europe</v>
      </c>
      <c r="E690" s="3" t="s">
        <v>104</v>
      </c>
      <c r="F690" s="3" t="str">
        <f>VLOOKUP(E690,Countries!$B$3:$C$140,2,FALSE)</f>
        <v>Africa</v>
      </c>
      <c r="G690" s="4">
        <v>4</v>
      </c>
      <c r="H690" s="4">
        <v>2825081.66157</v>
      </c>
    </row>
    <row r="691" spans="2:8" x14ac:dyDescent="0.2">
      <c r="B691" s="3" t="s">
        <v>140</v>
      </c>
      <c r="C691" s="3" t="s">
        <v>13</v>
      </c>
      <c r="D691" s="3" t="str">
        <f>VLOOKUP(C691,Countries!$B$3:$C$140,2,FALSE)</f>
        <v>Europe</v>
      </c>
      <c r="E691" s="3" t="s">
        <v>57</v>
      </c>
      <c r="F691" s="3" t="str">
        <f>VLOOKUP(E691,Countries!$B$3:$C$140,2,FALSE)</f>
        <v>Europe/Asia</v>
      </c>
      <c r="G691" s="4">
        <v>26</v>
      </c>
      <c r="H691" s="4">
        <v>0</v>
      </c>
    </row>
    <row r="692" spans="2:8" x14ac:dyDescent="0.2">
      <c r="B692" s="3" t="s">
        <v>140</v>
      </c>
      <c r="C692" s="3" t="s">
        <v>13</v>
      </c>
      <c r="D692" s="3" t="str">
        <f>VLOOKUP(C692,Countries!$B$3:$C$140,2,FALSE)</f>
        <v>Europe</v>
      </c>
      <c r="E692" s="3" t="s">
        <v>105</v>
      </c>
      <c r="F692" s="3" t="str">
        <f>VLOOKUP(E692,Countries!$B$3:$C$140,2,FALSE)</f>
        <v>Asia</v>
      </c>
      <c r="G692" s="4">
        <v>2</v>
      </c>
      <c r="H692" s="4">
        <v>0</v>
      </c>
    </row>
    <row r="693" spans="2:8" x14ac:dyDescent="0.2">
      <c r="B693" s="3" t="s">
        <v>140</v>
      </c>
      <c r="C693" s="3" t="s">
        <v>13</v>
      </c>
      <c r="D693" s="3" t="str">
        <f>VLOOKUP(C693,Countries!$B$3:$C$140,2,FALSE)</f>
        <v>Europe</v>
      </c>
      <c r="E693" s="3" t="s">
        <v>33</v>
      </c>
      <c r="F693" s="3" t="str">
        <f>VLOOKUP(E693,Countries!$B$3:$C$140,2,FALSE)</f>
        <v>North America</v>
      </c>
      <c r="G693" s="4">
        <v>16</v>
      </c>
      <c r="H693" s="4">
        <v>0</v>
      </c>
    </row>
    <row r="694" spans="2:8" x14ac:dyDescent="0.2">
      <c r="B694" s="3" t="s">
        <v>140</v>
      </c>
      <c r="C694" s="3" t="s">
        <v>14</v>
      </c>
      <c r="D694" s="3" t="str">
        <f>VLOOKUP(C694,Countries!$B$3:$C$140,2,FALSE)</f>
        <v>Europe</v>
      </c>
      <c r="E694" s="3" t="s">
        <v>2</v>
      </c>
      <c r="F694" s="3" t="str">
        <f>VLOOKUP(E694,Countries!$B$3:$C$140,2,FALSE)</f>
        <v>Europe</v>
      </c>
      <c r="G694" s="4">
        <v>8</v>
      </c>
      <c r="H694" s="4">
        <v>0</v>
      </c>
    </row>
    <row r="695" spans="2:8" x14ac:dyDescent="0.2">
      <c r="B695" s="3" t="s">
        <v>140</v>
      </c>
      <c r="C695" s="3" t="s">
        <v>14</v>
      </c>
      <c r="D695" s="3" t="str">
        <f>VLOOKUP(C695,Countries!$B$3:$C$140,2,FALSE)</f>
        <v>Europe</v>
      </c>
      <c r="E695" s="3" t="s">
        <v>69</v>
      </c>
      <c r="F695" s="3" t="str">
        <f>VLOOKUP(E695,Countries!$B$3:$C$140,2,FALSE)</f>
        <v>South America</v>
      </c>
      <c r="G695" s="4">
        <v>14</v>
      </c>
      <c r="H695" s="4">
        <v>90000</v>
      </c>
    </row>
    <row r="696" spans="2:8" x14ac:dyDescent="0.2">
      <c r="B696" s="3" t="s">
        <v>140</v>
      </c>
      <c r="C696" s="3" t="s">
        <v>14</v>
      </c>
      <c r="D696" s="3" t="str">
        <f>VLOOKUP(C696,Countries!$B$3:$C$140,2,FALSE)</f>
        <v>Europe</v>
      </c>
      <c r="E696" s="3" t="s">
        <v>48</v>
      </c>
      <c r="F696" s="3" t="str">
        <f>VLOOKUP(E696,Countries!$B$3:$C$140,2,FALSE)</f>
        <v>Oceania</v>
      </c>
      <c r="G696" s="4">
        <v>2</v>
      </c>
      <c r="H696" s="4">
        <v>0</v>
      </c>
    </row>
    <row r="697" spans="2:8" x14ac:dyDescent="0.2">
      <c r="B697" s="3" t="s">
        <v>140</v>
      </c>
      <c r="C697" s="3" t="s">
        <v>14</v>
      </c>
      <c r="D697" s="3" t="str">
        <f>VLOOKUP(C697,Countries!$B$3:$C$140,2,FALSE)</f>
        <v>Europe</v>
      </c>
      <c r="E697" s="3" t="s">
        <v>4</v>
      </c>
      <c r="F697" s="3" t="str">
        <f>VLOOKUP(E697,Countries!$B$3:$C$140,2,FALSE)</f>
        <v>Asia</v>
      </c>
      <c r="G697" s="4">
        <v>2</v>
      </c>
      <c r="H697" s="4">
        <v>0</v>
      </c>
    </row>
    <row r="698" spans="2:8" x14ac:dyDescent="0.2">
      <c r="B698" s="3" t="s">
        <v>140</v>
      </c>
      <c r="C698" s="3" t="s">
        <v>14</v>
      </c>
      <c r="D698" s="3" t="str">
        <f>VLOOKUP(C698,Countries!$B$3:$C$140,2,FALSE)</f>
        <v>Europe</v>
      </c>
      <c r="E698" s="3" t="s">
        <v>35</v>
      </c>
      <c r="F698" s="3" t="str">
        <f>VLOOKUP(E698,Countries!$B$3:$C$140,2,FALSE)</f>
        <v>Europe</v>
      </c>
      <c r="G698" s="4">
        <v>6</v>
      </c>
      <c r="H698" s="4">
        <v>0</v>
      </c>
    </row>
    <row r="699" spans="2:8" x14ac:dyDescent="0.2">
      <c r="B699" s="3" t="s">
        <v>140</v>
      </c>
      <c r="C699" s="3" t="s">
        <v>14</v>
      </c>
      <c r="D699" s="3" t="str">
        <f>VLOOKUP(C699,Countries!$B$3:$C$140,2,FALSE)</f>
        <v>Europe</v>
      </c>
      <c r="E699" s="3" t="s">
        <v>6</v>
      </c>
      <c r="F699" s="3" t="str">
        <f>VLOOKUP(E699,Countries!$B$3:$C$140,2,FALSE)</f>
        <v>Europe</v>
      </c>
      <c r="G699" s="4">
        <v>2</v>
      </c>
      <c r="H699" s="4">
        <v>0</v>
      </c>
    </row>
    <row r="700" spans="2:8" x14ac:dyDescent="0.2">
      <c r="B700" s="3" t="s">
        <v>140</v>
      </c>
      <c r="C700" s="3" t="s">
        <v>14</v>
      </c>
      <c r="D700" s="3" t="str">
        <f>VLOOKUP(C700,Countries!$B$3:$C$140,2,FALSE)</f>
        <v>Europe</v>
      </c>
      <c r="E700" s="3" t="s">
        <v>60</v>
      </c>
      <c r="F700" s="3" t="str">
        <f>VLOOKUP(E700,Countries!$B$3:$C$140,2,FALSE)</f>
        <v>South America</v>
      </c>
      <c r="G700" s="4">
        <v>2</v>
      </c>
      <c r="H700" s="4">
        <v>0</v>
      </c>
    </row>
    <row r="701" spans="2:8" x14ac:dyDescent="0.2">
      <c r="B701" s="3" t="s">
        <v>140</v>
      </c>
      <c r="C701" s="3" t="s">
        <v>14</v>
      </c>
      <c r="D701" s="3" t="str">
        <f>VLOOKUP(C701,Countries!$B$3:$C$140,2,FALSE)</f>
        <v>Europe</v>
      </c>
      <c r="E701" s="3" t="s">
        <v>7</v>
      </c>
      <c r="F701" s="3" t="str">
        <f>VLOOKUP(E701,Countries!$B$3:$C$140,2,FALSE)</f>
        <v>South America</v>
      </c>
      <c r="G701" s="4">
        <v>28</v>
      </c>
      <c r="H701" s="4">
        <v>0</v>
      </c>
    </row>
    <row r="702" spans="2:8" x14ac:dyDescent="0.2">
      <c r="B702" s="3" t="s">
        <v>140</v>
      </c>
      <c r="C702" s="3" t="s">
        <v>14</v>
      </c>
      <c r="D702" s="3" t="str">
        <f>VLOOKUP(C702,Countries!$B$3:$C$140,2,FALSE)</f>
        <v>Europe</v>
      </c>
      <c r="E702" s="3" t="s">
        <v>36</v>
      </c>
      <c r="F702" s="3" t="str">
        <f>VLOOKUP(E702,Countries!$B$3:$C$140,2,FALSE)</f>
        <v>Europe</v>
      </c>
      <c r="G702" s="4">
        <v>14</v>
      </c>
      <c r="H702" s="4">
        <v>0</v>
      </c>
    </row>
    <row r="703" spans="2:8" x14ac:dyDescent="0.2">
      <c r="B703" s="3" t="s">
        <v>140</v>
      </c>
      <c r="C703" s="3" t="s">
        <v>14</v>
      </c>
      <c r="D703" s="3" t="str">
        <f>VLOOKUP(C703,Countries!$B$3:$C$140,2,FALSE)</f>
        <v>Europe</v>
      </c>
      <c r="E703" s="3" t="s">
        <v>89</v>
      </c>
      <c r="F703" s="3" t="str">
        <f>VLOOKUP(E703,Countries!$B$3:$C$140,2,FALSE)</f>
        <v>Asia</v>
      </c>
      <c r="G703" s="4">
        <v>2</v>
      </c>
      <c r="H703" s="4">
        <v>0</v>
      </c>
    </row>
    <row r="704" spans="2:8" x14ac:dyDescent="0.2">
      <c r="B704" s="3" t="s">
        <v>140</v>
      </c>
      <c r="C704" s="3" t="s">
        <v>14</v>
      </c>
      <c r="D704" s="3" t="str">
        <f>VLOOKUP(C704,Countries!$B$3:$C$140,2,FALSE)</f>
        <v>Europe</v>
      </c>
      <c r="E704" s="3" t="s">
        <v>37</v>
      </c>
      <c r="F704" s="3" t="str">
        <f>VLOOKUP(E704,Countries!$B$3:$C$140,2,FALSE)</f>
        <v>Africa</v>
      </c>
      <c r="G704" s="4">
        <v>2</v>
      </c>
      <c r="H704" s="4">
        <v>0</v>
      </c>
    </row>
    <row r="705" spans="2:8" x14ac:dyDescent="0.2">
      <c r="B705" s="3" t="s">
        <v>140</v>
      </c>
      <c r="C705" s="3" t="s">
        <v>14</v>
      </c>
      <c r="D705" s="3" t="str">
        <f>VLOOKUP(C705,Countries!$B$3:$C$140,2,FALSE)</f>
        <v>Europe</v>
      </c>
      <c r="E705" s="3" t="s">
        <v>106</v>
      </c>
      <c r="F705" s="3" t="str">
        <f>VLOOKUP(E705,Countries!$B$3:$C$140,2,FALSE)</f>
        <v>Africa</v>
      </c>
      <c r="G705" s="4">
        <v>2</v>
      </c>
      <c r="H705" s="4">
        <v>0</v>
      </c>
    </row>
    <row r="706" spans="2:8" x14ac:dyDescent="0.2">
      <c r="B706" s="3" t="s">
        <v>140</v>
      </c>
      <c r="C706" s="3" t="s">
        <v>14</v>
      </c>
      <c r="D706" s="3" t="str">
        <f>VLOOKUP(C706,Countries!$B$3:$C$140,2,FALSE)</f>
        <v>Europe</v>
      </c>
      <c r="E706" s="3" t="s">
        <v>9</v>
      </c>
      <c r="F706" s="3" t="str">
        <f>VLOOKUP(E706,Countries!$B$3:$C$140,2,FALSE)</f>
        <v>Europe</v>
      </c>
      <c r="G706" s="4">
        <v>6</v>
      </c>
      <c r="H706" s="4">
        <v>0</v>
      </c>
    </row>
    <row r="707" spans="2:8" x14ac:dyDescent="0.2">
      <c r="B707" s="3" t="s">
        <v>140</v>
      </c>
      <c r="C707" s="3" t="s">
        <v>14</v>
      </c>
      <c r="D707" s="3" t="str">
        <f>VLOOKUP(C707,Countries!$B$3:$C$140,2,FALSE)</f>
        <v>Europe</v>
      </c>
      <c r="E707" s="3" t="s">
        <v>62</v>
      </c>
      <c r="F707" s="3" t="str">
        <f>VLOOKUP(E707,Countries!$B$3:$C$140,2,FALSE)</f>
        <v>Asia</v>
      </c>
      <c r="G707" s="4">
        <v>20</v>
      </c>
      <c r="H707" s="4">
        <v>0</v>
      </c>
    </row>
    <row r="708" spans="2:8" x14ac:dyDescent="0.2">
      <c r="B708" s="3" t="s">
        <v>140</v>
      </c>
      <c r="C708" s="3" t="s">
        <v>14</v>
      </c>
      <c r="D708" s="3" t="str">
        <f>VLOOKUP(C708,Countries!$B$3:$C$140,2,FALSE)</f>
        <v>Europe</v>
      </c>
      <c r="E708" s="3" t="s">
        <v>49</v>
      </c>
      <c r="F708" s="3" t="str">
        <f>VLOOKUP(E708,Countries!$B$3:$C$140,2,FALSE)</f>
        <v>Europe</v>
      </c>
      <c r="G708" s="4">
        <v>6</v>
      </c>
      <c r="H708" s="4">
        <v>0</v>
      </c>
    </row>
    <row r="709" spans="2:8" x14ac:dyDescent="0.2">
      <c r="B709" s="3" t="s">
        <v>140</v>
      </c>
      <c r="C709" s="3" t="s">
        <v>14</v>
      </c>
      <c r="D709" s="3" t="str">
        <f>VLOOKUP(C709,Countries!$B$3:$C$140,2,FALSE)</f>
        <v>Europe</v>
      </c>
      <c r="E709" s="3" t="s">
        <v>10</v>
      </c>
      <c r="F709" s="3" t="str">
        <f>VLOOKUP(E709,Countries!$B$3:$C$140,2,FALSE)</f>
        <v>Europe</v>
      </c>
      <c r="G709" s="4">
        <v>2</v>
      </c>
      <c r="H709" s="4">
        <v>0</v>
      </c>
    </row>
    <row r="710" spans="2:8" x14ac:dyDescent="0.2">
      <c r="B710" s="3" t="s">
        <v>140</v>
      </c>
      <c r="C710" s="3" t="s">
        <v>14</v>
      </c>
      <c r="D710" s="3" t="str">
        <f>VLOOKUP(C710,Countries!$B$3:$C$140,2,FALSE)</f>
        <v>Europe</v>
      </c>
      <c r="E710" s="3" t="s">
        <v>50</v>
      </c>
      <c r="F710" s="3" t="str">
        <f>VLOOKUP(E710,Countries!$B$3:$C$140,2,FALSE)</f>
        <v>Europe</v>
      </c>
      <c r="G710" s="4">
        <v>26</v>
      </c>
      <c r="H710" s="4">
        <v>0</v>
      </c>
    </row>
    <row r="711" spans="2:8" x14ac:dyDescent="0.2">
      <c r="B711" s="3" t="s">
        <v>140</v>
      </c>
      <c r="C711" s="3" t="s">
        <v>14</v>
      </c>
      <c r="D711" s="3" t="str">
        <f>VLOOKUP(C711,Countries!$B$3:$C$140,2,FALSE)</f>
        <v>Europe</v>
      </c>
      <c r="E711" s="3" t="s">
        <v>11</v>
      </c>
      <c r="F711" s="3" t="str">
        <f>VLOOKUP(E711,Countries!$B$3:$C$140,2,FALSE)</f>
        <v>Europe</v>
      </c>
      <c r="G711" s="4">
        <v>34</v>
      </c>
      <c r="H711" s="4">
        <v>6317084.3868177589</v>
      </c>
    </row>
    <row r="712" spans="2:8" x14ac:dyDescent="0.2">
      <c r="B712" s="3" t="s">
        <v>140</v>
      </c>
      <c r="C712" s="3" t="s">
        <v>14</v>
      </c>
      <c r="D712" s="3" t="str">
        <f>VLOOKUP(C712,Countries!$B$3:$C$140,2,FALSE)</f>
        <v>Europe</v>
      </c>
      <c r="E712" s="3" t="s">
        <v>73</v>
      </c>
      <c r="F712" s="3" t="str">
        <f>VLOOKUP(E712,Countries!$B$3:$C$140,2,FALSE)</f>
        <v>Europe</v>
      </c>
      <c r="G712" s="4">
        <v>2</v>
      </c>
      <c r="H712" s="4">
        <v>60537.464176499998</v>
      </c>
    </row>
    <row r="713" spans="2:8" x14ac:dyDescent="0.2">
      <c r="B713" s="3" t="s">
        <v>140</v>
      </c>
      <c r="C713" s="3" t="s">
        <v>14</v>
      </c>
      <c r="D713" s="3" t="str">
        <f>VLOOKUP(C713,Countries!$B$3:$C$140,2,FALSE)</f>
        <v>Europe</v>
      </c>
      <c r="E713" s="3" t="s">
        <v>12</v>
      </c>
      <c r="F713" s="3" t="str">
        <f>VLOOKUP(E713,Countries!$B$3:$C$140,2,FALSE)</f>
        <v>Europe</v>
      </c>
      <c r="G713" s="4">
        <v>28</v>
      </c>
      <c r="H713" s="4">
        <v>0</v>
      </c>
    </row>
    <row r="714" spans="2:8" x14ac:dyDescent="0.2">
      <c r="B714" s="3" t="s">
        <v>140</v>
      </c>
      <c r="C714" s="3" t="s">
        <v>14</v>
      </c>
      <c r="D714" s="3" t="str">
        <f>VLOOKUP(C714,Countries!$B$3:$C$140,2,FALSE)</f>
        <v>Europe</v>
      </c>
      <c r="E714" s="3" t="s">
        <v>13</v>
      </c>
      <c r="F714" s="3" t="str">
        <f>VLOOKUP(E714,Countries!$B$3:$C$140,2,FALSE)</f>
        <v>Europe</v>
      </c>
      <c r="G714" s="4">
        <v>22</v>
      </c>
      <c r="H714" s="4">
        <v>0</v>
      </c>
    </row>
    <row r="715" spans="2:8" x14ac:dyDescent="0.2">
      <c r="B715" s="3" t="s">
        <v>140</v>
      </c>
      <c r="C715" s="3" t="s">
        <v>14</v>
      </c>
      <c r="D715" s="3" t="str">
        <f>VLOOKUP(C715,Countries!$B$3:$C$140,2,FALSE)</f>
        <v>Europe</v>
      </c>
      <c r="E715" s="3" t="s">
        <v>64</v>
      </c>
      <c r="F715" s="3" t="str">
        <f>VLOOKUP(E715,Countries!$B$3:$C$140,2,FALSE)</f>
        <v>Africa</v>
      </c>
      <c r="G715" s="4">
        <v>2</v>
      </c>
      <c r="H715" s="4">
        <v>0</v>
      </c>
    </row>
    <row r="716" spans="2:8" x14ac:dyDescent="0.2">
      <c r="B716" s="3" t="s">
        <v>140</v>
      </c>
      <c r="C716" s="3" t="s">
        <v>14</v>
      </c>
      <c r="D716" s="3" t="str">
        <f>VLOOKUP(C716,Countries!$B$3:$C$140,2,FALSE)</f>
        <v>Europe</v>
      </c>
      <c r="E716" s="3" t="s">
        <v>15</v>
      </c>
      <c r="F716" s="3" t="str">
        <f>VLOOKUP(E716,Countries!$B$3:$C$140,2,FALSE)</f>
        <v>Europe</v>
      </c>
      <c r="G716" s="4">
        <v>6</v>
      </c>
      <c r="H716" s="4">
        <v>0</v>
      </c>
    </row>
    <row r="717" spans="2:8" x14ac:dyDescent="0.2">
      <c r="B717" s="3" t="s">
        <v>140</v>
      </c>
      <c r="C717" s="3" t="s">
        <v>14</v>
      </c>
      <c r="D717" s="3" t="str">
        <f>VLOOKUP(C717,Countries!$B$3:$C$140,2,FALSE)</f>
        <v>Europe</v>
      </c>
      <c r="E717" s="3" t="s">
        <v>75</v>
      </c>
      <c r="F717" s="3" t="str">
        <f>VLOOKUP(E717,Countries!$B$3:$C$140,2,FALSE)</f>
        <v>Europe</v>
      </c>
      <c r="G717" s="4">
        <v>4</v>
      </c>
      <c r="H717" s="4">
        <v>524658.02286299993</v>
      </c>
    </row>
    <row r="718" spans="2:8" x14ac:dyDescent="0.2">
      <c r="B718" s="3" t="s">
        <v>140</v>
      </c>
      <c r="C718" s="3" t="s">
        <v>14</v>
      </c>
      <c r="D718" s="3" t="str">
        <f>VLOOKUP(C718,Countries!$B$3:$C$140,2,FALSE)</f>
        <v>Europe</v>
      </c>
      <c r="E718" s="3" t="s">
        <v>51</v>
      </c>
      <c r="F718" s="3" t="str">
        <f>VLOOKUP(E718,Countries!$B$3:$C$140,2,FALSE)</f>
        <v>Asia</v>
      </c>
      <c r="G718" s="4">
        <v>2</v>
      </c>
      <c r="H718" s="4">
        <v>0</v>
      </c>
    </row>
    <row r="719" spans="2:8" x14ac:dyDescent="0.2">
      <c r="B719" s="3" t="s">
        <v>140</v>
      </c>
      <c r="C719" s="3" t="s">
        <v>14</v>
      </c>
      <c r="D719" s="3" t="str">
        <f>VLOOKUP(C719,Countries!$B$3:$C$140,2,FALSE)</f>
        <v>Europe</v>
      </c>
      <c r="E719" s="3" t="s">
        <v>17</v>
      </c>
      <c r="F719" s="3" t="str">
        <f>VLOOKUP(E719,Countries!$B$3:$C$140,2,FALSE)</f>
        <v>Europe</v>
      </c>
      <c r="G719" s="4">
        <v>16</v>
      </c>
      <c r="H719" s="4">
        <v>3188306.4466289999</v>
      </c>
    </row>
    <row r="720" spans="2:8" x14ac:dyDescent="0.2">
      <c r="B720" s="3" t="s">
        <v>140</v>
      </c>
      <c r="C720" s="3" t="s">
        <v>14</v>
      </c>
      <c r="D720" s="3" t="str">
        <f>VLOOKUP(C720,Countries!$B$3:$C$140,2,FALSE)</f>
        <v>Europe</v>
      </c>
      <c r="E720" s="3" t="s">
        <v>117</v>
      </c>
      <c r="F720" s="3" t="str">
        <f>VLOOKUP(E720,Countries!$B$3:$C$140,2,FALSE)</f>
        <v>Asia</v>
      </c>
      <c r="G720" s="4">
        <v>2</v>
      </c>
      <c r="H720" s="4">
        <v>0</v>
      </c>
    </row>
    <row r="721" spans="2:8" x14ac:dyDescent="0.2">
      <c r="B721" s="3" t="s">
        <v>140</v>
      </c>
      <c r="C721" s="3" t="s">
        <v>14</v>
      </c>
      <c r="D721" s="3" t="str">
        <f>VLOOKUP(C721,Countries!$B$3:$C$140,2,FALSE)</f>
        <v>Europe</v>
      </c>
      <c r="E721" s="3" t="s">
        <v>76</v>
      </c>
      <c r="F721" s="3" t="str">
        <f>VLOOKUP(E721,Countries!$B$3:$C$140,2,FALSE)</f>
        <v>Africa</v>
      </c>
      <c r="G721" s="4">
        <v>2</v>
      </c>
      <c r="H721" s="4">
        <v>0</v>
      </c>
    </row>
    <row r="722" spans="2:8" x14ac:dyDescent="0.2">
      <c r="B722" s="3" t="s">
        <v>140</v>
      </c>
      <c r="C722" s="3" t="s">
        <v>14</v>
      </c>
      <c r="D722" s="3" t="str">
        <f>VLOOKUP(C722,Countries!$B$3:$C$140,2,FALSE)</f>
        <v>Europe</v>
      </c>
      <c r="E722" s="3" t="s">
        <v>66</v>
      </c>
      <c r="F722" s="3" t="str">
        <f>VLOOKUP(E722,Countries!$B$3:$C$140,2,FALSE)</f>
        <v>Europe</v>
      </c>
      <c r="G722" s="4">
        <v>2</v>
      </c>
      <c r="H722" s="4">
        <v>0</v>
      </c>
    </row>
    <row r="723" spans="2:8" x14ac:dyDescent="0.2">
      <c r="B723" s="3" t="s">
        <v>140</v>
      </c>
      <c r="C723" s="3" t="s">
        <v>14</v>
      </c>
      <c r="D723" s="3" t="str">
        <f>VLOOKUP(C723,Countries!$B$3:$C$140,2,FALSE)</f>
        <v>Europe</v>
      </c>
      <c r="E723" s="3" t="s">
        <v>52</v>
      </c>
      <c r="F723" s="3" t="str">
        <f>VLOOKUP(E723,Countries!$B$3:$C$140,2,FALSE)</f>
        <v>Europe</v>
      </c>
      <c r="G723" s="4">
        <v>2</v>
      </c>
      <c r="H723" s="4">
        <v>0</v>
      </c>
    </row>
    <row r="724" spans="2:8" x14ac:dyDescent="0.2">
      <c r="B724" s="3" t="s">
        <v>140</v>
      </c>
      <c r="C724" s="3" t="s">
        <v>14</v>
      </c>
      <c r="D724" s="3" t="str">
        <f>VLOOKUP(C724,Countries!$B$3:$C$140,2,FALSE)</f>
        <v>Europe</v>
      </c>
      <c r="E724" s="3" t="s">
        <v>42</v>
      </c>
      <c r="F724" s="3" t="str">
        <f>VLOOKUP(E724,Countries!$B$3:$C$140,2,FALSE)</f>
        <v>Africa</v>
      </c>
      <c r="G724" s="4">
        <v>2</v>
      </c>
      <c r="H724" s="4">
        <v>0</v>
      </c>
    </row>
    <row r="725" spans="2:8" x14ac:dyDescent="0.2">
      <c r="B725" s="3" t="s">
        <v>140</v>
      </c>
      <c r="C725" s="3" t="s">
        <v>14</v>
      </c>
      <c r="D725" s="3" t="str">
        <f>VLOOKUP(C725,Countries!$B$3:$C$140,2,FALSE)</f>
        <v>Europe</v>
      </c>
      <c r="E725" s="3" t="s">
        <v>43</v>
      </c>
      <c r="F725" s="3" t="str">
        <f>VLOOKUP(E725,Countries!$B$3:$C$140,2,FALSE)</f>
        <v>Europe</v>
      </c>
      <c r="G725" s="4">
        <v>2</v>
      </c>
      <c r="H725" s="4">
        <v>0</v>
      </c>
    </row>
    <row r="726" spans="2:8" x14ac:dyDescent="0.2">
      <c r="B726" s="3" t="s">
        <v>140</v>
      </c>
      <c r="C726" s="3" t="s">
        <v>14</v>
      </c>
      <c r="D726" s="3" t="str">
        <f>VLOOKUP(C726,Countries!$B$3:$C$140,2,FALSE)</f>
        <v>Europe</v>
      </c>
      <c r="E726" s="3" t="s">
        <v>23</v>
      </c>
      <c r="F726" s="3" t="str">
        <f>VLOOKUP(E726,Countries!$B$3:$C$140,2,FALSE)</f>
        <v>Europe</v>
      </c>
      <c r="G726" s="4">
        <v>4</v>
      </c>
      <c r="H726" s="4">
        <v>3228664.7560799997</v>
      </c>
    </row>
    <row r="727" spans="2:8" x14ac:dyDescent="0.2">
      <c r="B727" s="3" t="s">
        <v>140</v>
      </c>
      <c r="C727" s="3" t="s">
        <v>14</v>
      </c>
      <c r="D727" s="3" t="str">
        <f>VLOOKUP(C727,Countries!$B$3:$C$140,2,FALSE)</f>
        <v>Europe</v>
      </c>
      <c r="E727" s="3" t="s">
        <v>53</v>
      </c>
      <c r="F727" s="3" t="str">
        <f>VLOOKUP(E727,Countries!$B$3:$C$140,2,FALSE)</f>
        <v>Europe</v>
      </c>
      <c r="G727" s="4">
        <v>10</v>
      </c>
      <c r="H727" s="4">
        <v>0</v>
      </c>
    </row>
    <row r="728" spans="2:8" x14ac:dyDescent="0.2">
      <c r="B728" s="3" t="s">
        <v>140</v>
      </c>
      <c r="C728" s="3" t="s">
        <v>14</v>
      </c>
      <c r="D728" s="3" t="str">
        <f>VLOOKUP(C728,Countries!$B$3:$C$140,2,FALSE)</f>
        <v>Europe</v>
      </c>
      <c r="E728" s="3" t="s">
        <v>24</v>
      </c>
      <c r="F728" s="3" t="str">
        <f>VLOOKUP(E728,Countries!$B$3:$C$140,2,FALSE)</f>
        <v>Africa</v>
      </c>
      <c r="G728" s="4">
        <v>2</v>
      </c>
      <c r="H728" s="4">
        <v>0</v>
      </c>
    </row>
    <row r="729" spans="2:8" x14ac:dyDescent="0.2">
      <c r="B729" s="3" t="s">
        <v>140</v>
      </c>
      <c r="C729" s="3" t="s">
        <v>14</v>
      </c>
      <c r="D729" s="3" t="str">
        <f>VLOOKUP(C729,Countries!$B$3:$C$140,2,FALSE)</f>
        <v>Europe</v>
      </c>
      <c r="E729" s="3" t="s">
        <v>44</v>
      </c>
      <c r="F729" s="3" t="str">
        <f>VLOOKUP(E729,Countries!$B$3:$C$140,2,FALSE)</f>
        <v>Europe</v>
      </c>
      <c r="G729" s="4">
        <v>2</v>
      </c>
      <c r="H729" s="4">
        <v>0</v>
      </c>
    </row>
    <row r="730" spans="2:8" x14ac:dyDescent="0.2">
      <c r="B730" s="3" t="s">
        <v>140</v>
      </c>
      <c r="C730" s="3" t="s">
        <v>14</v>
      </c>
      <c r="D730" s="3" t="str">
        <f>VLOOKUP(C730,Countries!$B$3:$C$140,2,FALSE)</f>
        <v>Europe</v>
      </c>
      <c r="E730" s="3" t="s">
        <v>79</v>
      </c>
      <c r="F730" s="3" t="str">
        <f>VLOOKUP(E730,Countries!$B$3:$C$140,2,FALSE)</f>
        <v>South America</v>
      </c>
      <c r="G730" s="4">
        <v>4</v>
      </c>
      <c r="H730" s="4">
        <v>60537.464176499998</v>
      </c>
    </row>
    <row r="731" spans="2:8" x14ac:dyDescent="0.2">
      <c r="B731" s="3" t="s">
        <v>140</v>
      </c>
      <c r="C731" s="3" t="s">
        <v>14</v>
      </c>
      <c r="D731" s="3" t="str">
        <f>VLOOKUP(C731,Countries!$B$3:$C$140,2,FALSE)</f>
        <v>Europe</v>
      </c>
      <c r="E731" s="3" t="s">
        <v>54</v>
      </c>
      <c r="F731" s="3" t="str">
        <f>VLOOKUP(E731,Countries!$B$3:$C$140,2,FALSE)</f>
        <v>Europe</v>
      </c>
      <c r="G731" s="4">
        <v>14</v>
      </c>
      <c r="H731" s="4">
        <v>0</v>
      </c>
    </row>
    <row r="732" spans="2:8" x14ac:dyDescent="0.2">
      <c r="B732" s="3" t="s">
        <v>140</v>
      </c>
      <c r="C732" s="3" t="s">
        <v>14</v>
      </c>
      <c r="D732" s="3" t="str">
        <f>VLOOKUP(C732,Countries!$B$3:$C$140,2,FALSE)</f>
        <v>Europe</v>
      </c>
      <c r="E732" s="3" t="s">
        <v>25</v>
      </c>
      <c r="F732" s="3" t="str">
        <f>VLOOKUP(E732,Countries!$B$3:$C$140,2,FALSE)</f>
        <v>Europe</v>
      </c>
      <c r="G732" s="4">
        <v>18</v>
      </c>
      <c r="H732" s="4">
        <v>2623290.1143150004</v>
      </c>
    </row>
    <row r="733" spans="2:8" x14ac:dyDescent="0.2">
      <c r="B733" s="3" t="s">
        <v>140</v>
      </c>
      <c r="C733" s="3" t="s">
        <v>14</v>
      </c>
      <c r="D733" s="3" t="str">
        <f>VLOOKUP(C733,Countries!$B$3:$C$140,2,FALSE)</f>
        <v>Europe</v>
      </c>
      <c r="E733" s="3" t="s">
        <v>81</v>
      </c>
      <c r="F733" s="3" t="str">
        <f>VLOOKUP(E733,Countries!$B$3:$C$140,2,FALSE)</f>
        <v>Asia</v>
      </c>
      <c r="G733" s="4">
        <v>4</v>
      </c>
      <c r="H733" s="4">
        <v>0</v>
      </c>
    </row>
    <row r="734" spans="2:8" x14ac:dyDescent="0.2">
      <c r="B734" s="3" t="s">
        <v>140</v>
      </c>
      <c r="C734" s="3" t="s">
        <v>14</v>
      </c>
      <c r="D734" s="3" t="str">
        <f>VLOOKUP(C734,Countries!$B$3:$C$140,2,FALSE)</f>
        <v>Europe</v>
      </c>
      <c r="E734" s="3" t="s">
        <v>26</v>
      </c>
      <c r="F734" s="3" t="str">
        <f>VLOOKUP(E734,Countries!$B$3:$C$140,2,FALSE)</f>
        <v>Europe</v>
      </c>
      <c r="G734" s="4">
        <v>14</v>
      </c>
      <c r="H734" s="4">
        <v>0</v>
      </c>
    </row>
    <row r="735" spans="2:8" x14ac:dyDescent="0.2">
      <c r="B735" s="3" t="s">
        <v>140</v>
      </c>
      <c r="C735" s="3" t="s">
        <v>14</v>
      </c>
      <c r="D735" s="3" t="str">
        <f>VLOOKUP(C735,Countries!$B$3:$C$140,2,FALSE)</f>
        <v>Europe</v>
      </c>
      <c r="E735" s="3" t="s">
        <v>82</v>
      </c>
      <c r="F735" s="3" t="e">
        <f>VLOOKUP(E735,Countries!$B$3:$C$140,2,FALSE)</f>
        <v>#N/A</v>
      </c>
      <c r="G735" s="4">
        <v>2</v>
      </c>
      <c r="H735" s="4">
        <v>0</v>
      </c>
    </row>
    <row r="736" spans="2:8" x14ac:dyDescent="0.2">
      <c r="B736" s="3" t="s">
        <v>140</v>
      </c>
      <c r="C736" s="3" t="s">
        <v>14</v>
      </c>
      <c r="D736" s="3" t="str">
        <f>VLOOKUP(C736,Countries!$B$3:$C$140,2,FALSE)</f>
        <v>Europe</v>
      </c>
      <c r="E736" s="3" t="s">
        <v>46</v>
      </c>
      <c r="F736" s="3" t="str">
        <f>VLOOKUP(E736,Countries!$B$3:$C$140,2,FALSE)</f>
        <v>Europe/Asia</v>
      </c>
      <c r="G736" s="4">
        <v>4</v>
      </c>
      <c r="H736" s="4">
        <v>0</v>
      </c>
    </row>
    <row r="737" spans="2:8" x14ac:dyDescent="0.2">
      <c r="B737" s="3" t="s">
        <v>140</v>
      </c>
      <c r="C737" s="3" t="s">
        <v>14</v>
      </c>
      <c r="D737" s="3" t="str">
        <f>VLOOKUP(C737,Countries!$B$3:$C$140,2,FALSE)</f>
        <v>Europe</v>
      </c>
      <c r="E737" s="3" t="s">
        <v>55</v>
      </c>
      <c r="F737" s="3" t="str">
        <f>VLOOKUP(E737,Countries!$B$3:$C$140,2,FALSE)</f>
        <v>Europe</v>
      </c>
      <c r="G737" s="4">
        <v>6</v>
      </c>
      <c r="H737" s="4">
        <v>0</v>
      </c>
    </row>
    <row r="738" spans="2:8" x14ac:dyDescent="0.2">
      <c r="B738" s="3" t="s">
        <v>140</v>
      </c>
      <c r="C738" s="3" t="s">
        <v>14</v>
      </c>
      <c r="D738" s="3" t="str">
        <f>VLOOKUP(C738,Countries!$B$3:$C$140,2,FALSE)</f>
        <v>Europe</v>
      </c>
      <c r="E738" s="3" t="s">
        <v>28</v>
      </c>
      <c r="F738" s="3" t="str">
        <f>VLOOKUP(E738,Countries!$B$3:$C$140,2,FALSE)</f>
        <v>Europe</v>
      </c>
      <c r="G738" s="4">
        <v>10</v>
      </c>
      <c r="H738" s="4">
        <v>14380513.85634</v>
      </c>
    </row>
    <row r="739" spans="2:8" x14ac:dyDescent="0.2">
      <c r="B739" s="3" t="s">
        <v>140</v>
      </c>
      <c r="C739" s="3" t="s">
        <v>14</v>
      </c>
      <c r="D739" s="3" t="str">
        <f>VLOOKUP(C739,Countries!$B$3:$C$140,2,FALSE)</f>
        <v>Europe</v>
      </c>
      <c r="E739" s="3" t="s">
        <v>29</v>
      </c>
      <c r="F739" s="3" t="str">
        <f>VLOOKUP(E739,Countries!$B$3:$C$140,2,FALSE)</f>
        <v>Europe</v>
      </c>
      <c r="G739" s="4">
        <v>4</v>
      </c>
      <c r="H739" s="4">
        <v>278472.3352119</v>
      </c>
    </row>
    <row r="740" spans="2:8" x14ac:dyDescent="0.2">
      <c r="B740" s="3" t="s">
        <v>140</v>
      </c>
      <c r="C740" s="3" t="s">
        <v>14</v>
      </c>
      <c r="D740" s="3" t="str">
        <f>VLOOKUP(C740,Countries!$B$3:$C$140,2,FALSE)</f>
        <v>Europe</v>
      </c>
      <c r="E740" s="3" t="s">
        <v>56</v>
      </c>
      <c r="F740" s="3" t="str">
        <f>VLOOKUP(E740,Countries!$B$3:$C$140,2,FALSE)</f>
        <v>Europe</v>
      </c>
      <c r="G740" s="4">
        <v>4</v>
      </c>
      <c r="H740" s="4">
        <v>0</v>
      </c>
    </row>
    <row r="741" spans="2:8" x14ac:dyDescent="0.2">
      <c r="B741" s="3" t="s">
        <v>140</v>
      </c>
      <c r="C741" s="3" t="s">
        <v>14</v>
      </c>
      <c r="D741" s="3" t="str">
        <f>VLOOKUP(C741,Countries!$B$3:$C$140,2,FALSE)</f>
        <v>Europe</v>
      </c>
      <c r="E741" s="3" t="s">
        <v>57</v>
      </c>
      <c r="F741" s="3" t="str">
        <f>VLOOKUP(E741,Countries!$B$3:$C$140,2,FALSE)</f>
        <v>Europe/Asia</v>
      </c>
      <c r="G741" s="4">
        <v>2</v>
      </c>
      <c r="H741" s="4">
        <v>4459593.1943354998</v>
      </c>
    </row>
    <row r="742" spans="2:8" x14ac:dyDescent="0.2">
      <c r="B742" s="3" t="s">
        <v>140</v>
      </c>
      <c r="C742" s="3" t="s">
        <v>14</v>
      </c>
      <c r="D742" s="3" t="str">
        <f>VLOOKUP(C742,Countries!$B$3:$C$140,2,FALSE)</f>
        <v>Europe</v>
      </c>
      <c r="E742" s="3" t="s">
        <v>105</v>
      </c>
      <c r="F742" s="3" t="str">
        <f>VLOOKUP(E742,Countries!$B$3:$C$140,2,FALSE)</f>
        <v>Asia</v>
      </c>
      <c r="G742" s="4">
        <v>4</v>
      </c>
      <c r="H742" s="4">
        <v>0</v>
      </c>
    </row>
    <row r="743" spans="2:8" x14ac:dyDescent="0.2">
      <c r="B743" s="3" t="s">
        <v>140</v>
      </c>
      <c r="C743" s="3" t="s">
        <v>14</v>
      </c>
      <c r="D743" s="3" t="str">
        <f>VLOOKUP(C743,Countries!$B$3:$C$140,2,FALSE)</f>
        <v>Europe</v>
      </c>
      <c r="E743" s="3" t="s">
        <v>32</v>
      </c>
      <c r="F743" s="3" t="str">
        <f>VLOOKUP(E743,Countries!$B$3:$C$140,2,FALSE)</f>
        <v>Europe</v>
      </c>
      <c r="G743" s="4">
        <v>4</v>
      </c>
      <c r="H743" s="4">
        <v>0</v>
      </c>
    </row>
    <row r="744" spans="2:8" x14ac:dyDescent="0.2">
      <c r="B744" s="3" t="s">
        <v>140</v>
      </c>
      <c r="C744" s="3" t="s">
        <v>14</v>
      </c>
      <c r="D744" s="3" t="str">
        <f>VLOOKUP(C744,Countries!$B$3:$C$140,2,FALSE)</f>
        <v>Europe</v>
      </c>
      <c r="E744" s="3" t="s">
        <v>58</v>
      </c>
      <c r="F744" s="3" t="str">
        <f>VLOOKUP(E744,Countries!$B$3:$C$140,2,FALSE)</f>
        <v>South America</v>
      </c>
      <c r="G744" s="4">
        <v>4</v>
      </c>
      <c r="H744" s="4">
        <v>0</v>
      </c>
    </row>
    <row r="745" spans="2:8" x14ac:dyDescent="0.2">
      <c r="B745" s="3" t="s">
        <v>140</v>
      </c>
      <c r="C745" s="3" t="s">
        <v>14</v>
      </c>
      <c r="D745" s="3" t="str">
        <f>VLOOKUP(C745,Countries!$B$3:$C$140,2,FALSE)</f>
        <v>Europe</v>
      </c>
      <c r="E745" s="3" t="s">
        <v>33</v>
      </c>
      <c r="F745" s="3" t="str">
        <f>VLOOKUP(E745,Countries!$B$3:$C$140,2,FALSE)</f>
        <v>North America</v>
      </c>
      <c r="G745" s="4">
        <v>4</v>
      </c>
      <c r="H745" s="4">
        <v>0</v>
      </c>
    </row>
    <row r="746" spans="2:8" x14ac:dyDescent="0.2">
      <c r="B746" s="3" t="s">
        <v>140</v>
      </c>
      <c r="C746" s="3" t="s">
        <v>15</v>
      </c>
      <c r="D746" s="3" t="str">
        <f>VLOOKUP(C746,Countries!$B$3:$C$140,2,FALSE)</f>
        <v>Europe</v>
      </c>
      <c r="E746" s="3" t="s">
        <v>2</v>
      </c>
      <c r="F746" s="3" t="str">
        <f>VLOOKUP(E746,Countries!$B$3:$C$140,2,FALSE)</f>
        <v>Europe</v>
      </c>
      <c r="G746" s="4">
        <v>4</v>
      </c>
      <c r="H746" s="4">
        <v>0</v>
      </c>
    </row>
    <row r="747" spans="2:8" x14ac:dyDescent="0.2">
      <c r="B747" s="3" t="s">
        <v>140</v>
      </c>
      <c r="C747" s="3" t="s">
        <v>15</v>
      </c>
      <c r="D747" s="3" t="str">
        <f>VLOOKUP(C747,Countries!$B$3:$C$140,2,FALSE)</f>
        <v>Europe</v>
      </c>
      <c r="E747" s="3" t="s">
        <v>3</v>
      </c>
      <c r="F747" s="3" t="str">
        <f>VLOOKUP(E747,Countries!$B$3:$C$140,2,FALSE)</f>
        <v>Europe</v>
      </c>
      <c r="G747" s="4">
        <v>14</v>
      </c>
      <c r="H747" s="4">
        <v>0</v>
      </c>
    </row>
    <row r="748" spans="2:8" x14ac:dyDescent="0.2">
      <c r="B748" s="3" t="s">
        <v>140</v>
      </c>
      <c r="C748" s="3" t="s">
        <v>15</v>
      </c>
      <c r="D748" s="3" t="str">
        <f>VLOOKUP(C748,Countries!$B$3:$C$140,2,FALSE)</f>
        <v>Europe</v>
      </c>
      <c r="E748" s="3" t="s">
        <v>35</v>
      </c>
      <c r="F748" s="3" t="str">
        <f>VLOOKUP(E748,Countries!$B$3:$C$140,2,FALSE)</f>
        <v>Europe</v>
      </c>
      <c r="G748" s="4">
        <v>14</v>
      </c>
      <c r="H748" s="4">
        <v>0</v>
      </c>
    </row>
    <row r="749" spans="2:8" x14ac:dyDescent="0.2">
      <c r="B749" s="3" t="s">
        <v>140</v>
      </c>
      <c r="C749" s="3" t="s">
        <v>15</v>
      </c>
      <c r="D749" s="3" t="str">
        <f>VLOOKUP(C749,Countries!$B$3:$C$140,2,FALSE)</f>
        <v>Europe</v>
      </c>
      <c r="E749" s="3" t="s">
        <v>6</v>
      </c>
      <c r="F749" s="3" t="str">
        <f>VLOOKUP(E749,Countries!$B$3:$C$140,2,FALSE)</f>
        <v>Europe</v>
      </c>
      <c r="G749" s="4">
        <v>8</v>
      </c>
      <c r="H749" s="4">
        <v>0</v>
      </c>
    </row>
    <row r="750" spans="2:8" x14ac:dyDescent="0.2">
      <c r="B750" s="3" t="s">
        <v>140</v>
      </c>
      <c r="C750" s="3" t="s">
        <v>15</v>
      </c>
      <c r="D750" s="3" t="str">
        <f>VLOOKUP(C750,Countries!$B$3:$C$140,2,FALSE)</f>
        <v>Europe</v>
      </c>
      <c r="E750" s="3" t="s">
        <v>7</v>
      </c>
      <c r="F750" s="3" t="str">
        <f>VLOOKUP(E750,Countries!$B$3:$C$140,2,FALSE)</f>
        <v>South America</v>
      </c>
      <c r="G750" s="4">
        <v>16</v>
      </c>
      <c r="H750" s="4">
        <v>0</v>
      </c>
    </row>
    <row r="751" spans="2:8" x14ac:dyDescent="0.2">
      <c r="B751" s="3" t="s">
        <v>140</v>
      </c>
      <c r="C751" s="3" t="s">
        <v>15</v>
      </c>
      <c r="D751" s="3" t="str">
        <f>VLOOKUP(C751,Countries!$B$3:$C$140,2,FALSE)</f>
        <v>Europe</v>
      </c>
      <c r="E751" s="3" t="s">
        <v>36</v>
      </c>
      <c r="F751" s="3" t="str">
        <f>VLOOKUP(E751,Countries!$B$3:$C$140,2,FALSE)</f>
        <v>Europe</v>
      </c>
      <c r="G751" s="4">
        <v>2</v>
      </c>
      <c r="H751" s="4">
        <v>0</v>
      </c>
    </row>
    <row r="752" spans="2:8" x14ac:dyDescent="0.2">
      <c r="B752" s="3" t="s">
        <v>140</v>
      </c>
      <c r="C752" s="3" t="s">
        <v>15</v>
      </c>
      <c r="D752" s="3" t="str">
        <f>VLOOKUP(C752,Countries!$B$3:$C$140,2,FALSE)</f>
        <v>Europe</v>
      </c>
      <c r="E752" s="3" t="s">
        <v>89</v>
      </c>
      <c r="F752" s="3" t="str">
        <f>VLOOKUP(E752,Countries!$B$3:$C$140,2,FALSE)</f>
        <v>Asia</v>
      </c>
      <c r="G752" s="4">
        <v>4</v>
      </c>
      <c r="H752" s="4">
        <v>0</v>
      </c>
    </row>
    <row r="753" spans="2:8" x14ac:dyDescent="0.2">
      <c r="B753" s="3" t="s">
        <v>140</v>
      </c>
      <c r="C753" s="3" t="s">
        <v>15</v>
      </c>
      <c r="D753" s="3" t="str">
        <f>VLOOKUP(C753,Countries!$B$3:$C$140,2,FALSE)</f>
        <v>Europe</v>
      </c>
      <c r="E753" s="3" t="s">
        <v>72</v>
      </c>
      <c r="F753" s="3" t="str">
        <f>VLOOKUP(E753,Countries!$B$3:$C$140,2,FALSE)</f>
        <v>South America</v>
      </c>
      <c r="G753" s="4">
        <v>6</v>
      </c>
      <c r="H753" s="4">
        <v>0</v>
      </c>
    </row>
    <row r="754" spans="2:8" x14ac:dyDescent="0.2">
      <c r="B754" s="3" t="s">
        <v>140</v>
      </c>
      <c r="C754" s="3" t="s">
        <v>15</v>
      </c>
      <c r="D754" s="3" t="str">
        <f>VLOOKUP(C754,Countries!$B$3:$C$140,2,FALSE)</f>
        <v>Europe</v>
      </c>
      <c r="E754" s="3" t="s">
        <v>9</v>
      </c>
      <c r="F754" s="3" t="str">
        <f>VLOOKUP(E754,Countries!$B$3:$C$140,2,FALSE)</f>
        <v>Europe</v>
      </c>
      <c r="G754" s="4">
        <v>16</v>
      </c>
      <c r="H754" s="4">
        <v>40358.309451000001</v>
      </c>
    </row>
    <row r="755" spans="2:8" x14ac:dyDescent="0.2">
      <c r="B755" s="3" t="s">
        <v>140</v>
      </c>
      <c r="C755" s="3" t="s">
        <v>15</v>
      </c>
      <c r="D755" s="3" t="str">
        <f>VLOOKUP(C755,Countries!$B$3:$C$140,2,FALSE)</f>
        <v>Europe</v>
      </c>
      <c r="E755" s="3" t="s">
        <v>62</v>
      </c>
      <c r="F755" s="3" t="str">
        <f>VLOOKUP(E755,Countries!$B$3:$C$140,2,FALSE)</f>
        <v>Asia</v>
      </c>
      <c r="G755" s="4">
        <v>8</v>
      </c>
      <c r="H755" s="4">
        <v>0</v>
      </c>
    </row>
    <row r="756" spans="2:8" x14ac:dyDescent="0.2">
      <c r="B756" s="3" t="s">
        <v>140</v>
      </c>
      <c r="C756" s="3" t="s">
        <v>15</v>
      </c>
      <c r="D756" s="3" t="str">
        <f>VLOOKUP(C756,Countries!$B$3:$C$140,2,FALSE)</f>
        <v>Europe</v>
      </c>
      <c r="E756" s="3" t="s">
        <v>49</v>
      </c>
      <c r="F756" s="3" t="str">
        <f>VLOOKUP(E756,Countries!$B$3:$C$140,2,FALSE)</f>
        <v>Europe</v>
      </c>
      <c r="G756" s="4">
        <v>10</v>
      </c>
      <c r="H756" s="4">
        <v>121074.928353</v>
      </c>
    </row>
    <row r="757" spans="2:8" x14ac:dyDescent="0.2">
      <c r="B757" s="3" t="s">
        <v>140</v>
      </c>
      <c r="C757" s="3" t="s">
        <v>15</v>
      </c>
      <c r="D757" s="3" t="str">
        <f>VLOOKUP(C757,Countries!$B$3:$C$140,2,FALSE)</f>
        <v>Europe</v>
      </c>
      <c r="E757" s="3" t="s">
        <v>63</v>
      </c>
      <c r="F757" s="3" t="str">
        <f>VLOOKUP(E757,Countries!$B$3:$C$140,2,FALSE)</f>
        <v>Africa</v>
      </c>
      <c r="G757" s="4">
        <v>2</v>
      </c>
      <c r="H757" s="4">
        <v>0</v>
      </c>
    </row>
    <row r="758" spans="2:8" x14ac:dyDescent="0.2">
      <c r="B758" s="3" t="s">
        <v>140</v>
      </c>
      <c r="C758" s="3" t="s">
        <v>15</v>
      </c>
      <c r="D758" s="3" t="str">
        <f>VLOOKUP(C758,Countries!$B$3:$C$140,2,FALSE)</f>
        <v>Europe</v>
      </c>
      <c r="E758" s="3" t="s">
        <v>50</v>
      </c>
      <c r="F758" s="3" t="str">
        <f>VLOOKUP(E758,Countries!$B$3:$C$140,2,FALSE)</f>
        <v>Europe</v>
      </c>
      <c r="G758" s="4">
        <v>10</v>
      </c>
      <c r="H758" s="4">
        <v>0</v>
      </c>
    </row>
    <row r="759" spans="2:8" x14ac:dyDescent="0.2">
      <c r="B759" s="3" t="s">
        <v>140</v>
      </c>
      <c r="C759" s="3" t="s">
        <v>15</v>
      </c>
      <c r="D759" s="3" t="str">
        <f>VLOOKUP(C759,Countries!$B$3:$C$140,2,FALSE)</f>
        <v>Europe</v>
      </c>
      <c r="E759" s="3" t="s">
        <v>11</v>
      </c>
      <c r="F759" s="3" t="str">
        <f>VLOOKUP(E759,Countries!$B$3:$C$140,2,FALSE)</f>
        <v>Europe</v>
      </c>
      <c r="G759" s="4">
        <v>10</v>
      </c>
      <c r="H759" s="4">
        <v>0</v>
      </c>
    </row>
    <row r="760" spans="2:8" x14ac:dyDescent="0.2">
      <c r="B760" s="3" t="s">
        <v>140</v>
      </c>
      <c r="C760" s="3" t="s">
        <v>15</v>
      </c>
      <c r="D760" s="3" t="str">
        <f>VLOOKUP(C760,Countries!$B$3:$C$140,2,FALSE)</f>
        <v>Europe</v>
      </c>
      <c r="E760" s="3" t="s">
        <v>73</v>
      </c>
      <c r="F760" s="3" t="str">
        <f>VLOOKUP(E760,Countries!$B$3:$C$140,2,FALSE)</f>
        <v>Europe</v>
      </c>
      <c r="G760" s="4">
        <v>4</v>
      </c>
      <c r="H760" s="4">
        <v>0</v>
      </c>
    </row>
    <row r="761" spans="2:8" x14ac:dyDescent="0.2">
      <c r="B761" s="3" t="s">
        <v>140</v>
      </c>
      <c r="C761" s="3" t="s">
        <v>15</v>
      </c>
      <c r="D761" s="3" t="str">
        <f>VLOOKUP(C761,Countries!$B$3:$C$140,2,FALSE)</f>
        <v>Europe</v>
      </c>
      <c r="E761" s="3" t="s">
        <v>12</v>
      </c>
      <c r="F761" s="3" t="str">
        <f>VLOOKUP(E761,Countries!$B$3:$C$140,2,FALSE)</f>
        <v>Europe</v>
      </c>
      <c r="G761" s="4">
        <v>6</v>
      </c>
      <c r="H761" s="4">
        <v>0</v>
      </c>
    </row>
    <row r="762" spans="2:8" x14ac:dyDescent="0.2">
      <c r="B762" s="3" t="s">
        <v>140</v>
      </c>
      <c r="C762" s="3" t="s">
        <v>15</v>
      </c>
      <c r="D762" s="3" t="str">
        <f>VLOOKUP(C762,Countries!$B$3:$C$140,2,FALSE)</f>
        <v>Europe</v>
      </c>
      <c r="E762" s="3" t="s">
        <v>39</v>
      </c>
      <c r="F762" s="3" t="str">
        <f>VLOOKUP(E762,Countries!$B$3:$C$140,2,FALSE)</f>
        <v>Europe/Asia</v>
      </c>
      <c r="G762" s="4">
        <v>4</v>
      </c>
      <c r="H762" s="4">
        <v>0</v>
      </c>
    </row>
    <row r="763" spans="2:8" x14ac:dyDescent="0.2">
      <c r="B763" s="3" t="s">
        <v>140</v>
      </c>
      <c r="C763" s="3" t="s">
        <v>15</v>
      </c>
      <c r="D763" s="3" t="str">
        <f>VLOOKUP(C763,Countries!$B$3:$C$140,2,FALSE)</f>
        <v>Europe</v>
      </c>
      <c r="E763" s="3" t="s">
        <v>13</v>
      </c>
      <c r="F763" s="3" t="str">
        <f>VLOOKUP(E763,Countries!$B$3:$C$140,2,FALSE)</f>
        <v>Europe</v>
      </c>
      <c r="G763" s="4">
        <v>2</v>
      </c>
      <c r="H763" s="4">
        <v>0</v>
      </c>
    </row>
    <row r="764" spans="2:8" x14ac:dyDescent="0.2">
      <c r="B764" s="3" t="s">
        <v>140</v>
      </c>
      <c r="C764" s="3" t="s">
        <v>15</v>
      </c>
      <c r="D764" s="3" t="str">
        <f>VLOOKUP(C764,Countries!$B$3:$C$140,2,FALSE)</f>
        <v>Europe</v>
      </c>
      <c r="E764" s="3" t="s">
        <v>14</v>
      </c>
      <c r="F764" s="3" t="str">
        <f>VLOOKUP(E764,Countries!$B$3:$C$140,2,FALSE)</f>
        <v>Europe</v>
      </c>
      <c r="G764" s="4">
        <v>10</v>
      </c>
      <c r="H764" s="4">
        <v>0</v>
      </c>
    </row>
    <row r="765" spans="2:8" x14ac:dyDescent="0.2">
      <c r="B765" s="3" t="s">
        <v>140</v>
      </c>
      <c r="C765" s="3" t="s">
        <v>15</v>
      </c>
      <c r="D765" s="3" t="str">
        <f>VLOOKUP(C765,Countries!$B$3:$C$140,2,FALSE)</f>
        <v>Europe</v>
      </c>
      <c r="E765" s="3" t="s">
        <v>17</v>
      </c>
      <c r="F765" s="3" t="str">
        <f>VLOOKUP(E765,Countries!$B$3:$C$140,2,FALSE)</f>
        <v>Europe</v>
      </c>
      <c r="G765" s="4">
        <v>8</v>
      </c>
      <c r="H765" s="4">
        <v>201791.54725499998</v>
      </c>
    </row>
    <row r="766" spans="2:8" x14ac:dyDescent="0.2">
      <c r="B766" s="3" t="s">
        <v>140</v>
      </c>
      <c r="C766" s="3" t="s">
        <v>15</v>
      </c>
      <c r="D766" s="3" t="str">
        <f>VLOOKUP(C766,Countries!$B$3:$C$140,2,FALSE)</f>
        <v>Europe</v>
      </c>
      <c r="E766" s="3" t="s">
        <v>40</v>
      </c>
      <c r="F766" s="3" t="str">
        <f>VLOOKUP(E766,Countries!$B$3:$C$140,2,FALSE)</f>
        <v>Asia</v>
      </c>
      <c r="G766" s="4">
        <v>2</v>
      </c>
      <c r="H766" s="4">
        <v>0</v>
      </c>
    </row>
    <row r="767" spans="2:8" x14ac:dyDescent="0.2">
      <c r="B767" s="3" t="s">
        <v>140</v>
      </c>
      <c r="C767" s="3" t="s">
        <v>15</v>
      </c>
      <c r="D767" s="3" t="str">
        <f>VLOOKUP(C767,Countries!$B$3:$C$140,2,FALSE)</f>
        <v>Europe</v>
      </c>
      <c r="E767" s="3" t="s">
        <v>22</v>
      </c>
      <c r="F767" s="3" t="str">
        <f>VLOOKUP(E767,Countries!$B$3:$C$140,2,FALSE)</f>
        <v>Europe</v>
      </c>
      <c r="G767" s="4">
        <v>2</v>
      </c>
      <c r="H767" s="4">
        <v>0</v>
      </c>
    </row>
    <row r="768" spans="2:8" x14ac:dyDescent="0.2">
      <c r="B768" s="3" t="s">
        <v>140</v>
      </c>
      <c r="C768" s="3" t="s">
        <v>15</v>
      </c>
      <c r="D768" s="3" t="str">
        <f>VLOOKUP(C768,Countries!$B$3:$C$140,2,FALSE)</f>
        <v>Europe</v>
      </c>
      <c r="E768" s="3" t="s">
        <v>23</v>
      </c>
      <c r="F768" s="3" t="str">
        <f>VLOOKUP(E768,Countries!$B$3:$C$140,2,FALSE)</f>
        <v>Europe</v>
      </c>
      <c r="G768" s="4">
        <v>6</v>
      </c>
      <c r="H768" s="4">
        <v>0</v>
      </c>
    </row>
    <row r="769" spans="2:8" x14ac:dyDescent="0.2">
      <c r="B769" s="3" t="s">
        <v>140</v>
      </c>
      <c r="C769" s="3" t="s">
        <v>15</v>
      </c>
      <c r="D769" s="3" t="str">
        <f>VLOOKUP(C769,Countries!$B$3:$C$140,2,FALSE)</f>
        <v>Europe</v>
      </c>
      <c r="E769" s="3" t="s">
        <v>53</v>
      </c>
      <c r="F769" s="3" t="str">
        <f>VLOOKUP(E769,Countries!$B$3:$C$140,2,FALSE)</f>
        <v>Europe</v>
      </c>
      <c r="G769" s="4">
        <v>22</v>
      </c>
      <c r="H769" s="4">
        <v>0</v>
      </c>
    </row>
    <row r="770" spans="2:8" x14ac:dyDescent="0.2">
      <c r="B770" s="3" t="s">
        <v>140</v>
      </c>
      <c r="C770" s="3" t="s">
        <v>15</v>
      </c>
      <c r="D770" s="3" t="str">
        <f>VLOOKUP(C770,Countries!$B$3:$C$140,2,FALSE)</f>
        <v>Europe</v>
      </c>
      <c r="E770" s="3" t="s">
        <v>44</v>
      </c>
      <c r="F770" s="3" t="str">
        <f>VLOOKUP(E770,Countries!$B$3:$C$140,2,FALSE)</f>
        <v>Europe</v>
      </c>
      <c r="G770" s="4">
        <v>4</v>
      </c>
      <c r="H770" s="4">
        <v>0</v>
      </c>
    </row>
    <row r="771" spans="2:8" x14ac:dyDescent="0.2">
      <c r="B771" s="3" t="s">
        <v>140</v>
      </c>
      <c r="C771" s="3" t="s">
        <v>15</v>
      </c>
      <c r="D771" s="3" t="str">
        <f>VLOOKUP(C771,Countries!$B$3:$C$140,2,FALSE)</f>
        <v>Europe</v>
      </c>
      <c r="E771" s="3" t="s">
        <v>54</v>
      </c>
      <c r="F771" s="3" t="str">
        <f>VLOOKUP(E771,Countries!$B$3:$C$140,2,FALSE)</f>
        <v>Europe</v>
      </c>
      <c r="G771" s="4">
        <v>2</v>
      </c>
      <c r="H771" s="4">
        <v>0</v>
      </c>
    </row>
    <row r="772" spans="2:8" x14ac:dyDescent="0.2">
      <c r="B772" s="3" t="s">
        <v>140</v>
      </c>
      <c r="C772" s="3" t="s">
        <v>15</v>
      </c>
      <c r="D772" s="3" t="str">
        <f>VLOOKUP(C772,Countries!$B$3:$C$140,2,FALSE)</f>
        <v>Europe</v>
      </c>
      <c r="E772" s="3" t="s">
        <v>25</v>
      </c>
      <c r="F772" s="3" t="str">
        <f>VLOOKUP(E772,Countries!$B$3:$C$140,2,FALSE)</f>
        <v>Europe</v>
      </c>
      <c r="G772" s="4">
        <v>12</v>
      </c>
      <c r="H772" s="4">
        <v>0</v>
      </c>
    </row>
    <row r="773" spans="2:8" x14ac:dyDescent="0.2">
      <c r="B773" s="3" t="s">
        <v>140</v>
      </c>
      <c r="C773" s="3" t="s">
        <v>15</v>
      </c>
      <c r="D773" s="3" t="str">
        <f>VLOOKUP(C773,Countries!$B$3:$C$140,2,FALSE)</f>
        <v>Europe</v>
      </c>
      <c r="E773" s="3" t="s">
        <v>26</v>
      </c>
      <c r="F773" s="3" t="str">
        <f>VLOOKUP(E773,Countries!$B$3:$C$140,2,FALSE)</f>
        <v>Europe</v>
      </c>
      <c r="G773" s="4">
        <v>18</v>
      </c>
      <c r="H773" s="4">
        <v>0</v>
      </c>
    </row>
    <row r="774" spans="2:8" x14ac:dyDescent="0.2">
      <c r="B774" s="3" t="s">
        <v>140</v>
      </c>
      <c r="C774" s="3" t="s">
        <v>15</v>
      </c>
      <c r="D774" s="3" t="str">
        <f>VLOOKUP(C774,Countries!$B$3:$C$140,2,FALSE)</f>
        <v>Europe</v>
      </c>
      <c r="E774" s="3" t="s">
        <v>55</v>
      </c>
      <c r="F774" s="3" t="str">
        <f>VLOOKUP(E774,Countries!$B$3:$C$140,2,FALSE)</f>
        <v>Europe</v>
      </c>
      <c r="G774" s="4">
        <v>4</v>
      </c>
      <c r="H774" s="4">
        <v>0</v>
      </c>
    </row>
    <row r="775" spans="2:8" x14ac:dyDescent="0.2">
      <c r="B775" s="3" t="s">
        <v>140</v>
      </c>
      <c r="C775" s="3" t="s">
        <v>15</v>
      </c>
      <c r="D775" s="3" t="str">
        <f>VLOOKUP(C775,Countries!$B$3:$C$140,2,FALSE)</f>
        <v>Europe</v>
      </c>
      <c r="E775" s="3" t="s">
        <v>28</v>
      </c>
      <c r="F775" s="3" t="str">
        <f>VLOOKUP(E775,Countries!$B$3:$C$140,2,FALSE)</f>
        <v>Europe</v>
      </c>
      <c r="G775" s="4">
        <v>18</v>
      </c>
      <c r="H775" s="4">
        <v>242149.85670599999</v>
      </c>
    </row>
    <row r="776" spans="2:8" x14ac:dyDescent="0.2">
      <c r="B776" s="3" t="s">
        <v>140</v>
      </c>
      <c r="C776" s="3" t="s">
        <v>15</v>
      </c>
      <c r="D776" s="3" t="str">
        <f>VLOOKUP(C776,Countries!$B$3:$C$140,2,FALSE)</f>
        <v>Europe</v>
      </c>
      <c r="E776" s="3" t="s">
        <v>29</v>
      </c>
      <c r="F776" s="3" t="str">
        <f>VLOOKUP(E776,Countries!$B$3:$C$140,2,FALSE)</f>
        <v>Europe</v>
      </c>
      <c r="G776" s="4">
        <v>10</v>
      </c>
      <c r="H776" s="4">
        <v>0</v>
      </c>
    </row>
    <row r="777" spans="2:8" x14ac:dyDescent="0.2">
      <c r="B777" s="3" t="s">
        <v>140</v>
      </c>
      <c r="C777" s="3" t="s">
        <v>15</v>
      </c>
      <c r="D777" s="3" t="str">
        <f>VLOOKUP(C777,Countries!$B$3:$C$140,2,FALSE)</f>
        <v>Europe</v>
      </c>
      <c r="E777" s="3" t="s">
        <v>56</v>
      </c>
      <c r="F777" s="3" t="str">
        <f>VLOOKUP(E777,Countries!$B$3:$C$140,2,FALSE)</f>
        <v>Europe</v>
      </c>
      <c r="G777" s="4">
        <v>8</v>
      </c>
      <c r="H777" s="4">
        <v>0</v>
      </c>
    </row>
    <row r="778" spans="2:8" x14ac:dyDescent="0.2">
      <c r="B778" s="3" t="s">
        <v>140</v>
      </c>
      <c r="C778" s="3" t="s">
        <v>15</v>
      </c>
      <c r="D778" s="3" t="str">
        <f>VLOOKUP(C778,Countries!$B$3:$C$140,2,FALSE)</f>
        <v>Europe</v>
      </c>
      <c r="E778" s="3" t="s">
        <v>30</v>
      </c>
      <c r="F778" s="3" t="str">
        <f>VLOOKUP(E778,Countries!$B$3:$C$140,2,FALSE)</f>
        <v>Europe</v>
      </c>
      <c r="G778" s="4">
        <v>10</v>
      </c>
      <c r="H778" s="4">
        <v>0</v>
      </c>
    </row>
    <row r="779" spans="2:8" x14ac:dyDescent="0.2">
      <c r="B779" s="3" t="s">
        <v>140</v>
      </c>
      <c r="C779" s="3" t="s">
        <v>15</v>
      </c>
      <c r="D779" s="3" t="str">
        <f>VLOOKUP(C779,Countries!$B$3:$C$140,2,FALSE)</f>
        <v>Europe</v>
      </c>
      <c r="E779" s="3" t="s">
        <v>104</v>
      </c>
      <c r="F779" s="3" t="str">
        <f>VLOOKUP(E779,Countries!$B$3:$C$140,2,FALSE)</f>
        <v>Africa</v>
      </c>
      <c r="G779" s="4">
        <v>2</v>
      </c>
      <c r="H779" s="4">
        <v>0</v>
      </c>
    </row>
    <row r="780" spans="2:8" x14ac:dyDescent="0.2">
      <c r="B780" s="3" t="s">
        <v>140</v>
      </c>
      <c r="C780" s="3" t="s">
        <v>15</v>
      </c>
      <c r="D780" s="3" t="str">
        <f>VLOOKUP(C780,Countries!$B$3:$C$140,2,FALSE)</f>
        <v>Europe</v>
      </c>
      <c r="E780" s="3" t="s">
        <v>57</v>
      </c>
      <c r="F780" s="3" t="str">
        <f>VLOOKUP(E780,Countries!$B$3:$C$140,2,FALSE)</f>
        <v>Europe/Asia</v>
      </c>
      <c r="G780" s="4">
        <v>4</v>
      </c>
      <c r="H780" s="4">
        <v>0</v>
      </c>
    </row>
    <row r="781" spans="2:8" x14ac:dyDescent="0.2">
      <c r="B781" s="3" t="s">
        <v>140</v>
      </c>
      <c r="C781" s="3" t="s">
        <v>15</v>
      </c>
      <c r="D781" s="3" t="str">
        <f>VLOOKUP(C781,Countries!$B$3:$C$140,2,FALSE)</f>
        <v>Europe</v>
      </c>
      <c r="E781" s="3" t="s">
        <v>105</v>
      </c>
      <c r="F781" s="3" t="str">
        <f>VLOOKUP(E781,Countries!$B$3:$C$140,2,FALSE)</f>
        <v>Asia</v>
      </c>
      <c r="G781" s="4">
        <v>2</v>
      </c>
      <c r="H781" s="4">
        <v>0</v>
      </c>
    </row>
    <row r="782" spans="2:8" x14ac:dyDescent="0.2">
      <c r="B782" s="3" t="s">
        <v>140</v>
      </c>
      <c r="C782" s="3" t="s">
        <v>15</v>
      </c>
      <c r="D782" s="3" t="str">
        <f>VLOOKUP(C782,Countries!$B$3:$C$140,2,FALSE)</f>
        <v>Europe</v>
      </c>
      <c r="E782" s="3" t="s">
        <v>32</v>
      </c>
      <c r="F782" s="3" t="str">
        <f>VLOOKUP(E782,Countries!$B$3:$C$140,2,FALSE)</f>
        <v>Europe</v>
      </c>
      <c r="G782" s="4">
        <v>2</v>
      </c>
      <c r="H782" s="4">
        <v>0</v>
      </c>
    </row>
    <row r="783" spans="2:8" x14ac:dyDescent="0.2">
      <c r="B783" s="3" t="s">
        <v>140</v>
      </c>
      <c r="C783" s="3" t="s">
        <v>15</v>
      </c>
      <c r="D783" s="3" t="str">
        <f>VLOOKUP(C783,Countries!$B$3:$C$140,2,FALSE)</f>
        <v>Europe</v>
      </c>
      <c r="E783" s="3" t="s">
        <v>58</v>
      </c>
      <c r="F783" s="3" t="str">
        <f>VLOOKUP(E783,Countries!$B$3:$C$140,2,FALSE)</f>
        <v>South America</v>
      </c>
      <c r="G783" s="4">
        <v>4</v>
      </c>
      <c r="H783" s="4">
        <v>600000</v>
      </c>
    </row>
    <row r="784" spans="2:8" x14ac:dyDescent="0.2">
      <c r="B784" s="3" t="s">
        <v>140</v>
      </c>
      <c r="C784" s="3" t="s">
        <v>15</v>
      </c>
      <c r="D784" s="3" t="str">
        <f>VLOOKUP(C784,Countries!$B$3:$C$140,2,FALSE)</f>
        <v>Europe</v>
      </c>
      <c r="E784" s="3" t="s">
        <v>86</v>
      </c>
      <c r="F784" s="3" t="str">
        <f>VLOOKUP(E784,Countries!$B$3:$C$140,2,FALSE)</f>
        <v>Europe</v>
      </c>
      <c r="G784" s="4">
        <v>2</v>
      </c>
      <c r="H784" s="4">
        <v>0</v>
      </c>
    </row>
    <row r="785" spans="2:8" x14ac:dyDescent="0.2">
      <c r="B785" s="3" t="s">
        <v>140</v>
      </c>
      <c r="C785" s="3" t="s">
        <v>101</v>
      </c>
      <c r="D785" s="3" t="str">
        <f>VLOOKUP(C785,Countries!$B$3:$C$140,2,FALSE)</f>
        <v>Europe</v>
      </c>
      <c r="E785" s="3" t="s">
        <v>48</v>
      </c>
      <c r="F785" s="3" t="str">
        <f>VLOOKUP(E785,Countries!$B$3:$C$140,2,FALSE)</f>
        <v>Oceania</v>
      </c>
      <c r="G785" s="4">
        <v>2</v>
      </c>
      <c r="H785" s="4">
        <v>0</v>
      </c>
    </row>
    <row r="786" spans="2:8" x14ac:dyDescent="0.2">
      <c r="B786" s="3" t="s">
        <v>140</v>
      </c>
      <c r="C786" s="3" t="s">
        <v>101</v>
      </c>
      <c r="D786" s="3" t="str">
        <f>VLOOKUP(C786,Countries!$B$3:$C$140,2,FALSE)</f>
        <v>Europe</v>
      </c>
      <c r="E786" s="3" t="s">
        <v>35</v>
      </c>
      <c r="F786" s="3" t="str">
        <f>VLOOKUP(E786,Countries!$B$3:$C$140,2,FALSE)</f>
        <v>Europe</v>
      </c>
      <c r="G786" s="4">
        <v>2</v>
      </c>
      <c r="H786" s="4">
        <v>60739.255723755006</v>
      </c>
    </row>
    <row r="787" spans="2:8" x14ac:dyDescent="0.2">
      <c r="B787" s="3" t="s">
        <v>140</v>
      </c>
      <c r="C787" s="3" t="s">
        <v>101</v>
      </c>
      <c r="D787" s="3" t="str">
        <f>VLOOKUP(C787,Countries!$B$3:$C$140,2,FALSE)</f>
        <v>Europe</v>
      </c>
      <c r="E787" s="3" t="s">
        <v>89</v>
      </c>
      <c r="F787" s="3" t="str">
        <f>VLOOKUP(E787,Countries!$B$3:$C$140,2,FALSE)</f>
        <v>Asia</v>
      </c>
      <c r="G787" s="4">
        <v>2</v>
      </c>
      <c r="H787" s="4">
        <v>0</v>
      </c>
    </row>
    <row r="788" spans="2:8" x14ac:dyDescent="0.2">
      <c r="B788" s="3" t="s">
        <v>140</v>
      </c>
      <c r="C788" s="3" t="s">
        <v>101</v>
      </c>
      <c r="D788" s="3" t="str">
        <f>VLOOKUP(C788,Countries!$B$3:$C$140,2,FALSE)</f>
        <v>Europe</v>
      </c>
      <c r="E788" s="3" t="s">
        <v>50</v>
      </c>
      <c r="F788" s="3" t="str">
        <f>VLOOKUP(E788,Countries!$B$3:$C$140,2,FALSE)</f>
        <v>Europe</v>
      </c>
      <c r="G788" s="4">
        <v>36</v>
      </c>
      <c r="H788" s="4">
        <v>47024.147850000001</v>
      </c>
    </row>
    <row r="789" spans="2:8" x14ac:dyDescent="0.2">
      <c r="B789" s="3" t="s">
        <v>140</v>
      </c>
      <c r="C789" s="3" t="s">
        <v>101</v>
      </c>
      <c r="D789" s="3" t="str">
        <f>VLOOKUP(C789,Countries!$B$3:$C$140,2,FALSE)</f>
        <v>Europe</v>
      </c>
      <c r="E789" s="3" t="s">
        <v>11</v>
      </c>
      <c r="F789" s="3" t="str">
        <f>VLOOKUP(E789,Countries!$B$3:$C$140,2,FALSE)</f>
        <v>Europe</v>
      </c>
      <c r="G789" s="4">
        <v>2</v>
      </c>
      <c r="H789" s="4">
        <v>0</v>
      </c>
    </row>
    <row r="790" spans="2:8" x14ac:dyDescent="0.2">
      <c r="B790" s="3" t="s">
        <v>140</v>
      </c>
      <c r="C790" s="3" t="s">
        <v>101</v>
      </c>
      <c r="D790" s="3" t="str">
        <f>VLOOKUP(C790,Countries!$B$3:$C$140,2,FALSE)</f>
        <v>Europe</v>
      </c>
      <c r="E790" s="3" t="s">
        <v>13</v>
      </c>
      <c r="F790" s="3" t="str">
        <f>VLOOKUP(E790,Countries!$B$3:$C$140,2,FALSE)</f>
        <v>Europe</v>
      </c>
      <c r="G790" s="4">
        <v>2</v>
      </c>
      <c r="H790" s="4">
        <v>0</v>
      </c>
    </row>
    <row r="791" spans="2:8" x14ac:dyDescent="0.2">
      <c r="B791" s="3" t="s">
        <v>140</v>
      </c>
      <c r="C791" s="3" t="s">
        <v>101</v>
      </c>
      <c r="D791" s="3" t="str">
        <f>VLOOKUP(C791,Countries!$B$3:$C$140,2,FALSE)</f>
        <v>Europe</v>
      </c>
      <c r="E791" s="3" t="s">
        <v>75</v>
      </c>
      <c r="F791" s="3" t="str">
        <f>VLOOKUP(E791,Countries!$B$3:$C$140,2,FALSE)</f>
        <v>Europe</v>
      </c>
      <c r="G791" s="4">
        <v>2</v>
      </c>
      <c r="H791" s="4">
        <v>0</v>
      </c>
    </row>
    <row r="792" spans="2:8" x14ac:dyDescent="0.2">
      <c r="B792" s="3" t="s">
        <v>140</v>
      </c>
      <c r="C792" s="3" t="s">
        <v>101</v>
      </c>
      <c r="D792" s="3" t="str">
        <f>VLOOKUP(C792,Countries!$B$3:$C$140,2,FALSE)</f>
        <v>Europe</v>
      </c>
      <c r="E792" s="3" t="s">
        <v>22</v>
      </c>
      <c r="F792" s="3" t="str">
        <f>VLOOKUP(E792,Countries!$B$3:$C$140,2,FALSE)</f>
        <v>Europe</v>
      </c>
      <c r="G792" s="4">
        <v>2</v>
      </c>
      <c r="H792" s="4">
        <v>0</v>
      </c>
    </row>
    <row r="793" spans="2:8" x14ac:dyDescent="0.2">
      <c r="B793" s="3" t="s">
        <v>140</v>
      </c>
      <c r="C793" s="3" t="s">
        <v>101</v>
      </c>
      <c r="D793" s="3" t="str">
        <f>VLOOKUP(C793,Countries!$B$3:$C$140,2,FALSE)</f>
        <v>Europe</v>
      </c>
      <c r="E793" s="3" t="s">
        <v>78</v>
      </c>
      <c r="F793" s="3" t="str">
        <f>VLOOKUP(E793,Countries!$B$3:$C$140,2,FALSE)</f>
        <v>Europe</v>
      </c>
      <c r="G793" s="4">
        <v>14</v>
      </c>
      <c r="H793" s="4">
        <v>47024.147850000001</v>
      </c>
    </row>
    <row r="794" spans="2:8" x14ac:dyDescent="0.2">
      <c r="B794" s="3" t="s">
        <v>140</v>
      </c>
      <c r="C794" s="3" t="s">
        <v>101</v>
      </c>
      <c r="D794" s="3" t="str">
        <f>VLOOKUP(C794,Countries!$B$3:$C$140,2,FALSE)</f>
        <v>Europe</v>
      </c>
      <c r="E794" s="3" t="s">
        <v>82</v>
      </c>
      <c r="F794" s="3" t="e">
        <f>VLOOKUP(E794,Countries!$B$3:$C$140,2,FALSE)</f>
        <v>#N/A</v>
      </c>
      <c r="G794" s="4">
        <v>2</v>
      </c>
      <c r="H794" s="4">
        <v>0</v>
      </c>
    </row>
    <row r="795" spans="2:8" x14ac:dyDescent="0.2">
      <c r="B795" s="3" t="s">
        <v>140</v>
      </c>
      <c r="C795" s="3" t="s">
        <v>101</v>
      </c>
      <c r="D795" s="3" t="str">
        <f>VLOOKUP(C795,Countries!$B$3:$C$140,2,FALSE)</f>
        <v>Europe</v>
      </c>
      <c r="E795" s="3" t="s">
        <v>55</v>
      </c>
      <c r="F795" s="3" t="str">
        <f>VLOOKUP(E795,Countries!$B$3:$C$140,2,FALSE)</f>
        <v>Europe</v>
      </c>
      <c r="G795" s="4">
        <v>8</v>
      </c>
      <c r="H795" s="4">
        <v>0</v>
      </c>
    </row>
    <row r="796" spans="2:8" x14ac:dyDescent="0.2">
      <c r="B796" s="3" t="s">
        <v>140</v>
      </c>
      <c r="C796" s="3" t="s">
        <v>101</v>
      </c>
      <c r="D796" s="3" t="str">
        <f>VLOOKUP(C796,Countries!$B$3:$C$140,2,FALSE)</f>
        <v>Europe</v>
      </c>
      <c r="E796" s="3" t="s">
        <v>33</v>
      </c>
      <c r="F796" s="3" t="str">
        <f>VLOOKUP(E796,Countries!$B$3:$C$140,2,FALSE)</f>
        <v>North America</v>
      </c>
      <c r="G796" s="4">
        <v>4</v>
      </c>
      <c r="H796" s="4">
        <v>0</v>
      </c>
    </row>
    <row r="797" spans="2:8" x14ac:dyDescent="0.2">
      <c r="B797" s="3" t="s">
        <v>140</v>
      </c>
      <c r="C797" s="3" t="s">
        <v>75</v>
      </c>
      <c r="D797" s="3" t="str">
        <f>VLOOKUP(C797,Countries!$B$3:$C$140,2,FALSE)</f>
        <v>Europe</v>
      </c>
      <c r="E797" s="3" t="s">
        <v>48</v>
      </c>
      <c r="F797" s="3" t="str">
        <f>VLOOKUP(E797,Countries!$B$3:$C$140,2,FALSE)</f>
        <v>Oceania</v>
      </c>
      <c r="G797" s="4">
        <v>2</v>
      </c>
      <c r="H797" s="4">
        <v>0</v>
      </c>
    </row>
    <row r="798" spans="2:8" x14ac:dyDescent="0.2">
      <c r="B798" s="3" t="s">
        <v>140</v>
      </c>
      <c r="C798" s="3" t="s">
        <v>75</v>
      </c>
      <c r="D798" s="3" t="str">
        <f>VLOOKUP(C798,Countries!$B$3:$C$140,2,FALSE)</f>
        <v>Europe</v>
      </c>
      <c r="E798" s="3" t="s">
        <v>36</v>
      </c>
      <c r="F798" s="3" t="str">
        <f>VLOOKUP(E798,Countries!$B$3:$C$140,2,FALSE)</f>
        <v>Europe</v>
      </c>
      <c r="G798" s="4">
        <v>2</v>
      </c>
      <c r="H798" s="4">
        <v>0</v>
      </c>
    </row>
    <row r="799" spans="2:8" x14ac:dyDescent="0.2">
      <c r="B799" s="3" t="s">
        <v>140</v>
      </c>
      <c r="C799" s="3" t="s">
        <v>75</v>
      </c>
      <c r="D799" s="3" t="str">
        <f>VLOOKUP(C799,Countries!$B$3:$C$140,2,FALSE)</f>
        <v>Europe</v>
      </c>
      <c r="E799" s="3" t="s">
        <v>10</v>
      </c>
      <c r="F799" s="3" t="str">
        <f>VLOOKUP(E799,Countries!$B$3:$C$140,2,FALSE)</f>
        <v>Europe</v>
      </c>
      <c r="G799" s="4">
        <v>12</v>
      </c>
      <c r="H799" s="4">
        <v>0</v>
      </c>
    </row>
    <row r="800" spans="2:8" x14ac:dyDescent="0.2">
      <c r="B800" s="3" t="s">
        <v>140</v>
      </c>
      <c r="C800" s="3" t="s">
        <v>75</v>
      </c>
      <c r="D800" s="3" t="str">
        <f>VLOOKUP(C800,Countries!$B$3:$C$140,2,FALSE)</f>
        <v>Europe</v>
      </c>
      <c r="E800" s="3" t="s">
        <v>50</v>
      </c>
      <c r="F800" s="3" t="str">
        <f>VLOOKUP(E800,Countries!$B$3:$C$140,2,FALSE)</f>
        <v>Europe</v>
      </c>
      <c r="G800" s="4">
        <v>20</v>
      </c>
      <c r="H800" s="4">
        <v>0</v>
      </c>
    </row>
    <row r="801" spans="2:8" x14ac:dyDescent="0.2">
      <c r="B801" s="3" t="s">
        <v>140</v>
      </c>
      <c r="C801" s="3" t="s">
        <v>75</v>
      </c>
      <c r="D801" s="3" t="str">
        <f>VLOOKUP(C801,Countries!$B$3:$C$140,2,FALSE)</f>
        <v>Europe</v>
      </c>
      <c r="E801" s="3" t="s">
        <v>97</v>
      </c>
      <c r="F801" s="3" t="str">
        <f>VLOOKUP(E801,Countries!$B$3:$C$140,2,FALSE)</f>
        <v>Europe</v>
      </c>
      <c r="G801" s="4">
        <v>2</v>
      </c>
      <c r="H801" s="4">
        <v>0</v>
      </c>
    </row>
    <row r="802" spans="2:8" x14ac:dyDescent="0.2">
      <c r="B802" s="3" t="s">
        <v>140</v>
      </c>
      <c r="C802" s="3" t="s">
        <v>75</v>
      </c>
      <c r="D802" s="3" t="str">
        <f>VLOOKUP(C802,Countries!$B$3:$C$140,2,FALSE)</f>
        <v>Europe</v>
      </c>
      <c r="E802" s="3" t="s">
        <v>13</v>
      </c>
      <c r="F802" s="3" t="str">
        <f>VLOOKUP(E802,Countries!$B$3:$C$140,2,FALSE)</f>
        <v>Europe</v>
      </c>
      <c r="G802" s="4">
        <v>4</v>
      </c>
      <c r="H802" s="4">
        <v>0</v>
      </c>
    </row>
    <row r="803" spans="2:8" x14ac:dyDescent="0.2">
      <c r="B803" s="3" t="s">
        <v>140</v>
      </c>
      <c r="C803" s="3" t="s">
        <v>75</v>
      </c>
      <c r="D803" s="3" t="str">
        <f>VLOOKUP(C803,Countries!$B$3:$C$140,2,FALSE)</f>
        <v>Europe</v>
      </c>
      <c r="E803" s="3" t="s">
        <v>53</v>
      </c>
      <c r="F803" s="3" t="str">
        <f>VLOOKUP(E803,Countries!$B$3:$C$140,2,FALSE)</f>
        <v>Europe</v>
      </c>
      <c r="G803" s="4">
        <v>2</v>
      </c>
      <c r="H803" s="4">
        <v>0</v>
      </c>
    </row>
    <row r="804" spans="2:8" x14ac:dyDescent="0.2">
      <c r="B804" s="3" t="s">
        <v>140</v>
      </c>
      <c r="C804" s="3" t="s">
        <v>75</v>
      </c>
      <c r="D804" s="3" t="str">
        <f>VLOOKUP(C804,Countries!$B$3:$C$140,2,FALSE)</f>
        <v>Europe</v>
      </c>
      <c r="E804" s="3" t="s">
        <v>44</v>
      </c>
      <c r="F804" s="3" t="str">
        <f>VLOOKUP(E804,Countries!$B$3:$C$140,2,FALSE)</f>
        <v>Europe</v>
      </c>
      <c r="G804" s="4">
        <v>24</v>
      </c>
      <c r="H804" s="4">
        <v>0</v>
      </c>
    </row>
    <row r="805" spans="2:8" x14ac:dyDescent="0.2">
      <c r="B805" s="3" t="s">
        <v>140</v>
      </c>
      <c r="C805" s="3" t="s">
        <v>75</v>
      </c>
      <c r="D805" s="3" t="str">
        <f>VLOOKUP(C805,Countries!$B$3:$C$140,2,FALSE)</f>
        <v>Europe</v>
      </c>
      <c r="E805" s="3" t="s">
        <v>82</v>
      </c>
      <c r="F805" s="3" t="e">
        <f>VLOOKUP(E805,Countries!$B$3:$C$140,2,FALSE)</f>
        <v>#N/A</v>
      </c>
      <c r="G805" s="4">
        <v>2</v>
      </c>
      <c r="H805" s="4">
        <v>0</v>
      </c>
    </row>
    <row r="806" spans="2:8" x14ac:dyDescent="0.2">
      <c r="B806" s="3" t="s">
        <v>140</v>
      </c>
      <c r="C806" s="3" t="s">
        <v>75</v>
      </c>
      <c r="D806" s="3" t="str">
        <f>VLOOKUP(C806,Countries!$B$3:$C$140,2,FALSE)</f>
        <v>Europe</v>
      </c>
      <c r="E806" s="3" t="s">
        <v>55</v>
      </c>
      <c r="F806" s="3" t="str">
        <f>VLOOKUP(E806,Countries!$B$3:$C$140,2,FALSE)</f>
        <v>Europe</v>
      </c>
      <c r="G806" s="4">
        <v>8</v>
      </c>
      <c r="H806" s="4">
        <v>0</v>
      </c>
    </row>
    <row r="807" spans="2:8" x14ac:dyDescent="0.2">
      <c r="B807" s="3" t="s">
        <v>140</v>
      </c>
      <c r="C807" s="3" t="s">
        <v>75</v>
      </c>
      <c r="D807" s="3" t="str">
        <f>VLOOKUP(C807,Countries!$B$3:$C$140,2,FALSE)</f>
        <v>Europe</v>
      </c>
      <c r="E807" s="3" t="s">
        <v>47</v>
      </c>
      <c r="F807" s="3" t="str">
        <f>VLOOKUP(E807,Countries!$B$3:$C$140,2,FALSE)</f>
        <v>Africa</v>
      </c>
      <c r="G807" s="4">
        <v>2</v>
      </c>
      <c r="H807" s="4">
        <v>0</v>
      </c>
    </row>
    <row r="808" spans="2:8" x14ac:dyDescent="0.2">
      <c r="B808" s="3" t="s">
        <v>140</v>
      </c>
      <c r="C808" s="3" t="s">
        <v>75</v>
      </c>
      <c r="D808" s="3" t="str">
        <f>VLOOKUP(C808,Countries!$B$3:$C$140,2,FALSE)</f>
        <v>Europe</v>
      </c>
      <c r="E808" s="3" t="s">
        <v>28</v>
      </c>
      <c r="F808" s="3" t="str">
        <f>VLOOKUP(E808,Countries!$B$3:$C$140,2,FALSE)</f>
        <v>Europe</v>
      </c>
      <c r="G808" s="4">
        <v>2</v>
      </c>
      <c r="H808" s="4">
        <v>0</v>
      </c>
    </row>
    <row r="809" spans="2:8" x14ac:dyDescent="0.2">
      <c r="B809" s="3" t="s">
        <v>140</v>
      </c>
      <c r="C809" s="3" t="s">
        <v>75</v>
      </c>
      <c r="D809" s="3" t="str">
        <f>VLOOKUP(C809,Countries!$B$3:$C$140,2,FALSE)</f>
        <v>Europe</v>
      </c>
      <c r="E809" s="3" t="s">
        <v>30</v>
      </c>
      <c r="F809" s="3" t="str">
        <f>VLOOKUP(E809,Countries!$B$3:$C$140,2,FALSE)</f>
        <v>Europe</v>
      </c>
      <c r="G809" s="4">
        <v>4</v>
      </c>
      <c r="H809" s="4">
        <v>0</v>
      </c>
    </row>
    <row r="810" spans="2:8" x14ac:dyDescent="0.2">
      <c r="B810" s="3" t="s">
        <v>140</v>
      </c>
      <c r="C810" s="3" t="s">
        <v>75</v>
      </c>
      <c r="D810" s="3" t="str">
        <f>VLOOKUP(C810,Countries!$B$3:$C$140,2,FALSE)</f>
        <v>Europe</v>
      </c>
      <c r="E810" s="3" t="s">
        <v>31</v>
      </c>
      <c r="F810" s="3" t="str">
        <f>VLOOKUP(E810,Countries!$B$3:$C$140,2,FALSE)</f>
        <v>Europe</v>
      </c>
      <c r="G810" s="4">
        <v>10</v>
      </c>
      <c r="H810" s="4">
        <v>0</v>
      </c>
    </row>
    <row r="811" spans="2:8" x14ac:dyDescent="0.2">
      <c r="B811" s="3" t="s">
        <v>140</v>
      </c>
      <c r="C811" s="3" t="s">
        <v>75</v>
      </c>
      <c r="D811" s="3" t="str">
        <f>VLOOKUP(C811,Countries!$B$3:$C$140,2,FALSE)</f>
        <v>Europe</v>
      </c>
      <c r="E811" s="3" t="s">
        <v>86</v>
      </c>
      <c r="F811" s="3" t="str">
        <f>VLOOKUP(E811,Countries!$B$3:$C$140,2,FALSE)</f>
        <v>Europe</v>
      </c>
      <c r="G811" s="4">
        <v>2</v>
      </c>
      <c r="H811" s="4">
        <v>0</v>
      </c>
    </row>
    <row r="812" spans="2:8" x14ac:dyDescent="0.2">
      <c r="B812" s="3" t="s">
        <v>140</v>
      </c>
      <c r="C812" s="3" t="s">
        <v>51</v>
      </c>
      <c r="D812" s="3" t="str">
        <f>VLOOKUP(C812,Countries!$B$3:$C$140,2,FALSE)</f>
        <v>Asia</v>
      </c>
      <c r="E812" s="3" t="s">
        <v>69</v>
      </c>
      <c r="F812" s="3" t="str">
        <f>VLOOKUP(E812,Countries!$B$3:$C$140,2,FALSE)</f>
        <v>South America</v>
      </c>
      <c r="G812" s="4">
        <v>2</v>
      </c>
      <c r="H812" s="4">
        <v>0</v>
      </c>
    </row>
    <row r="813" spans="2:8" x14ac:dyDescent="0.2">
      <c r="B813" s="3" t="s">
        <v>140</v>
      </c>
      <c r="C813" s="3" t="s">
        <v>51</v>
      </c>
      <c r="D813" s="3" t="str">
        <f>VLOOKUP(C813,Countries!$B$3:$C$140,2,FALSE)</f>
        <v>Asia</v>
      </c>
      <c r="E813" s="3" t="s">
        <v>35</v>
      </c>
      <c r="F813" s="3" t="str">
        <f>VLOOKUP(E813,Countries!$B$3:$C$140,2,FALSE)</f>
        <v>Europe</v>
      </c>
      <c r="G813" s="4">
        <v>18</v>
      </c>
      <c r="H813" s="4">
        <v>4.0358309451000007</v>
      </c>
    </row>
    <row r="814" spans="2:8" x14ac:dyDescent="0.2">
      <c r="B814" s="3" t="s">
        <v>140</v>
      </c>
      <c r="C814" s="3" t="s">
        <v>51</v>
      </c>
      <c r="D814" s="3" t="str">
        <f>VLOOKUP(C814,Countries!$B$3:$C$140,2,FALSE)</f>
        <v>Asia</v>
      </c>
      <c r="E814" s="3" t="s">
        <v>6</v>
      </c>
      <c r="F814" s="3" t="str">
        <f>VLOOKUP(E814,Countries!$B$3:$C$140,2,FALSE)</f>
        <v>Europe</v>
      </c>
      <c r="G814" s="4">
        <v>4</v>
      </c>
      <c r="H814" s="4">
        <v>90000</v>
      </c>
    </row>
    <row r="815" spans="2:8" x14ac:dyDescent="0.2">
      <c r="B815" s="3" t="s">
        <v>140</v>
      </c>
      <c r="C815" s="3" t="s">
        <v>51</v>
      </c>
      <c r="D815" s="3" t="str">
        <f>VLOOKUP(C815,Countries!$B$3:$C$140,2,FALSE)</f>
        <v>Asia</v>
      </c>
      <c r="E815" s="3" t="s">
        <v>60</v>
      </c>
      <c r="F815" s="3" t="str">
        <f>VLOOKUP(E815,Countries!$B$3:$C$140,2,FALSE)</f>
        <v>South America</v>
      </c>
      <c r="G815" s="4">
        <v>4</v>
      </c>
      <c r="H815" s="4">
        <v>0</v>
      </c>
    </row>
    <row r="816" spans="2:8" x14ac:dyDescent="0.2">
      <c r="B816" s="3" t="s">
        <v>140</v>
      </c>
      <c r="C816" s="3" t="s">
        <v>51</v>
      </c>
      <c r="D816" s="3" t="str">
        <f>VLOOKUP(C816,Countries!$B$3:$C$140,2,FALSE)</f>
        <v>Asia</v>
      </c>
      <c r="E816" s="3" t="s">
        <v>7</v>
      </c>
      <c r="F816" s="3" t="str">
        <f>VLOOKUP(E816,Countries!$B$3:$C$140,2,FALSE)</f>
        <v>South America</v>
      </c>
      <c r="G816" s="4">
        <v>8</v>
      </c>
      <c r="H816" s="4">
        <v>0</v>
      </c>
    </row>
    <row r="817" spans="2:8" x14ac:dyDescent="0.2">
      <c r="B817" s="3" t="s">
        <v>140</v>
      </c>
      <c r="C817" s="3" t="s">
        <v>51</v>
      </c>
      <c r="D817" s="3" t="str">
        <f>VLOOKUP(C817,Countries!$B$3:$C$140,2,FALSE)</f>
        <v>Asia</v>
      </c>
      <c r="E817" s="3" t="s">
        <v>36</v>
      </c>
      <c r="F817" s="3" t="str">
        <f>VLOOKUP(E817,Countries!$B$3:$C$140,2,FALSE)</f>
        <v>Europe</v>
      </c>
      <c r="G817" s="4">
        <v>10</v>
      </c>
      <c r="H817" s="4">
        <v>0</v>
      </c>
    </row>
    <row r="818" spans="2:8" x14ac:dyDescent="0.2">
      <c r="B818" s="3" t="s">
        <v>140</v>
      </c>
      <c r="C818" s="3" t="s">
        <v>51</v>
      </c>
      <c r="D818" s="3" t="str">
        <f>VLOOKUP(C818,Countries!$B$3:$C$140,2,FALSE)</f>
        <v>Asia</v>
      </c>
      <c r="E818" s="3" t="s">
        <v>9</v>
      </c>
      <c r="F818" s="3" t="str">
        <f>VLOOKUP(E818,Countries!$B$3:$C$140,2,FALSE)</f>
        <v>Europe</v>
      </c>
      <c r="G818" s="4">
        <v>8</v>
      </c>
      <c r="H818" s="4">
        <v>4682583.1616099998</v>
      </c>
    </row>
    <row r="819" spans="2:8" x14ac:dyDescent="0.2">
      <c r="B819" s="3" t="s">
        <v>140</v>
      </c>
      <c r="C819" s="3" t="s">
        <v>51</v>
      </c>
      <c r="D819" s="3" t="str">
        <f>VLOOKUP(C819,Countries!$B$3:$C$140,2,FALSE)</f>
        <v>Asia</v>
      </c>
      <c r="E819" s="3" t="s">
        <v>62</v>
      </c>
      <c r="F819" s="3" t="str">
        <f>VLOOKUP(E819,Countries!$B$3:$C$140,2,FALSE)</f>
        <v>Asia</v>
      </c>
      <c r="G819" s="4">
        <v>14</v>
      </c>
      <c r="H819" s="4">
        <v>201791.54725499998</v>
      </c>
    </row>
    <row r="820" spans="2:8" x14ac:dyDescent="0.2">
      <c r="B820" s="3" t="s">
        <v>140</v>
      </c>
      <c r="C820" s="3" t="s">
        <v>51</v>
      </c>
      <c r="D820" s="3" t="str">
        <f>VLOOKUP(C820,Countries!$B$3:$C$140,2,FALSE)</f>
        <v>Asia</v>
      </c>
      <c r="E820" s="3" t="s">
        <v>107</v>
      </c>
      <c r="F820" s="3" t="str">
        <f>VLOOKUP(E820,Countries!$B$3:$C$140,2,FALSE)</f>
        <v>South America</v>
      </c>
      <c r="G820" s="4">
        <v>2</v>
      </c>
      <c r="H820" s="4">
        <v>750000</v>
      </c>
    </row>
    <row r="821" spans="2:8" x14ac:dyDescent="0.2">
      <c r="B821" s="3" t="s">
        <v>140</v>
      </c>
      <c r="C821" s="3" t="s">
        <v>51</v>
      </c>
      <c r="D821" s="3" t="str">
        <f>VLOOKUP(C821,Countries!$B$3:$C$140,2,FALSE)</f>
        <v>Asia</v>
      </c>
      <c r="E821" s="3" t="s">
        <v>50</v>
      </c>
      <c r="F821" s="3" t="str">
        <f>VLOOKUP(E821,Countries!$B$3:$C$140,2,FALSE)</f>
        <v>Europe</v>
      </c>
      <c r="G821" s="4">
        <v>2</v>
      </c>
      <c r="H821" s="4">
        <v>0</v>
      </c>
    </row>
    <row r="822" spans="2:8" x14ac:dyDescent="0.2">
      <c r="B822" s="3" t="s">
        <v>140</v>
      </c>
      <c r="C822" s="3" t="s">
        <v>51</v>
      </c>
      <c r="D822" s="3" t="str">
        <f>VLOOKUP(C822,Countries!$B$3:$C$140,2,FALSE)</f>
        <v>Asia</v>
      </c>
      <c r="E822" s="3" t="s">
        <v>11</v>
      </c>
      <c r="F822" s="3" t="str">
        <f>VLOOKUP(E822,Countries!$B$3:$C$140,2,FALSE)</f>
        <v>Europe</v>
      </c>
      <c r="G822" s="4">
        <v>4</v>
      </c>
      <c r="H822" s="4">
        <v>0</v>
      </c>
    </row>
    <row r="823" spans="2:8" x14ac:dyDescent="0.2">
      <c r="B823" s="3" t="s">
        <v>140</v>
      </c>
      <c r="C823" s="3" t="s">
        <v>51</v>
      </c>
      <c r="D823" s="3" t="str">
        <f>VLOOKUP(C823,Countries!$B$3:$C$140,2,FALSE)</f>
        <v>Asia</v>
      </c>
      <c r="E823" s="3" t="s">
        <v>38</v>
      </c>
      <c r="F823" s="3" t="str">
        <f>VLOOKUP(E823,Countries!$B$3:$C$140,2,FALSE)</f>
        <v>Europe</v>
      </c>
      <c r="G823" s="4">
        <v>2</v>
      </c>
      <c r="H823" s="4">
        <v>0</v>
      </c>
    </row>
    <row r="824" spans="2:8" x14ac:dyDescent="0.2">
      <c r="B824" s="3" t="s">
        <v>140</v>
      </c>
      <c r="C824" s="3" t="s">
        <v>51</v>
      </c>
      <c r="D824" s="3" t="str">
        <f>VLOOKUP(C824,Countries!$B$3:$C$140,2,FALSE)</f>
        <v>Asia</v>
      </c>
      <c r="E824" s="3" t="s">
        <v>12</v>
      </c>
      <c r="F824" s="3" t="str">
        <f>VLOOKUP(E824,Countries!$B$3:$C$140,2,FALSE)</f>
        <v>Europe</v>
      </c>
      <c r="G824" s="4">
        <v>6</v>
      </c>
      <c r="H824" s="4">
        <v>0</v>
      </c>
    </row>
    <row r="825" spans="2:8" x14ac:dyDescent="0.2">
      <c r="B825" s="3" t="s">
        <v>140</v>
      </c>
      <c r="C825" s="3" t="s">
        <v>51</v>
      </c>
      <c r="D825" s="3" t="str">
        <f>VLOOKUP(C825,Countries!$B$3:$C$140,2,FALSE)</f>
        <v>Asia</v>
      </c>
      <c r="E825" s="3" t="s">
        <v>39</v>
      </c>
      <c r="F825" s="3" t="str">
        <f>VLOOKUP(E825,Countries!$B$3:$C$140,2,FALSE)</f>
        <v>Europe/Asia</v>
      </c>
      <c r="G825" s="4">
        <v>2</v>
      </c>
      <c r="H825" s="4">
        <v>0</v>
      </c>
    </row>
    <row r="826" spans="2:8" x14ac:dyDescent="0.2">
      <c r="B826" s="3" t="s">
        <v>140</v>
      </c>
      <c r="C826" s="3" t="s">
        <v>51</v>
      </c>
      <c r="D826" s="3" t="str">
        <f>VLOOKUP(C826,Countries!$B$3:$C$140,2,FALSE)</f>
        <v>Asia</v>
      </c>
      <c r="E826" s="3" t="s">
        <v>13</v>
      </c>
      <c r="F826" s="3" t="str">
        <f>VLOOKUP(E826,Countries!$B$3:$C$140,2,FALSE)</f>
        <v>Europe</v>
      </c>
      <c r="G826" s="4">
        <v>6</v>
      </c>
      <c r="H826" s="4">
        <v>0</v>
      </c>
    </row>
    <row r="827" spans="2:8" x14ac:dyDescent="0.2">
      <c r="B827" s="3" t="s">
        <v>140</v>
      </c>
      <c r="C827" s="3" t="s">
        <v>51</v>
      </c>
      <c r="D827" s="3" t="str">
        <f>VLOOKUP(C827,Countries!$B$3:$C$140,2,FALSE)</f>
        <v>Asia</v>
      </c>
      <c r="E827" s="3" t="s">
        <v>64</v>
      </c>
      <c r="F827" s="3" t="str">
        <f>VLOOKUP(E827,Countries!$B$3:$C$140,2,FALSE)</f>
        <v>Africa</v>
      </c>
      <c r="G827" s="4">
        <v>4</v>
      </c>
      <c r="H827" s="4">
        <v>60000</v>
      </c>
    </row>
    <row r="828" spans="2:8" x14ac:dyDescent="0.2">
      <c r="B828" s="3" t="s">
        <v>140</v>
      </c>
      <c r="C828" s="3" t="s">
        <v>51</v>
      </c>
      <c r="D828" s="3" t="str">
        <f>VLOOKUP(C828,Countries!$B$3:$C$140,2,FALSE)</f>
        <v>Asia</v>
      </c>
      <c r="E828" s="3" t="s">
        <v>14</v>
      </c>
      <c r="F828" s="3" t="str">
        <f>VLOOKUP(E828,Countries!$B$3:$C$140,2,FALSE)</f>
        <v>Europe</v>
      </c>
      <c r="G828" s="4">
        <v>10</v>
      </c>
      <c r="H828" s="4">
        <v>1330088.228805</v>
      </c>
    </row>
    <row r="829" spans="2:8" x14ac:dyDescent="0.2">
      <c r="B829" s="3" t="s">
        <v>140</v>
      </c>
      <c r="C829" s="3" t="s">
        <v>51</v>
      </c>
      <c r="D829" s="3" t="str">
        <f>VLOOKUP(C829,Countries!$B$3:$C$140,2,FALSE)</f>
        <v>Asia</v>
      </c>
      <c r="E829" s="3" t="s">
        <v>118</v>
      </c>
      <c r="F829" s="3" t="str">
        <f>VLOOKUP(E829,Countries!$B$3:$C$140,2,FALSE)</f>
        <v>Africa</v>
      </c>
      <c r="G829" s="4">
        <v>2</v>
      </c>
      <c r="H829" s="4">
        <v>0</v>
      </c>
    </row>
    <row r="830" spans="2:8" x14ac:dyDescent="0.2">
      <c r="B830" s="3" t="s">
        <v>140</v>
      </c>
      <c r="C830" s="3" t="s">
        <v>51</v>
      </c>
      <c r="D830" s="3" t="str">
        <f>VLOOKUP(C830,Countries!$B$3:$C$140,2,FALSE)</f>
        <v>Asia</v>
      </c>
      <c r="E830" s="3" t="s">
        <v>15</v>
      </c>
      <c r="F830" s="3" t="str">
        <f>VLOOKUP(E830,Countries!$B$3:$C$140,2,FALSE)</f>
        <v>Europe</v>
      </c>
      <c r="G830" s="4">
        <v>6</v>
      </c>
      <c r="H830" s="4">
        <v>153361.57591379998</v>
      </c>
    </row>
    <row r="831" spans="2:8" x14ac:dyDescent="0.2">
      <c r="B831" s="3" t="s">
        <v>140</v>
      </c>
      <c r="C831" s="3" t="s">
        <v>51</v>
      </c>
      <c r="D831" s="3" t="str">
        <f>VLOOKUP(C831,Countries!$B$3:$C$140,2,FALSE)</f>
        <v>Asia</v>
      </c>
      <c r="E831" s="3" t="s">
        <v>119</v>
      </c>
      <c r="F831" s="3" t="str">
        <f>VLOOKUP(E831,Countries!$B$3:$C$140,2,FALSE)</f>
        <v>Africa</v>
      </c>
      <c r="G831" s="4">
        <v>8</v>
      </c>
      <c r="H831" s="4">
        <v>18000</v>
      </c>
    </row>
    <row r="832" spans="2:8" x14ac:dyDescent="0.2">
      <c r="B832" s="3" t="s">
        <v>140</v>
      </c>
      <c r="C832" s="3" t="s">
        <v>51</v>
      </c>
      <c r="D832" s="3" t="str">
        <f>VLOOKUP(C832,Countries!$B$3:$C$140,2,FALSE)</f>
        <v>Asia</v>
      </c>
      <c r="E832" s="3" t="s">
        <v>66</v>
      </c>
      <c r="F832" s="3" t="str">
        <f>VLOOKUP(E832,Countries!$B$3:$C$140,2,FALSE)</f>
        <v>Europe</v>
      </c>
      <c r="G832" s="4">
        <v>6</v>
      </c>
      <c r="H832" s="4">
        <v>121074.928353</v>
      </c>
    </row>
    <row r="833" spans="2:8" x14ac:dyDescent="0.2">
      <c r="B833" s="3" t="s">
        <v>140</v>
      </c>
      <c r="C833" s="3" t="s">
        <v>51</v>
      </c>
      <c r="D833" s="3" t="str">
        <f>VLOOKUP(C833,Countries!$B$3:$C$140,2,FALSE)</f>
        <v>Asia</v>
      </c>
      <c r="E833" s="3" t="s">
        <v>43</v>
      </c>
      <c r="F833" s="3" t="str">
        <f>VLOOKUP(E833,Countries!$B$3:$C$140,2,FALSE)</f>
        <v>Europe</v>
      </c>
      <c r="G833" s="4">
        <v>2</v>
      </c>
      <c r="H833" s="4">
        <v>0</v>
      </c>
    </row>
    <row r="834" spans="2:8" x14ac:dyDescent="0.2">
      <c r="B834" s="3" t="s">
        <v>140</v>
      </c>
      <c r="C834" s="3" t="s">
        <v>51</v>
      </c>
      <c r="D834" s="3" t="str">
        <f>VLOOKUP(C834,Countries!$B$3:$C$140,2,FALSE)</f>
        <v>Asia</v>
      </c>
      <c r="E834" s="3" t="s">
        <v>23</v>
      </c>
      <c r="F834" s="3" t="str">
        <f>VLOOKUP(E834,Countries!$B$3:$C$140,2,FALSE)</f>
        <v>Europe</v>
      </c>
      <c r="G834" s="4">
        <v>8</v>
      </c>
      <c r="H834" s="4">
        <v>0</v>
      </c>
    </row>
    <row r="835" spans="2:8" x14ac:dyDescent="0.2">
      <c r="B835" s="3" t="s">
        <v>140</v>
      </c>
      <c r="C835" s="3" t="s">
        <v>51</v>
      </c>
      <c r="D835" s="3" t="str">
        <f>VLOOKUP(C835,Countries!$B$3:$C$140,2,FALSE)</f>
        <v>Asia</v>
      </c>
      <c r="E835" s="3" t="s">
        <v>120</v>
      </c>
      <c r="F835" s="3" t="str">
        <f>VLOOKUP(E835,Countries!$B$3:$C$140,2,FALSE)</f>
        <v>Africa</v>
      </c>
      <c r="G835" s="4">
        <v>2</v>
      </c>
      <c r="H835" s="4">
        <v>0</v>
      </c>
    </row>
    <row r="836" spans="2:8" x14ac:dyDescent="0.2">
      <c r="B836" s="3" t="s">
        <v>140</v>
      </c>
      <c r="C836" s="3" t="s">
        <v>51</v>
      </c>
      <c r="D836" s="3" t="str">
        <f>VLOOKUP(C836,Countries!$B$3:$C$140,2,FALSE)</f>
        <v>Asia</v>
      </c>
      <c r="E836" s="3" t="s">
        <v>53</v>
      </c>
      <c r="F836" s="3" t="str">
        <f>VLOOKUP(E836,Countries!$B$3:$C$140,2,FALSE)</f>
        <v>Europe</v>
      </c>
      <c r="G836" s="4">
        <v>6</v>
      </c>
      <c r="H836" s="4">
        <v>0</v>
      </c>
    </row>
    <row r="837" spans="2:8" x14ac:dyDescent="0.2">
      <c r="B837" s="3" t="s">
        <v>140</v>
      </c>
      <c r="C837" s="3" t="s">
        <v>51</v>
      </c>
      <c r="D837" s="3" t="str">
        <f>VLOOKUP(C837,Countries!$B$3:$C$140,2,FALSE)</f>
        <v>Asia</v>
      </c>
      <c r="E837" s="3" t="s">
        <v>44</v>
      </c>
      <c r="F837" s="3" t="str">
        <f>VLOOKUP(E837,Countries!$B$3:$C$140,2,FALSE)</f>
        <v>Europe</v>
      </c>
      <c r="G837" s="4">
        <v>2</v>
      </c>
      <c r="H837" s="4">
        <v>3430456.3033349998</v>
      </c>
    </row>
    <row r="838" spans="2:8" x14ac:dyDescent="0.2">
      <c r="B838" s="3" t="s">
        <v>140</v>
      </c>
      <c r="C838" s="3" t="s">
        <v>51</v>
      </c>
      <c r="D838" s="3" t="str">
        <f>VLOOKUP(C838,Countries!$B$3:$C$140,2,FALSE)</f>
        <v>Asia</v>
      </c>
      <c r="E838" s="3" t="s">
        <v>79</v>
      </c>
      <c r="F838" s="3" t="str">
        <f>VLOOKUP(E838,Countries!$B$3:$C$140,2,FALSE)</f>
        <v>South America</v>
      </c>
      <c r="G838" s="4">
        <v>2</v>
      </c>
      <c r="H838" s="4">
        <v>0</v>
      </c>
    </row>
    <row r="839" spans="2:8" x14ac:dyDescent="0.2">
      <c r="B839" s="3" t="s">
        <v>140</v>
      </c>
      <c r="C839" s="3" t="s">
        <v>51</v>
      </c>
      <c r="D839" s="3" t="str">
        <f>VLOOKUP(C839,Countries!$B$3:$C$140,2,FALSE)</f>
        <v>Asia</v>
      </c>
      <c r="E839" s="3" t="s">
        <v>54</v>
      </c>
      <c r="F839" s="3" t="str">
        <f>VLOOKUP(E839,Countries!$B$3:$C$140,2,FALSE)</f>
        <v>Europe</v>
      </c>
      <c r="G839" s="4">
        <v>8</v>
      </c>
      <c r="H839" s="4">
        <v>0</v>
      </c>
    </row>
    <row r="840" spans="2:8" x14ac:dyDescent="0.2">
      <c r="B840" s="3" t="s">
        <v>140</v>
      </c>
      <c r="C840" s="3" t="s">
        <v>51</v>
      </c>
      <c r="D840" s="3" t="str">
        <f>VLOOKUP(C840,Countries!$B$3:$C$140,2,FALSE)</f>
        <v>Asia</v>
      </c>
      <c r="E840" s="3" t="s">
        <v>25</v>
      </c>
      <c r="F840" s="3" t="str">
        <f>VLOOKUP(E840,Countries!$B$3:$C$140,2,FALSE)</f>
        <v>Europe</v>
      </c>
      <c r="G840" s="4">
        <v>2</v>
      </c>
      <c r="H840" s="4">
        <v>0</v>
      </c>
    </row>
    <row r="841" spans="2:8" x14ac:dyDescent="0.2">
      <c r="B841" s="3" t="s">
        <v>140</v>
      </c>
      <c r="C841" s="3" t="s">
        <v>51</v>
      </c>
      <c r="D841" s="3" t="str">
        <f>VLOOKUP(C841,Countries!$B$3:$C$140,2,FALSE)</f>
        <v>Asia</v>
      </c>
      <c r="E841" s="3" t="s">
        <v>82</v>
      </c>
      <c r="F841" s="3" t="e">
        <f>VLOOKUP(E841,Countries!$B$3:$C$140,2,FALSE)</f>
        <v>#N/A</v>
      </c>
      <c r="G841" s="4">
        <v>4</v>
      </c>
      <c r="H841" s="4">
        <v>0</v>
      </c>
    </row>
    <row r="842" spans="2:8" x14ac:dyDescent="0.2">
      <c r="B842" s="3" t="s">
        <v>140</v>
      </c>
      <c r="C842" s="3" t="s">
        <v>51</v>
      </c>
      <c r="D842" s="3" t="str">
        <f>VLOOKUP(C842,Countries!$B$3:$C$140,2,FALSE)</f>
        <v>Asia</v>
      </c>
      <c r="E842" s="3" t="s">
        <v>55</v>
      </c>
      <c r="F842" s="3" t="str">
        <f>VLOOKUP(E842,Countries!$B$3:$C$140,2,FALSE)</f>
        <v>Europe</v>
      </c>
      <c r="G842" s="4">
        <v>2</v>
      </c>
      <c r="H842" s="4">
        <v>0</v>
      </c>
    </row>
    <row r="843" spans="2:8" x14ac:dyDescent="0.2">
      <c r="B843" s="3" t="s">
        <v>140</v>
      </c>
      <c r="C843" s="3" t="s">
        <v>51</v>
      </c>
      <c r="D843" s="3" t="str">
        <f>VLOOKUP(C843,Countries!$B$3:$C$140,2,FALSE)</f>
        <v>Asia</v>
      </c>
      <c r="E843" s="3" t="s">
        <v>47</v>
      </c>
      <c r="F843" s="3" t="str">
        <f>VLOOKUP(E843,Countries!$B$3:$C$140,2,FALSE)</f>
        <v>Africa</v>
      </c>
      <c r="G843" s="4">
        <v>4</v>
      </c>
      <c r="H843" s="4">
        <v>240000</v>
      </c>
    </row>
    <row r="844" spans="2:8" x14ac:dyDescent="0.2">
      <c r="B844" s="3" t="s">
        <v>140</v>
      </c>
      <c r="C844" s="3" t="s">
        <v>51</v>
      </c>
      <c r="D844" s="3" t="str">
        <f>VLOOKUP(C844,Countries!$B$3:$C$140,2,FALSE)</f>
        <v>Asia</v>
      </c>
      <c r="E844" s="3" t="s">
        <v>28</v>
      </c>
      <c r="F844" s="3" t="str">
        <f>VLOOKUP(E844,Countries!$B$3:$C$140,2,FALSE)</f>
        <v>Europe</v>
      </c>
      <c r="G844" s="4">
        <v>14</v>
      </c>
      <c r="H844" s="4">
        <v>262500</v>
      </c>
    </row>
    <row r="845" spans="2:8" x14ac:dyDescent="0.2">
      <c r="B845" s="3" t="s">
        <v>140</v>
      </c>
      <c r="C845" s="3" t="s">
        <v>51</v>
      </c>
      <c r="D845" s="3" t="str">
        <f>VLOOKUP(C845,Countries!$B$3:$C$140,2,FALSE)</f>
        <v>Asia</v>
      </c>
      <c r="E845" s="3" t="s">
        <v>57</v>
      </c>
      <c r="F845" s="3" t="str">
        <f>VLOOKUP(E845,Countries!$B$3:$C$140,2,FALSE)</f>
        <v>Europe/Asia</v>
      </c>
      <c r="G845" s="4">
        <v>2</v>
      </c>
      <c r="H845" s="4">
        <v>0</v>
      </c>
    </row>
    <row r="846" spans="2:8" x14ac:dyDescent="0.2">
      <c r="B846" s="3" t="s">
        <v>140</v>
      </c>
      <c r="C846" s="3" t="s">
        <v>51</v>
      </c>
      <c r="D846" s="3" t="str">
        <f>VLOOKUP(C846,Countries!$B$3:$C$140,2,FALSE)</f>
        <v>Asia</v>
      </c>
      <c r="E846" s="3" t="s">
        <v>32</v>
      </c>
      <c r="F846" s="3" t="str">
        <f>VLOOKUP(E846,Countries!$B$3:$C$140,2,FALSE)</f>
        <v>Europe</v>
      </c>
      <c r="G846" s="4">
        <v>4</v>
      </c>
      <c r="H846" s="4">
        <v>0</v>
      </c>
    </row>
    <row r="847" spans="2:8" x14ac:dyDescent="0.2">
      <c r="B847" s="3" t="s">
        <v>140</v>
      </c>
      <c r="C847" s="3" t="s">
        <v>51</v>
      </c>
      <c r="D847" s="3" t="str">
        <f>VLOOKUP(C847,Countries!$B$3:$C$140,2,FALSE)</f>
        <v>Asia</v>
      </c>
      <c r="E847" s="3" t="s">
        <v>87</v>
      </c>
      <c r="F847" s="3" t="str">
        <f>VLOOKUP(E847,Countries!$B$3:$C$140,2,FALSE)</f>
        <v>Asia</v>
      </c>
      <c r="G847" s="4">
        <v>2</v>
      </c>
      <c r="H847" s="4">
        <v>0</v>
      </c>
    </row>
    <row r="848" spans="2:8" x14ac:dyDescent="0.2">
      <c r="B848" s="3" t="s">
        <v>140</v>
      </c>
      <c r="C848" s="3" t="s">
        <v>51</v>
      </c>
      <c r="D848" s="3" t="str">
        <f>VLOOKUP(C848,Countries!$B$3:$C$140,2,FALSE)</f>
        <v>Asia</v>
      </c>
      <c r="E848" s="3" t="s">
        <v>91</v>
      </c>
      <c r="F848" s="3" t="str">
        <f>VLOOKUP(E848,Countries!$B$3:$C$140,2,FALSE)</f>
        <v>South America</v>
      </c>
      <c r="G848" s="4">
        <v>2</v>
      </c>
      <c r="H848" s="4">
        <v>0</v>
      </c>
    </row>
    <row r="849" spans="2:8" x14ac:dyDescent="0.2">
      <c r="B849" s="3" t="s">
        <v>140</v>
      </c>
      <c r="C849" s="3" t="s">
        <v>17</v>
      </c>
      <c r="D849" s="3" t="str">
        <f>VLOOKUP(C849,Countries!$B$3:$C$140,2,FALSE)</f>
        <v>Europe</v>
      </c>
      <c r="E849" s="3" t="s">
        <v>69</v>
      </c>
      <c r="F849" s="3" t="str">
        <f>VLOOKUP(E849,Countries!$B$3:$C$140,2,FALSE)</f>
        <v>South America</v>
      </c>
      <c r="G849" s="4">
        <v>44</v>
      </c>
      <c r="H849" s="4">
        <v>170950794.77991119</v>
      </c>
    </row>
    <row r="850" spans="2:8" x14ac:dyDescent="0.2">
      <c r="B850" s="3" t="s">
        <v>140</v>
      </c>
      <c r="C850" s="3" t="s">
        <v>17</v>
      </c>
      <c r="D850" s="3" t="str">
        <f>VLOOKUP(C850,Countries!$B$3:$C$140,2,FALSE)</f>
        <v>Europe</v>
      </c>
      <c r="E850" s="3" t="s">
        <v>48</v>
      </c>
      <c r="F850" s="3" t="str">
        <f>VLOOKUP(E850,Countries!$B$3:$C$140,2,FALSE)</f>
        <v>Oceania</v>
      </c>
      <c r="G850" s="4">
        <v>2</v>
      </c>
      <c r="H850" s="4">
        <v>0</v>
      </c>
    </row>
    <row r="851" spans="2:8" x14ac:dyDescent="0.2">
      <c r="B851" s="3" t="s">
        <v>140</v>
      </c>
      <c r="C851" s="3" t="s">
        <v>17</v>
      </c>
      <c r="D851" s="3" t="str">
        <f>VLOOKUP(C851,Countries!$B$3:$C$140,2,FALSE)</f>
        <v>Europe</v>
      </c>
      <c r="E851" s="3" t="s">
        <v>3</v>
      </c>
      <c r="F851" s="3" t="str">
        <f>VLOOKUP(E851,Countries!$B$3:$C$140,2,FALSE)</f>
        <v>Europe</v>
      </c>
      <c r="G851" s="4">
        <v>4</v>
      </c>
      <c r="H851" s="4">
        <v>1059405.6230887501</v>
      </c>
    </row>
    <row r="852" spans="2:8" x14ac:dyDescent="0.2">
      <c r="B852" s="3" t="s">
        <v>140</v>
      </c>
      <c r="C852" s="3" t="s">
        <v>17</v>
      </c>
      <c r="D852" s="3" t="str">
        <f>VLOOKUP(C852,Countries!$B$3:$C$140,2,FALSE)</f>
        <v>Europe</v>
      </c>
      <c r="E852" s="3" t="s">
        <v>35</v>
      </c>
      <c r="F852" s="3" t="str">
        <f>VLOOKUP(E852,Countries!$B$3:$C$140,2,FALSE)</f>
        <v>Europe</v>
      </c>
      <c r="G852" s="4">
        <v>14</v>
      </c>
      <c r="H852" s="4">
        <v>0</v>
      </c>
    </row>
    <row r="853" spans="2:8" x14ac:dyDescent="0.2">
      <c r="B853" s="3" t="s">
        <v>140</v>
      </c>
      <c r="C853" s="3" t="s">
        <v>17</v>
      </c>
      <c r="D853" s="3" t="str">
        <f>VLOOKUP(C853,Countries!$B$3:$C$140,2,FALSE)</f>
        <v>Europe</v>
      </c>
      <c r="E853" s="3" t="s">
        <v>7</v>
      </c>
      <c r="F853" s="3" t="str">
        <f>VLOOKUP(E853,Countries!$B$3:$C$140,2,FALSE)</f>
        <v>South America</v>
      </c>
      <c r="G853" s="4">
        <v>48</v>
      </c>
      <c r="H853" s="4">
        <v>95144975.684041202</v>
      </c>
    </row>
    <row r="854" spans="2:8" x14ac:dyDescent="0.2">
      <c r="B854" s="3" t="s">
        <v>140</v>
      </c>
      <c r="C854" s="3" t="s">
        <v>17</v>
      </c>
      <c r="D854" s="3" t="str">
        <f>VLOOKUP(C854,Countries!$B$3:$C$140,2,FALSE)</f>
        <v>Europe</v>
      </c>
      <c r="E854" s="3" t="s">
        <v>36</v>
      </c>
      <c r="F854" s="3" t="str">
        <f>VLOOKUP(E854,Countries!$B$3:$C$140,2,FALSE)</f>
        <v>Europe</v>
      </c>
      <c r="G854" s="4">
        <v>8</v>
      </c>
      <c r="H854" s="4">
        <v>0</v>
      </c>
    </row>
    <row r="855" spans="2:8" x14ac:dyDescent="0.2">
      <c r="B855" s="3" t="s">
        <v>140</v>
      </c>
      <c r="C855" s="3" t="s">
        <v>17</v>
      </c>
      <c r="D855" s="3" t="str">
        <f>VLOOKUP(C855,Countries!$B$3:$C$140,2,FALSE)</f>
        <v>Europe</v>
      </c>
      <c r="E855" s="3" t="s">
        <v>8</v>
      </c>
      <c r="F855" s="3" t="str">
        <f>VLOOKUP(E855,Countries!$B$3:$C$140,2,FALSE)</f>
        <v>North America</v>
      </c>
      <c r="G855" s="4">
        <v>2</v>
      </c>
      <c r="H855" s="4">
        <v>0</v>
      </c>
    </row>
    <row r="856" spans="2:8" x14ac:dyDescent="0.2">
      <c r="B856" s="3" t="s">
        <v>140</v>
      </c>
      <c r="C856" s="3" t="s">
        <v>17</v>
      </c>
      <c r="D856" s="3" t="str">
        <f>VLOOKUP(C856,Countries!$B$3:$C$140,2,FALSE)</f>
        <v>Europe</v>
      </c>
      <c r="E856" s="3" t="s">
        <v>88</v>
      </c>
      <c r="F856" s="3" t="str">
        <f>VLOOKUP(E856,Countries!$B$3:$C$140,2,FALSE)</f>
        <v>South America</v>
      </c>
      <c r="G856" s="4">
        <v>16</v>
      </c>
      <c r="H856" s="4">
        <v>68208909.240061492</v>
      </c>
    </row>
    <row r="857" spans="2:8" x14ac:dyDescent="0.2">
      <c r="B857" s="3" t="s">
        <v>140</v>
      </c>
      <c r="C857" s="3" t="s">
        <v>17</v>
      </c>
      <c r="D857" s="3" t="str">
        <f>VLOOKUP(C857,Countries!$B$3:$C$140,2,FALSE)</f>
        <v>Europe</v>
      </c>
      <c r="E857" s="3" t="s">
        <v>72</v>
      </c>
      <c r="F857" s="3" t="str">
        <f>VLOOKUP(E857,Countries!$B$3:$C$140,2,FALSE)</f>
        <v>South America</v>
      </c>
      <c r="G857" s="4">
        <v>2</v>
      </c>
      <c r="H857" s="4">
        <v>6750000</v>
      </c>
    </row>
    <row r="858" spans="2:8" x14ac:dyDescent="0.2">
      <c r="B858" s="3" t="s">
        <v>140</v>
      </c>
      <c r="C858" s="3" t="s">
        <v>17</v>
      </c>
      <c r="D858" s="3" t="str">
        <f>VLOOKUP(C858,Countries!$B$3:$C$140,2,FALSE)</f>
        <v>Europe</v>
      </c>
      <c r="E858" s="3" t="s">
        <v>9</v>
      </c>
      <c r="F858" s="3" t="str">
        <f>VLOOKUP(E858,Countries!$B$3:$C$140,2,FALSE)</f>
        <v>Europe</v>
      </c>
      <c r="G858" s="4">
        <v>6</v>
      </c>
      <c r="H858" s="4">
        <v>201791.54725499998</v>
      </c>
    </row>
    <row r="859" spans="2:8" x14ac:dyDescent="0.2">
      <c r="B859" s="3" t="s">
        <v>140</v>
      </c>
      <c r="C859" s="3" t="s">
        <v>17</v>
      </c>
      <c r="D859" s="3" t="str">
        <f>VLOOKUP(C859,Countries!$B$3:$C$140,2,FALSE)</f>
        <v>Europe</v>
      </c>
      <c r="E859" s="3" t="s">
        <v>49</v>
      </c>
      <c r="F859" s="3" t="str">
        <f>VLOOKUP(E859,Countries!$B$3:$C$140,2,FALSE)</f>
        <v>Europe</v>
      </c>
      <c r="G859" s="4">
        <v>8</v>
      </c>
      <c r="H859" s="4">
        <v>8586245.5920000002</v>
      </c>
    </row>
    <row r="860" spans="2:8" x14ac:dyDescent="0.2">
      <c r="B860" s="3" t="s">
        <v>140</v>
      </c>
      <c r="C860" s="3" t="s">
        <v>17</v>
      </c>
      <c r="D860" s="3" t="str">
        <f>VLOOKUP(C860,Countries!$B$3:$C$140,2,FALSE)</f>
        <v>Europe</v>
      </c>
      <c r="E860" s="3" t="s">
        <v>10</v>
      </c>
      <c r="F860" s="3" t="str">
        <f>VLOOKUP(E860,Countries!$B$3:$C$140,2,FALSE)</f>
        <v>Europe</v>
      </c>
      <c r="G860" s="4">
        <v>10</v>
      </c>
      <c r="H860" s="4">
        <v>4154839.12041</v>
      </c>
    </row>
    <row r="861" spans="2:8" x14ac:dyDescent="0.2">
      <c r="B861" s="3" t="s">
        <v>140</v>
      </c>
      <c r="C861" s="3" t="s">
        <v>17</v>
      </c>
      <c r="D861" s="3" t="str">
        <f>VLOOKUP(C861,Countries!$B$3:$C$140,2,FALSE)</f>
        <v>Europe</v>
      </c>
      <c r="E861" s="3" t="s">
        <v>50</v>
      </c>
      <c r="F861" s="3" t="str">
        <f>VLOOKUP(E861,Countries!$B$3:$C$140,2,FALSE)</f>
        <v>Europe</v>
      </c>
      <c r="G861" s="4">
        <v>16</v>
      </c>
      <c r="H861" s="4">
        <v>9733.9986049500003</v>
      </c>
    </row>
    <row r="862" spans="2:8" x14ac:dyDescent="0.2">
      <c r="B862" s="3" t="s">
        <v>140</v>
      </c>
      <c r="C862" s="3" t="s">
        <v>17</v>
      </c>
      <c r="D862" s="3" t="str">
        <f>VLOOKUP(C862,Countries!$B$3:$C$140,2,FALSE)</f>
        <v>Europe</v>
      </c>
      <c r="E862" s="3" t="s">
        <v>11</v>
      </c>
      <c r="F862" s="3" t="str">
        <f>VLOOKUP(E862,Countries!$B$3:$C$140,2,FALSE)</f>
        <v>Europe</v>
      </c>
      <c r="G862" s="4">
        <v>64</v>
      </c>
      <c r="H862" s="4">
        <v>177732570.99383551</v>
      </c>
    </row>
    <row r="863" spans="2:8" x14ac:dyDescent="0.2">
      <c r="B863" s="3" t="s">
        <v>140</v>
      </c>
      <c r="C863" s="3" t="s">
        <v>17</v>
      </c>
      <c r="D863" s="3" t="str">
        <f>VLOOKUP(C863,Countries!$B$3:$C$140,2,FALSE)</f>
        <v>Europe</v>
      </c>
      <c r="E863" s="3" t="s">
        <v>73</v>
      </c>
      <c r="F863" s="3" t="str">
        <f>VLOOKUP(E863,Countries!$B$3:$C$140,2,FALSE)</f>
        <v>Europe</v>
      </c>
      <c r="G863" s="4">
        <v>2</v>
      </c>
      <c r="H863" s="4">
        <v>0</v>
      </c>
    </row>
    <row r="864" spans="2:8" x14ac:dyDescent="0.2">
      <c r="B864" s="3" t="s">
        <v>140</v>
      </c>
      <c r="C864" s="3" t="s">
        <v>17</v>
      </c>
      <c r="D864" s="3" t="str">
        <f>VLOOKUP(C864,Countries!$B$3:$C$140,2,FALSE)</f>
        <v>Europe</v>
      </c>
      <c r="E864" s="3" t="s">
        <v>12</v>
      </c>
      <c r="F864" s="3" t="str">
        <f>VLOOKUP(E864,Countries!$B$3:$C$140,2,FALSE)</f>
        <v>Europe</v>
      </c>
      <c r="G864" s="4">
        <v>54</v>
      </c>
      <c r="H864" s="4">
        <v>62489737.285844997</v>
      </c>
    </row>
    <row r="865" spans="2:8" x14ac:dyDescent="0.2">
      <c r="B865" s="3" t="s">
        <v>140</v>
      </c>
      <c r="C865" s="3" t="s">
        <v>17</v>
      </c>
      <c r="D865" s="3" t="str">
        <f>VLOOKUP(C865,Countries!$B$3:$C$140,2,FALSE)</f>
        <v>Europe</v>
      </c>
      <c r="E865" s="3" t="s">
        <v>13</v>
      </c>
      <c r="F865" s="3" t="str">
        <f>VLOOKUP(E865,Countries!$B$3:$C$140,2,FALSE)</f>
        <v>Europe</v>
      </c>
      <c r="G865" s="4">
        <v>26</v>
      </c>
      <c r="H865" s="4">
        <v>117521123.82871141</v>
      </c>
    </row>
    <row r="866" spans="2:8" x14ac:dyDescent="0.2">
      <c r="B866" s="3" t="s">
        <v>140</v>
      </c>
      <c r="C866" s="3" t="s">
        <v>17</v>
      </c>
      <c r="D866" s="3" t="str">
        <f>VLOOKUP(C866,Countries!$B$3:$C$140,2,FALSE)</f>
        <v>Europe</v>
      </c>
      <c r="E866" s="3" t="s">
        <v>64</v>
      </c>
      <c r="F866" s="3" t="str">
        <f>VLOOKUP(E866,Countries!$B$3:$C$140,2,FALSE)</f>
        <v>Africa</v>
      </c>
      <c r="G866" s="4">
        <v>2</v>
      </c>
      <c r="H866" s="4">
        <v>2382052.2542849998</v>
      </c>
    </row>
    <row r="867" spans="2:8" x14ac:dyDescent="0.2">
      <c r="B867" s="3" t="s">
        <v>140</v>
      </c>
      <c r="C867" s="3" t="s">
        <v>17</v>
      </c>
      <c r="D867" s="3" t="str">
        <f>VLOOKUP(C867,Countries!$B$3:$C$140,2,FALSE)</f>
        <v>Europe</v>
      </c>
      <c r="E867" s="3" t="s">
        <v>14</v>
      </c>
      <c r="F867" s="3" t="str">
        <f>VLOOKUP(E867,Countries!$B$3:$C$140,2,FALSE)</f>
        <v>Europe</v>
      </c>
      <c r="G867" s="4">
        <v>28</v>
      </c>
      <c r="H867" s="4">
        <v>25172716.817540996</v>
      </c>
    </row>
    <row r="868" spans="2:8" x14ac:dyDescent="0.2">
      <c r="B868" s="3" t="s">
        <v>140</v>
      </c>
      <c r="C868" s="3" t="s">
        <v>17</v>
      </c>
      <c r="D868" s="3" t="str">
        <f>VLOOKUP(C868,Countries!$B$3:$C$140,2,FALSE)</f>
        <v>Europe</v>
      </c>
      <c r="E868" s="3" t="s">
        <v>15</v>
      </c>
      <c r="F868" s="3" t="str">
        <f>VLOOKUP(E868,Countries!$B$3:$C$140,2,FALSE)</f>
        <v>Europe</v>
      </c>
      <c r="G868" s="4">
        <v>10</v>
      </c>
      <c r="H868" s="4">
        <v>5286938.5380810006</v>
      </c>
    </row>
    <row r="869" spans="2:8" x14ac:dyDescent="0.2">
      <c r="B869" s="3" t="s">
        <v>140</v>
      </c>
      <c r="C869" s="3" t="s">
        <v>17</v>
      </c>
      <c r="D869" s="3" t="str">
        <f>VLOOKUP(C869,Countries!$B$3:$C$140,2,FALSE)</f>
        <v>Europe</v>
      </c>
      <c r="E869" s="3" t="s">
        <v>51</v>
      </c>
      <c r="F869" s="3" t="str">
        <f>VLOOKUP(E869,Countries!$B$3:$C$140,2,FALSE)</f>
        <v>Asia</v>
      </c>
      <c r="G869" s="4">
        <v>2</v>
      </c>
      <c r="H869" s="4">
        <v>6356433.7385325003</v>
      </c>
    </row>
    <row r="870" spans="2:8" x14ac:dyDescent="0.2">
      <c r="B870" s="3" t="s">
        <v>140</v>
      </c>
      <c r="C870" s="3" t="s">
        <v>17</v>
      </c>
      <c r="D870" s="3" t="str">
        <f>VLOOKUP(C870,Countries!$B$3:$C$140,2,FALSE)</f>
        <v>Europe</v>
      </c>
      <c r="E870" s="3" t="s">
        <v>19</v>
      </c>
      <c r="F870" s="3" t="str">
        <f>VLOOKUP(E870,Countries!$B$3:$C$140,2,FALSE)</f>
        <v>Asia</v>
      </c>
      <c r="G870" s="4">
        <v>2</v>
      </c>
      <c r="H870" s="4">
        <v>0</v>
      </c>
    </row>
    <row r="871" spans="2:8" x14ac:dyDescent="0.2">
      <c r="B871" s="3" t="s">
        <v>140</v>
      </c>
      <c r="C871" s="3" t="s">
        <v>17</v>
      </c>
      <c r="D871" s="3" t="str">
        <f>VLOOKUP(C871,Countries!$B$3:$C$140,2,FALSE)</f>
        <v>Europe</v>
      </c>
      <c r="E871" s="3" t="s">
        <v>117</v>
      </c>
      <c r="F871" s="3" t="str">
        <f>VLOOKUP(E871,Countries!$B$3:$C$140,2,FALSE)</f>
        <v>Asia</v>
      </c>
      <c r="G871" s="4">
        <v>2</v>
      </c>
      <c r="H871" s="4">
        <v>0</v>
      </c>
    </row>
    <row r="872" spans="2:8" x14ac:dyDescent="0.2">
      <c r="B872" s="3" t="s">
        <v>140</v>
      </c>
      <c r="C872" s="3" t="s">
        <v>17</v>
      </c>
      <c r="D872" s="3" t="str">
        <f>VLOOKUP(C872,Countries!$B$3:$C$140,2,FALSE)</f>
        <v>Europe</v>
      </c>
      <c r="E872" s="3" t="s">
        <v>66</v>
      </c>
      <c r="F872" s="3" t="str">
        <f>VLOOKUP(E872,Countries!$B$3:$C$140,2,FALSE)</f>
        <v>Europe</v>
      </c>
      <c r="G872" s="4">
        <v>2</v>
      </c>
      <c r="H872" s="4">
        <v>0</v>
      </c>
    </row>
    <row r="873" spans="2:8" x14ac:dyDescent="0.2">
      <c r="B873" s="3" t="s">
        <v>140</v>
      </c>
      <c r="C873" s="3" t="s">
        <v>17</v>
      </c>
      <c r="D873" s="3" t="str">
        <f>VLOOKUP(C873,Countries!$B$3:$C$140,2,FALSE)</f>
        <v>Europe</v>
      </c>
      <c r="E873" s="3" t="s">
        <v>22</v>
      </c>
      <c r="F873" s="3" t="str">
        <f>VLOOKUP(E873,Countries!$B$3:$C$140,2,FALSE)</f>
        <v>Europe</v>
      </c>
      <c r="G873" s="4">
        <v>4</v>
      </c>
      <c r="H873" s="4">
        <v>0</v>
      </c>
    </row>
    <row r="874" spans="2:8" x14ac:dyDescent="0.2">
      <c r="B874" s="3" t="s">
        <v>140</v>
      </c>
      <c r="C874" s="3" t="s">
        <v>17</v>
      </c>
      <c r="D874" s="3" t="str">
        <f>VLOOKUP(C874,Countries!$B$3:$C$140,2,FALSE)</f>
        <v>Europe</v>
      </c>
      <c r="E874" s="3" t="s">
        <v>53</v>
      </c>
      <c r="F874" s="3" t="str">
        <f>VLOOKUP(E874,Countries!$B$3:$C$140,2,FALSE)</f>
        <v>Europe</v>
      </c>
      <c r="G874" s="4">
        <v>20</v>
      </c>
      <c r="H874" s="4">
        <v>73956602.068957493</v>
      </c>
    </row>
    <row r="875" spans="2:8" x14ac:dyDescent="0.2">
      <c r="B875" s="3" t="s">
        <v>140</v>
      </c>
      <c r="C875" s="3" t="s">
        <v>17</v>
      </c>
      <c r="D875" s="3" t="str">
        <f>VLOOKUP(C875,Countries!$B$3:$C$140,2,FALSE)</f>
        <v>Europe</v>
      </c>
      <c r="E875" s="3" t="s">
        <v>44</v>
      </c>
      <c r="F875" s="3" t="str">
        <f>VLOOKUP(E875,Countries!$B$3:$C$140,2,FALSE)</f>
        <v>Europe</v>
      </c>
      <c r="G875" s="4">
        <v>2</v>
      </c>
      <c r="H875" s="4">
        <v>0</v>
      </c>
    </row>
    <row r="876" spans="2:8" x14ac:dyDescent="0.2">
      <c r="B876" s="3" t="s">
        <v>140</v>
      </c>
      <c r="C876" s="3" t="s">
        <v>17</v>
      </c>
      <c r="D876" s="3" t="str">
        <f>VLOOKUP(C876,Countries!$B$3:$C$140,2,FALSE)</f>
        <v>Europe</v>
      </c>
      <c r="E876" s="3" t="s">
        <v>79</v>
      </c>
      <c r="F876" s="3" t="str">
        <f>VLOOKUP(E876,Countries!$B$3:$C$140,2,FALSE)</f>
        <v>South America</v>
      </c>
      <c r="G876" s="4">
        <v>12</v>
      </c>
      <c r="H876" s="4">
        <v>14700287.192182109</v>
      </c>
    </row>
    <row r="877" spans="2:8" x14ac:dyDescent="0.2">
      <c r="B877" s="3" t="s">
        <v>140</v>
      </c>
      <c r="C877" s="3" t="s">
        <v>17</v>
      </c>
      <c r="D877" s="3" t="str">
        <f>VLOOKUP(C877,Countries!$B$3:$C$140,2,FALSE)</f>
        <v>Europe</v>
      </c>
      <c r="E877" s="3" t="s">
        <v>80</v>
      </c>
      <c r="F877" s="3" t="str">
        <f>VLOOKUP(E877,Countries!$B$3:$C$140,2,FALSE)</f>
        <v>South America</v>
      </c>
      <c r="G877" s="4">
        <v>4</v>
      </c>
      <c r="H877" s="4">
        <v>2368422</v>
      </c>
    </row>
    <row r="878" spans="2:8" x14ac:dyDescent="0.2">
      <c r="B878" s="3" t="s">
        <v>140</v>
      </c>
      <c r="C878" s="3" t="s">
        <v>17</v>
      </c>
      <c r="D878" s="3" t="str">
        <f>VLOOKUP(C878,Countries!$B$3:$C$140,2,FALSE)</f>
        <v>Europe</v>
      </c>
      <c r="E878" s="3" t="s">
        <v>54</v>
      </c>
      <c r="F878" s="3" t="str">
        <f>VLOOKUP(E878,Countries!$B$3:$C$140,2,FALSE)</f>
        <v>Europe</v>
      </c>
      <c r="G878" s="4">
        <v>10</v>
      </c>
      <c r="H878" s="4">
        <v>1096737.0593309249</v>
      </c>
    </row>
    <row r="879" spans="2:8" x14ac:dyDescent="0.2">
      <c r="B879" s="3" t="s">
        <v>140</v>
      </c>
      <c r="C879" s="3" t="s">
        <v>17</v>
      </c>
      <c r="D879" s="3" t="str">
        <f>VLOOKUP(C879,Countries!$B$3:$C$140,2,FALSE)</f>
        <v>Europe</v>
      </c>
      <c r="E879" s="3" t="s">
        <v>25</v>
      </c>
      <c r="F879" s="3" t="str">
        <f>VLOOKUP(E879,Countries!$B$3:$C$140,2,FALSE)</f>
        <v>Europe</v>
      </c>
      <c r="G879" s="4">
        <v>22</v>
      </c>
      <c r="H879" s="4">
        <v>8910690.9645315595</v>
      </c>
    </row>
    <row r="880" spans="2:8" x14ac:dyDescent="0.2">
      <c r="B880" s="3" t="s">
        <v>140</v>
      </c>
      <c r="C880" s="3" t="s">
        <v>17</v>
      </c>
      <c r="D880" s="3" t="str">
        <f>VLOOKUP(C880,Countries!$B$3:$C$140,2,FALSE)</f>
        <v>Europe</v>
      </c>
      <c r="E880" s="3" t="s">
        <v>26</v>
      </c>
      <c r="F880" s="3" t="str">
        <f>VLOOKUP(E880,Countries!$B$3:$C$140,2,FALSE)</f>
        <v>Europe</v>
      </c>
      <c r="G880" s="4">
        <v>18</v>
      </c>
      <c r="H880" s="4">
        <v>20721645.387225781</v>
      </c>
    </row>
    <row r="881" spans="2:8" x14ac:dyDescent="0.2">
      <c r="B881" s="3" t="s">
        <v>140</v>
      </c>
      <c r="C881" s="3" t="s">
        <v>17</v>
      </c>
      <c r="D881" s="3" t="str">
        <f>VLOOKUP(C881,Countries!$B$3:$C$140,2,FALSE)</f>
        <v>Europe</v>
      </c>
      <c r="E881" s="3" t="s">
        <v>46</v>
      </c>
      <c r="F881" s="3" t="str">
        <f>VLOOKUP(E881,Countries!$B$3:$C$140,2,FALSE)</f>
        <v>Europe/Asia</v>
      </c>
      <c r="G881" s="4">
        <v>4</v>
      </c>
      <c r="H881" s="4">
        <v>0</v>
      </c>
    </row>
    <row r="882" spans="2:8" x14ac:dyDescent="0.2">
      <c r="B882" s="3" t="s">
        <v>140</v>
      </c>
      <c r="C882" s="3" t="s">
        <v>17</v>
      </c>
      <c r="D882" s="3" t="str">
        <f>VLOOKUP(C882,Countries!$B$3:$C$140,2,FALSE)</f>
        <v>Europe</v>
      </c>
      <c r="E882" s="3" t="s">
        <v>55</v>
      </c>
      <c r="F882" s="3" t="str">
        <f>VLOOKUP(E882,Countries!$B$3:$C$140,2,FALSE)</f>
        <v>Europe</v>
      </c>
      <c r="G882" s="4">
        <v>6</v>
      </c>
      <c r="H882" s="4">
        <v>0</v>
      </c>
    </row>
    <row r="883" spans="2:8" x14ac:dyDescent="0.2">
      <c r="B883" s="3" t="s">
        <v>140</v>
      </c>
      <c r="C883" s="3" t="s">
        <v>17</v>
      </c>
      <c r="D883" s="3" t="str">
        <f>VLOOKUP(C883,Countries!$B$3:$C$140,2,FALSE)</f>
        <v>Europe</v>
      </c>
      <c r="E883" s="3" t="s">
        <v>28</v>
      </c>
      <c r="F883" s="3" t="str">
        <f>VLOOKUP(E883,Countries!$B$3:$C$140,2,FALSE)</f>
        <v>Europe</v>
      </c>
      <c r="G883" s="4">
        <v>6</v>
      </c>
      <c r="H883" s="4">
        <v>14932574.49687</v>
      </c>
    </row>
    <row r="884" spans="2:8" x14ac:dyDescent="0.2">
      <c r="B884" s="3" t="s">
        <v>140</v>
      </c>
      <c r="C884" s="3" t="s">
        <v>17</v>
      </c>
      <c r="D884" s="3" t="str">
        <f>VLOOKUP(C884,Countries!$B$3:$C$140,2,FALSE)</f>
        <v>Europe</v>
      </c>
      <c r="E884" s="3" t="s">
        <v>29</v>
      </c>
      <c r="F884" s="3" t="str">
        <f>VLOOKUP(E884,Countries!$B$3:$C$140,2,FALSE)</f>
        <v>Europe</v>
      </c>
      <c r="G884" s="4">
        <v>48</v>
      </c>
      <c r="H884" s="4">
        <v>53891134.5216939</v>
      </c>
    </row>
    <row r="885" spans="2:8" x14ac:dyDescent="0.2">
      <c r="B885" s="3" t="s">
        <v>140</v>
      </c>
      <c r="C885" s="3" t="s">
        <v>17</v>
      </c>
      <c r="D885" s="3" t="str">
        <f>VLOOKUP(C885,Countries!$B$3:$C$140,2,FALSE)</f>
        <v>Europe</v>
      </c>
      <c r="E885" s="3" t="s">
        <v>56</v>
      </c>
      <c r="F885" s="3" t="str">
        <f>VLOOKUP(E885,Countries!$B$3:$C$140,2,FALSE)</f>
        <v>Europe</v>
      </c>
      <c r="G885" s="4">
        <v>2</v>
      </c>
      <c r="H885" s="4">
        <v>524658.02286299993</v>
      </c>
    </row>
    <row r="886" spans="2:8" x14ac:dyDescent="0.2">
      <c r="B886" s="3" t="s">
        <v>140</v>
      </c>
      <c r="C886" s="3" t="s">
        <v>17</v>
      </c>
      <c r="D886" s="3" t="str">
        <f>VLOOKUP(C886,Countries!$B$3:$C$140,2,FALSE)</f>
        <v>Europe</v>
      </c>
      <c r="E886" s="3" t="s">
        <v>30</v>
      </c>
      <c r="F886" s="3" t="str">
        <f>VLOOKUP(E886,Countries!$B$3:$C$140,2,FALSE)</f>
        <v>Europe</v>
      </c>
      <c r="G886" s="4">
        <v>8</v>
      </c>
      <c r="H886" s="4">
        <v>3733143.6242175</v>
      </c>
    </row>
    <row r="887" spans="2:8" x14ac:dyDescent="0.2">
      <c r="B887" s="3" t="s">
        <v>140</v>
      </c>
      <c r="C887" s="3" t="s">
        <v>17</v>
      </c>
      <c r="D887" s="3" t="str">
        <f>VLOOKUP(C887,Countries!$B$3:$C$140,2,FALSE)</f>
        <v>Europe</v>
      </c>
      <c r="E887" s="3" t="s">
        <v>31</v>
      </c>
      <c r="F887" s="3" t="str">
        <f>VLOOKUP(E887,Countries!$B$3:$C$140,2,FALSE)</f>
        <v>Europe</v>
      </c>
      <c r="G887" s="4">
        <v>20</v>
      </c>
      <c r="H887" s="4">
        <v>10214889.913595341</v>
      </c>
    </row>
    <row r="888" spans="2:8" x14ac:dyDescent="0.2">
      <c r="B888" s="3" t="s">
        <v>140</v>
      </c>
      <c r="C888" s="3" t="s">
        <v>17</v>
      </c>
      <c r="D888" s="3" t="str">
        <f>VLOOKUP(C888,Countries!$B$3:$C$140,2,FALSE)</f>
        <v>Europe</v>
      </c>
      <c r="E888" s="3" t="s">
        <v>57</v>
      </c>
      <c r="F888" s="3" t="str">
        <f>VLOOKUP(E888,Countries!$B$3:$C$140,2,FALSE)</f>
        <v>Europe/Asia</v>
      </c>
      <c r="G888" s="4">
        <v>4</v>
      </c>
      <c r="H888" s="4">
        <v>0</v>
      </c>
    </row>
    <row r="889" spans="2:8" x14ac:dyDescent="0.2">
      <c r="B889" s="3" t="s">
        <v>140</v>
      </c>
      <c r="C889" s="3" t="s">
        <v>17</v>
      </c>
      <c r="D889" s="3" t="str">
        <f>VLOOKUP(C889,Countries!$B$3:$C$140,2,FALSE)</f>
        <v>Europe</v>
      </c>
      <c r="E889" s="3" t="s">
        <v>32</v>
      </c>
      <c r="F889" s="3" t="str">
        <f>VLOOKUP(E889,Countries!$B$3:$C$140,2,FALSE)</f>
        <v>Europe</v>
      </c>
      <c r="G889" s="4">
        <v>2</v>
      </c>
      <c r="H889" s="4">
        <v>0</v>
      </c>
    </row>
    <row r="890" spans="2:8" x14ac:dyDescent="0.2">
      <c r="B890" s="3" t="s">
        <v>140</v>
      </c>
      <c r="C890" s="3" t="s">
        <v>17</v>
      </c>
      <c r="D890" s="3" t="str">
        <f>VLOOKUP(C890,Countries!$B$3:$C$140,2,FALSE)</f>
        <v>Europe</v>
      </c>
      <c r="E890" s="3" t="s">
        <v>58</v>
      </c>
      <c r="F890" s="3" t="str">
        <f>VLOOKUP(E890,Countries!$B$3:$C$140,2,FALSE)</f>
        <v>South America</v>
      </c>
      <c r="G890" s="4">
        <v>22</v>
      </c>
      <c r="H890" s="4">
        <v>44214043.494270295</v>
      </c>
    </row>
    <row r="891" spans="2:8" x14ac:dyDescent="0.2">
      <c r="B891" s="3" t="s">
        <v>140</v>
      </c>
      <c r="C891" s="3" t="s">
        <v>17</v>
      </c>
      <c r="D891" s="3" t="str">
        <f>VLOOKUP(C891,Countries!$B$3:$C$140,2,FALSE)</f>
        <v>Europe</v>
      </c>
      <c r="E891" s="3" t="s">
        <v>91</v>
      </c>
      <c r="F891" s="3" t="str">
        <f>VLOOKUP(E891,Countries!$B$3:$C$140,2,FALSE)</f>
        <v>South America</v>
      </c>
      <c r="G891" s="4">
        <v>2</v>
      </c>
      <c r="H891" s="4">
        <v>0</v>
      </c>
    </row>
    <row r="892" spans="2:8" x14ac:dyDescent="0.2">
      <c r="B892" s="3" t="s">
        <v>140</v>
      </c>
      <c r="C892" s="3" t="s">
        <v>17</v>
      </c>
      <c r="D892" s="3" t="str">
        <f>VLOOKUP(C892,Countries!$B$3:$C$140,2,FALSE)</f>
        <v>Europe</v>
      </c>
      <c r="E892" s="3" t="s">
        <v>86</v>
      </c>
      <c r="F892" s="3" t="str">
        <f>VLOOKUP(E892,Countries!$B$3:$C$140,2,FALSE)</f>
        <v>Europe</v>
      </c>
      <c r="G892" s="4">
        <v>2</v>
      </c>
      <c r="H892" s="4">
        <v>0</v>
      </c>
    </row>
    <row r="893" spans="2:8" x14ac:dyDescent="0.2">
      <c r="B893" s="3" t="s">
        <v>140</v>
      </c>
      <c r="C893" s="3" t="s">
        <v>40</v>
      </c>
      <c r="D893" s="3" t="str">
        <f>VLOOKUP(C893,Countries!$B$3:$C$140,2,FALSE)</f>
        <v>Asia</v>
      </c>
      <c r="E893" s="3" t="s">
        <v>4</v>
      </c>
      <c r="F893" s="3" t="str">
        <f>VLOOKUP(E893,Countries!$B$3:$C$140,2,FALSE)</f>
        <v>Asia</v>
      </c>
      <c r="G893" s="4">
        <v>2</v>
      </c>
      <c r="H893" s="4">
        <v>0</v>
      </c>
    </row>
    <row r="894" spans="2:8" x14ac:dyDescent="0.2">
      <c r="B894" s="3" t="s">
        <v>140</v>
      </c>
      <c r="C894" s="3" t="s">
        <v>40</v>
      </c>
      <c r="D894" s="3" t="str">
        <f>VLOOKUP(C894,Countries!$B$3:$C$140,2,FALSE)</f>
        <v>Asia</v>
      </c>
      <c r="E894" s="3" t="s">
        <v>6</v>
      </c>
      <c r="F894" s="3" t="str">
        <f>VLOOKUP(E894,Countries!$B$3:$C$140,2,FALSE)</f>
        <v>Europe</v>
      </c>
      <c r="G894" s="4">
        <v>4</v>
      </c>
      <c r="H894" s="4">
        <v>0</v>
      </c>
    </row>
    <row r="895" spans="2:8" x14ac:dyDescent="0.2">
      <c r="B895" s="3" t="s">
        <v>140</v>
      </c>
      <c r="C895" s="3" t="s">
        <v>40</v>
      </c>
      <c r="D895" s="3" t="str">
        <f>VLOOKUP(C895,Countries!$B$3:$C$140,2,FALSE)</f>
        <v>Asia</v>
      </c>
      <c r="E895" s="3" t="s">
        <v>59</v>
      </c>
      <c r="F895" s="3" t="str">
        <f>VLOOKUP(E895,Countries!$B$3:$C$140,2,FALSE)</f>
        <v>Europe</v>
      </c>
      <c r="G895" s="4">
        <v>14</v>
      </c>
      <c r="H895" s="4">
        <v>570000</v>
      </c>
    </row>
    <row r="896" spans="2:8" x14ac:dyDescent="0.2">
      <c r="B896" s="3" t="s">
        <v>140</v>
      </c>
      <c r="C896" s="3" t="s">
        <v>40</v>
      </c>
      <c r="D896" s="3" t="str">
        <f>VLOOKUP(C896,Countries!$B$3:$C$140,2,FALSE)</f>
        <v>Asia</v>
      </c>
      <c r="E896" s="3" t="s">
        <v>7</v>
      </c>
      <c r="F896" s="3" t="str">
        <f>VLOOKUP(E896,Countries!$B$3:$C$140,2,FALSE)</f>
        <v>South America</v>
      </c>
      <c r="G896" s="4">
        <v>2</v>
      </c>
      <c r="H896" s="4">
        <v>0</v>
      </c>
    </row>
    <row r="897" spans="2:8" x14ac:dyDescent="0.2">
      <c r="B897" s="3" t="s">
        <v>140</v>
      </c>
      <c r="C897" s="3" t="s">
        <v>40</v>
      </c>
      <c r="D897" s="3" t="str">
        <f>VLOOKUP(C897,Countries!$B$3:$C$140,2,FALSE)</f>
        <v>Asia</v>
      </c>
      <c r="E897" s="3" t="s">
        <v>36</v>
      </c>
      <c r="F897" s="3" t="str">
        <f>VLOOKUP(E897,Countries!$B$3:$C$140,2,FALSE)</f>
        <v>Europe</v>
      </c>
      <c r="G897" s="4">
        <v>8</v>
      </c>
      <c r="H897" s="4">
        <v>0</v>
      </c>
    </row>
    <row r="898" spans="2:8" x14ac:dyDescent="0.2">
      <c r="B898" s="3" t="s">
        <v>140</v>
      </c>
      <c r="C898" s="3" t="s">
        <v>40</v>
      </c>
      <c r="D898" s="3" t="str">
        <f>VLOOKUP(C898,Countries!$B$3:$C$140,2,FALSE)</f>
        <v>Asia</v>
      </c>
      <c r="E898" s="3" t="s">
        <v>9</v>
      </c>
      <c r="F898" s="3" t="str">
        <f>VLOOKUP(E898,Countries!$B$3:$C$140,2,FALSE)</f>
        <v>Europe</v>
      </c>
      <c r="G898" s="4">
        <v>10</v>
      </c>
      <c r="H898" s="4">
        <v>0</v>
      </c>
    </row>
    <row r="899" spans="2:8" x14ac:dyDescent="0.2">
      <c r="B899" s="3" t="s">
        <v>140</v>
      </c>
      <c r="C899" s="3" t="s">
        <v>40</v>
      </c>
      <c r="D899" s="3" t="str">
        <f>VLOOKUP(C899,Countries!$B$3:$C$140,2,FALSE)</f>
        <v>Asia</v>
      </c>
      <c r="E899" s="3" t="s">
        <v>62</v>
      </c>
      <c r="F899" s="3" t="str">
        <f>VLOOKUP(E899,Countries!$B$3:$C$140,2,FALSE)</f>
        <v>Asia</v>
      </c>
      <c r="G899" s="4">
        <v>2</v>
      </c>
      <c r="H899" s="4">
        <v>0</v>
      </c>
    </row>
    <row r="900" spans="2:8" x14ac:dyDescent="0.2">
      <c r="B900" s="3" t="s">
        <v>140</v>
      </c>
      <c r="C900" s="3" t="s">
        <v>40</v>
      </c>
      <c r="D900" s="3" t="str">
        <f>VLOOKUP(C900,Countries!$B$3:$C$140,2,FALSE)</f>
        <v>Asia</v>
      </c>
      <c r="E900" s="3" t="s">
        <v>49</v>
      </c>
      <c r="F900" s="3" t="str">
        <f>VLOOKUP(E900,Countries!$B$3:$C$140,2,FALSE)</f>
        <v>Europe</v>
      </c>
      <c r="G900" s="4">
        <v>4</v>
      </c>
      <c r="H900" s="4">
        <v>319910.26359300001</v>
      </c>
    </row>
    <row r="901" spans="2:8" x14ac:dyDescent="0.2">
      <c r="B901" s="3" t="s">
        <v>140</v>
      </c>
      <c r="C901" s="3" t="s">
        <v>40</v>
      </c>
      <c r="D901" s="3" t="str">
        <f>VLOOKUP(C901,Countries!$B$3:$C$140,2,FALSE)</f>
        <v>Asia</v>
      </c>
      <c r="E901" s="3" t="s">
        <v>10</v>
      </c>
      <c r="F901" s="3" t="str">
        <f>VLOOKUP(E901,Countries!$B$3:$C$140,2,FALSE)</f>
        <v>Europe</v>
      </c>
      <c r="G901" s="4">
        <v>4</v>
      </c>
      <c r="H901" s="4">
        <v>0</v>
      </c>
    </row>
    <row r="902" spans="2:8" x14ac:dyDescent="0.2">
      <c r="B902" s="3" t="s">
        <v>140</v>
      </c>
      <c r="C902" s="3" t="s">
        <v>40</v>
      </c>
      <c r="D902" s="3" t="str">
        <f>VLOOKUP(C902,Countries!$B$3:$C$140,2,FALSE)</f>
        <v>Asia</v>
      </c>
      <c r="E902" s="3" t="s">
        <v>11</v>
      </c>
      <c r="F902" s="3" t="str">
        <f>VLOOKUP(E902,Countries!$B$3:$C$140,2,FALSE)</f>
        <v>Europe</v>
      </c>
      <c r="G902" s="4">
        <v>2</v>
      </c>
      <c r="H902" s="4">
        <v>0</v>
      </c>
    </row>
    <row r="903" spans="2:8" x14ac:dyDescent="0.2">
      <c r="B903" s="3" t="s">
        <v>140</v>
      </c>
      <c r="C903" s="3" t="s">
        <v>40</v>
      </c>
      <c r="D903" s="3" t="str">
        <f>VLOOKUP(C903,Countries!$B$3:$C$140,2,FALSE)</f>
        <v>Asia</v>
      </c>
      <c r="E903" s="3" t="s">
        <v>39</v>
      </c>
      <c r="F903" s="3" t="str">
        <f>VLOOKUP(E903,Countries!$B$3:$C$140,2,FALSE)</f>
        <v>Europe/Asia</v>
      </c>
      <c r="G903" s="4">
        <v>2</v>
      </c>
      <c r="H903" s="4">
        <v>0</v>
      </c>
    </row>
    <row r="904" spans="2:8" x14ac:dyDescent="0.2">
      <c r="B904" s="3" t="s">
        <v>140</v>
      </c>
      <c r="C904" s="3" t="s">
        <v>40</v>
      </c>
      <c r="D904" s="3" t="str">
        <f>VLOOKUP(C904,Countries!$B$3:$C$140,2,FALSE)</f>
        <v>Asia</v>
      </c>
      <c r="E904" s="3" t="s">
        <v>14</v>
      </c>
      <c r="F904" s="3" t="str">
        <f>VLOOKUP(E904,Countries!$B$3:$C$140,2,FALSE)</f>
        <v>Europe</v>
      </c>
      <c r="G904" s="4">
        <v>4</v>
      </c>
      <c r="H904" s="4">
        <v>0</v>
      </c>
    </row>
    <row r="905" spans="2:8" x14ac:dyDescent="0.2">
      <c r="B905" s="3" t="s">
        <v>140</v>
      </c>
      <c r="C905" s="3" t="s">
        <v>40</v>
      </c>
      <c r="D905" s="3" t="str">
        <f>VLOOKUP(C905,Countries!$B$3:$C$140,2,FALSE)</f>
        <v>Asia</v>
      </c>
      <c r="E905" s="3" t="s">
        <v>15</v>
      </c>
      <c r="F905" s="3" t="str">
        <f>VLOOKUP(E905,Countries!$B$3:$C$140,2,FALSE)</f>
        <v>Europe</v>
      </c>
      <c r="G905" s="4">
        <v>8</v>
      </c>
      <c r="H905" s="4">
        <v>632129.00395500008</v>
      </c>
    </row>
    <row r="906" spans="2:8" x14ac:dyDescent="0.2">
      <c r="B906" s="3" t="s">
        <v>140</v>
      </c>
      <c r="C906" s="3" t="s">
        <v>40</v>
      </c>
      <c r="D906" s="3" t="str">
        <f>VLOOKUP(C906,Countries!$B$3:$C$140,2,FALSE)</f>
        <v>Asia</v>
      </c>
      <c r="E906" s="3" t="s">
        <v>51</v>
      </c>
      <c r="F906" s="3" t="str">
        <f>VLOOKUP(E906,Countries!$B$3:$C$140,2,FALSE)</f>
        <v>Asia</v>
      </c>
      <c r="G906" s="4">
        <v>4</v>
      </c>
      <c r="H906" s="4">
        <v>0</v>
      </c>
    </row>
    <row r="907" spans="2:8" x14ac:dyDescent="0.2">
      <c r="B907" s="3" t="s">
        <v>140</v>
      </c>
      <c r="C907" s="3" t="s">
        <v>40</v>
      </c>
      <c r="D907" s="3" t="str">
        <f>VLOOKUP(C907,Countries!$B$3:$C$140,2,FALSE)</f>
        <v>Asia</v>
      </c>
      <c r="E907" s="3" t="s">
        <v>121</v>
      </c>
      <c r="F907" s="3" t="str">
        <f>VLOOKUP(E907,Countries!$B$3:$C$140,2,FALSE)</f>
        <v>Asia</v>
      </c>
      <c r="G907" s="4">
        <v>4</v>
      </c>
      <c r="H907" s="4">
        <v>0</v>
      </c>
    </row>
    <row r="908" spans="2:8" x14ac:dyDescent="0.2">
      <c r="B908" s="3" t="s">
        <v>140</v>
      </c>
      <c r="C908" s="3" t="s">
        <v>40</v>
      </c>
      <c r="D908" s="3" t="str">
        <f>VLOOKUP(C908,Countries!$B$3:$C$140,2,FALSE)</f>
        <v>Asia</v>
      </c>
      <c r="E908" s="3" t="s">
        <v>117</v>
      </c>
      <c r="F908" s="3" t="str">
        <f>VLOOKUP(E908,Countries!$B$3:$C$140,2,FALSE)</f>
        <v>Asia</v>
      </c>
      <c r="G908" s="4">
        <v>2</v>
      </c>
      <c r="H908" s="4">
        <v>0</v>
      </c>
    </row>
    <row r="909" spans="2:8" x14ac:dyDescent="0.2">
      <c r="B909" s="3" t="s">
        <v>140</v>
      </c>
      <c r="C909" s="3" t="s">
        <v>40</v>
      </c>
      <c r="D909" s="3" t="str">
        <f>VLOOKUP(C909,Countries!$B$3:$C$140,2,FALSE)</f>
        <v>Asia</v>
      </c>
      <c r="E909" s="3" t="s">
        <v>43</v>
      </c>
      <c r="F909" s="3" t="str">
        <f>VLOOKUP(E909,Countries!$B$3:$C$140,2,FALSE)</f>
        <v>Europe</v>
      </c>
      <c r="G909" s="4">
        <v>14</v>
      </c>
      <c r="H909" s="4">
        <v>645000</v>
      </c>
    </row>
    <row r="910" spans="2:8" x14ac:dyDescent="0.2">
      <c r="B910" s="3" t="s">
        <v>140</v>
      </c>
      <c r="C910" s="3" t="s">
        <v>40</v>
      </c>
      <c r="D910" s="3" t="str">
        <f>VLOOKUP(C910,Countries!$B$3:$C$140,2,FALSE)</f>
        <v>Asia</v>
      </c>
      <c r="E910" s="3" t="s">
        <v>21</v>
      </c>
      <c r="F910" s="3" t="str">
        <f>VLOOKUP(E910,Countries!$B$3:$C$140,2,FALSE)</f>
        <v>Europe</v>
      </c>
      <c r="G910" s="4">
        <v>4</v>
      </c>
      <c r="H910" s="4">
        <v>195000</v>
      </c>
    </row>
    <row r="911" spans="2:8" x14ac:dyDescent="0.2">
      <c r="B911" s="3" t="s">
        <v>140</v>
      </c>
      <c r="C911" s="3" t="s">
        <v>40</v>
      </c>
      <c r="D911" s="3" t="str">
        <f>VLOOKUP(C911,Countries!$B$3:$C$140,2,FALSE)</f>
        <v>Asia</v>
      </c>
      <c r="E911" s="3" t="s">
        <v>22</v>
      </c>
      <c r="F911" s="3" t="str">
        <f>VLOOKUP(E911,Countries!$B$3:$C$140,2,FALSE)</f>
        <v>Europe</v>
      </c>
      <c r="G911" s="4">
        <v>2</v>
      </c>
      <c r="H911" s="4">
        <v>0</v>
      </c>
    </row>
    <row r="912" spans="2:8" x14ac:dyDescent="0.2">
      <c r="B912" s="3" t="s">
        <v>140</v>
      </c>
      <c r="C912" s="3" t="s">
        <v>40</v>
      </c>
      <c r="D912" s="3" t="str">
        <f>VLOOKUP(C912,Countries!$B$3:$C$140,2,FALSE)</f>
        <v>Asia</v>
      </c>
      <c r="E912" s="3" t="s">
        <v>23</v>
      </c>
      <c r="F912" s="3" t="str">
        <f>VLOOKUP(E912,Countries!$B$3:$C$140,2,FALSE)</f>
        <v>Europe</v>
      </c>
      <c r="G912" s="4">
        <v>4</v>
      </c>
      <c r="H912" s="4">
        <v>0</v>
      </c>
    </row>
    <row r="913" spans="2:8" x14ac:dyDescent="0.2">
      <c r="B913" s="3" t="s">
        <v>140</v>
      </c>
      <c r="C913" s="3" t="s">
        <v>40</v>
      </c>
      <c r="D913" s="3" t="str">
        <f>VLOOKUP(C913,Countries!$B$3:$C$140,2,FALSE)</f>
        <v>Asia</v>
      </c>
      <c r="E913" s="3" t="s">
        <v>24</v>
      </c>
      <c r="F913" s="3" t="str">
        <f>VLOOKUP(E913,Countries!$B$3:$C$140,2,FALSE)</f>
        <v>Africa</v>
      </c>
      <c r="G913" s="4">
        <v>2</v>
      </c>
      <c r="H913" s="4">
        <v>0</v>
      </c>
    </row>
    <row r="914" spans="2:8" x14ac:dyDescent="0.2">
      <c r="B914" s="3" t="s">
        <v>140</v>
      </c>
      <c r="C914" s="3" t="s">
        <v>40</v>
      </c>
      <c r="D914" s="3" t="str">
        <f>VLOOKUP(C914,Countries!$B$3:$C$140,2,FALSE)</f>
        <v>Asia</v>
      </c>
      <c r="E914" s="3" t="s">
        <v>54</v>
      </c>
      <c r="F914" s="3" t="str">
        <f>VLOOKUP(E914,Countries!$B$3:$C$140,2,FALSE)</f>
        <v>Europe</v>
      </c>
      <c r="G914" s="4">
        <v>2</v>
      </c>
      <c r="H914" s="4">
        <v>0</v>
      </c>
    </row>
    <row r="915" spans="2:8" x14ac:dyDescent="0.2">
      <c r="B915" s="3" t="s">
        <v>140</v>
      </c>
      <c r="C915" s="3" t="s">
        <v>40</v>
      </c>
      <c r="D915" s="3" t="str">
        <f>VLOOKUP(C915,Countries!$B$3:$C$140,2,FALSE)</f>
        <v>Asia</v>
      </c>
      <c r="E915" s="3" t="s">
        <v>25</v>
      </c>
      <c r="F915" s="3" t="str">
        <f>VLOOKUP(E915,Countries!$B$3:$C$140,2,FALSE)</f>
        <v>Europe</v>
      </c>
      <c r="G915" s="4">
        <v>4</v>
      </c>
      <c r="H915" s="4">
        <v>0</v>
      </c>
    </row>
    <row r="916" spans="2:8" x14ac:dyDescent="0.2">
      <c r="B916" s="3" t="s">
        <v>140</v>
      </c>
      <c r="C916" s="3" t="s">
        <v>40</v>
      </c>
      <c r="D916" s="3" t="str">
        <f>VLOOKUP(C916,Countries!$B$3:$C$140,2,FALSE)</f>
        <v>Asia</v>
      </c>
      <c r="E916" s="3" t="s">
        <v>26</v>
      </c>
      <c r="F916" s="3" t="str">
        <f>VLOOKUP(E916,Countries!$B$3:$C$140,2,FALSE)</f>
        <v>Europe</v>
      </c>
      <c r="G916" s="4">
        <v>4</v>
      </c>
      <c r="H916" s="4">
        <v>0</v>
      </c>
    </row>
    <row r="917" spans="2:8" x14ac:dyDescent="0.2">
      <c r="B917" s="3" t="s">
        <v>140</v>
      </c>
      <c r="C917" s="3" t="s">
        <v>40</v>
      </c>
      <c r="D917" s="3" t="str">
        <f>VLOOKUP(C917,Countries!$B$3:$C$140,2,FALSE)</f>
        <v>Asia</v>
      </c>
      <c r="E917" s="3" t="s">
        <v>46</v>
      </c>
      <c r="F917" s="3" t="str">
        <f>VLOOKUP(E917,Countries!$B$3:$C$140,2,FALSE)</f>
        <v>Europe/Asia</v>
      </c>
      <c r="G917" s="4">
        <v>18</v>
      </c>
      <c r="H917" s="4">
        <v>270000</v>
      </c>
    </row>
    <row r="918" spans="2:8" x14ac:dyDescent="0.2">
      <c r="B918" s="3" t="s">
        <v>140</v>
      </c>
      <c r="C918" s="3" t="s">
        <v>40</v>
      </c>
      <c r="D918" s="3" t="str">
        <f>VLOOKUP(C918,Countries!$B$3:$C$140,2,FALSE)</f>
        <v>Asia</v>
      </c>
      <c r="E918" s="3" t="s">
        <v>28</v>
      </c>
      <c r="F918" s="3" t="str">
        <f>VLOOKUP(E918,Countries!$B$3:$C$140,2,FALSE)</f>
        <v>Europe</v>
      </c>
      <c r="G918" s="4">
        <v>26</v>
      </c>
      <c r="H918" s="4">
        <v>553583.09450999997</v>
      </c>
    </row>
    <row r="919" spans="2:8" x14ac:dyDescent="0.2">
      <c r="B919" s="3" t="s">
        <v>140</v>
      </c>
      <c r="C919" s="3" t="s">
        <v>40</v>
      </c>
      <c r="D919" s="3" t="str">
        <f>VLOOKUP(C919,Countries!$B$3:$C$140,2,FALSE)</f>
        <v>Asia</v>
      </c>
      <c r="E919" s="3" t="s">
        <v>56</v>
      </c>
      <c r="F919" s="3" t="str">
        <f>VLOOKUP(E919,Countries!$B$3:$C$140,2,FALSE)</f>
        <v>Europe</v>
      </c>
      <c r="G919" s="4">
        <v>2</v>
      </c>
      <c r="H919" s="4">
        <v>0</v>
      </c>
    </row>
    <row r="920" spans="2:8" x14ac:dyDescent="0.2">
      <c r="B920" s="3" t="s">
        <v>140</v>
      </c>
      <c r="C920" s="3" t="s">
        <v>40</v>
      </c>
      <c r="D920" s="3" t="str">
        <f>VLOOKUP(C920,Countries!$B$3:$C$140,2,FALSE)</f>
        <v>Asia</v>
      </c>
      <c r="E920" s="3" t="s">
        <v>30</v>
      </c>
      <c r="F920" s="3" t="str">
        <f>VLOOKUP(E920,Countries!$B$3:$C$140,2,FALSE)</f>
        <v>Europe</v>
      </c>
      <c r="G920" s="4">
        <v>2</v>
      </c>
      <c r="H920" s="4">
        <v>0</v>
      </c>
    </row>
    <row r="921" spans="2:8" x14ac:dyDescent="0.2">
      <c r="B921" s="3" t="s">
        <v>140</v>
      </c>
      <c r="C921" s="3" t="s">
        <v>40</v>
      </c>
      <c r="D921" s="3" t="str">
        <f>VLOOKUP(C921,Countries!$B$3:$C$140,2,FALSE)</f>
        <v>Asia</v>
      </c>
      <c r="E921" s="3" t="s">
        <v>122</v>
      </c>
      <c r="F921" s="3" t="str">
        <f>VLOOKUP(E921,Countries!$B$3:$C$140,2,FALSE)</f>
        <v>Asia</v>
      </c>
      <c r="G921" s="4">
        <v>2</v>
      </c>
      <c r="H921" s="4">
        <v>0</v>
      </c>
    </row>
    <row r="922" spans="2:8" x14ac:dyDescent="0.2">
      <c r="B922" s="3" t="s">
        <v>140</v>
      </c>
      <c r="C922" s="3" t="s">
        <v>40</v>
      </c>
      <c r="D922" s="3" t="str">
        <f>VLOOKUP(C922,Countries!$B$3:$C$140,2,FALSE)</f>
        <v>Asia</v>
      </c>
      <c r="E922" s="3" t="s">
        <v>57</v>
      </c>
      <c r="F922" s="3" t="str">
        <f>VLOOKUP(E922,Countries!$B$3:$C$140,2,FALSE)</f>
        <v>Europe/Asia</v>
      </c>
      <c r="G922" s="4">
        <v>4</v>
      </c>
      <c r="H922" s="4">
        <v>0</v>
      </c>
    </row>
    <row r="923" spans="2:8" x14ac:dyDescent="0.2">
      <c r="B923" s="3" t="s">
        <v>140</v>
      </c>
      <c r="C923" s="3" t="s">
        <v>40</v>
      </c>
      <c r="D923" s="3" t="str">
        <f>VLOOKUP(C923,Countries!$B$3:$C$140,2,FALSE)</f>
        <v>Asia</v>
      </c>
      <c r="E923" s="3" t="s">
        <v>105</v>
      </c>
      <c r="F923" s="3" t="str">
        <f>VLOOKUP(E923,Countries!$B$3:$C$140,2,FALSE)</f>
        <v>Asia</v>
      </c>
      <c r="G923" s="4">
        <v>2</v>
      </c>
      <c r="H923" s="4">
        <v>0</v>
      </c>
    </row>
    <row r="924" spans="2:8" x14ac:dyDescent="0.2">
      <c r="B924" s="3" t="s">
        <v>140</v>
      </c>
      <c r="C924" s="3" t="s">
        <v>40</v>
      </c>
      <c r="D924" s="3" t="str">
        <f>VLOOKUP(C924,Countries!$B$3:$C$140,2,FALSE)</f>
        <v>Asia</v>
      </c>
      <c r="E924" s="3" t="s">
        <v>32</v>
      </c>
      <c r="F924" s="3" t="str">
        <f>VLOOKUP(E924,Countries!$B$3:$C$140,2,FALSE)</f>
        <v>Europe</v>
      </c>
      <c r="G924" s="4">
        <v>22</v>
      </c>
      <c r="H924" s="4">
        <v>0</v>
      </c>
    </row>
    <row r="925" spans="2:8" x14ac:dyDescent="0.2">
      <c r="B925" s="3" t="s">
        <v>140</v>
      </c>
      <c r="C925" s="3" t="s">
        <v>40</v>
      </c>
      <c r="D925" s="3" t="str">
        <f>VLOOKUP(C925,Countries!$B$3:$C$140,2,FALSE)</f>
        <v>Asia</v>
      </c>
      <c r="E925" s="3" t="s">
        <v>33</v>
      </c>
      <c r="F925" s="3" t="str">
        <f>VLOOKUP(E925,Countries!$B$3:$C$140,2,FALSE)</f>
        <v>North America</v>
      </c>
      <c r="G925" s="4">
        <v>2</v>
      </c>
      <c r="H925" s="4">
        <v>0</v>
      </c>
    </row>
    <row r="926" spans="2:8" x14ac:dyDescent="0.2">
      <c r="B926" s="3" t="s">
        <v>140</v>
      </c>
      <c r="C926" s="3" t="s">
        <v>40</v>
      </c>
      <c r="D926" s="3" t="str">
        <f>VLOOKUP(C926,Countries!$B$3:$C$140,2,FALSE)</f>
        <v>Asia</v>
      </c>
      <c r="E926" s="3" t="s">
        <v>87</v>
      </c>
      <c r="F926" s="3" t="str">
        <f>VLOOKUP(E926,Countries!$B$3:$C$140,2,FALSE)</f>
        <v>Asia</v>
      </c>
      <c r="G926" s="4">
        <v>8</v>
      </c>
      <c r="H926" s="4">
        <v>0</v>
      </c>
    </row>
    <row r="927" spans="2:8" x14ac:dyDescent="0.2">
      <c r="B927" s="3" t="s">
        <v>140</v>
      </c>
      <c r="C927" s="3" t="s">
        <v>66</v>
      </c>
      <c r="D927" s="3" t="str">
        <f>VLOOKUP(C927,Countries!$B$3:$C$140,2,FALSE)</f>
        <v>Europe</v>
      </c>
      <c r="E927" s="3" t="s">
        <v>69</v>
      </c>
      <c r="F927" s="3" t="str">
        <f>VLOOKUP(E927,Countries!$B$3:$C$140,2,FALSE)</f>
        <v>South America</v>
      </c>
      <c r="G927" s="4">
        <v>2</v>
      </c>
      <c r="H927" s="4">
        <v>0</v>
      </c>
    </row>
    <row r="928" spans="2:8" x14ac:dyDescent="0.2">
      <c r="B928" s="3" t="s">
        <v>140</v>
      </c>
      <c r="C928" s="3" t="s">
        <v>66</v>
      </c>
      <c r="D928" s="3" t="str">
        <f>VLOOKUP(C928,Countries!$B$3:$C$140,2,FALSE)</f>
        <v>Europe</v>
      </c>
      <c r="E928" s="3" t="s">
        <v>3</v>
      </c>
      <c r="F928" s="3" t="str">
        <f>VLOOKUP(E928,Countries!$B$3:$C$140,2,FALSE)</f>
        <v>Europe</v>
      </c>
      <c r="G928" s="4">
        <v>4</v>
      </c>
      <c r="H928" s="4">
        <v>0</v>
      </c>
    </row>
    <row r="929" spans="2:8" x14ac:dyDescent="0.2">
      <c r="B929" s="3" t="s">
        <v>140</v>
      </c>
      <c r="C929" s="3" t="s">
        <v>66</v>
      </c>
      <c r="D929" s="3" t="str">
        <f>VLOOKUP(C929,Countries!$B$3:$C$140,2,FALSE)</f>
        <v>Europe</v>
      </c>
      <c r="E929" s="3" t="s">
        <v>4</v>
      </c>
      <c r="F929" s="3" t="str">
        <f>VLOOKUP(E929,Countries!$B$3:$C$140,2,FALSE)</f>
        <v>Asia</v>
      </c>
      <c r="G929" s="4">
        <v>2</v>
      </c>
      <c r="H929" s="4">
        <v>0</v>
      </c>
    </row>
    <row r="930" spans="2:8" x14ac:dyDescent="0.2">
      <c r="B930" s="3" t="s">
        <v>140</v>
      </c>
      <c r="C930" s="3" t="s">
        <v>66</v>
      </c>
      <c r="D930" s="3" t="str">
        <f>VLOOKUP(C930,Countries!$B$3:$C$140,2,FALSE)</f>
        <v>Europe</v>
      </c>
      <c r="E930" s="3" t="s">
        <v>35</v>
      </c>
      <c r="F930" s="3" t="str">
        <f>VLOOKUP(E930,Countries!$B$3:$C$140,2,FALSE)</f>
        <v>Europe</v>
      </c>
      <c r="G930" s="4">
        <v>2</v>
      </c>
      <c r="H930" s="4">
        <v>0</v>
      </c>
    </row>
    <row r="931" spans="2:8" x14ac:dyDescent="0.2">
      <c r="B931" s="3" t="s">
        <v>140</v>
      </c>
      <c r="C931" s="3" t="s">
        <v>66</v>
      </c>
      <c r="D931" s="3" t="str">
        <f>VLOOKUP(C931,Countries!$B$3:$C$140,2,FALSE)</f>
        <v>Europe</v>
      </c>
      <c r="E931" s="3" t="s">
        <v>59</v>
      </c>
      <c r="F931" s="3" t="str">
        <f>VLOOKUP(E931,Countries!$B$3:$C$140,2,FALSE)</f>
        <v>Europe</v>
      </c>
      <c r="G931" s="4">
        <v>4</v>
      </c>
      <c r="H931" s="4">
        <v>0</v>
      </c>
    </row>
    <row r="932" spans="2:8" x14ac:dyDescent="0.2">
      <c r="B932" s="3" t="s">
        <v>140</v>
      </c>
      <c r="C932" s="3" t="s">
        <v>66</v>
      </c>
      <c r="D932" s="3" t="str">
        <f>VLOOKUP(C932,Countries!$B$3:$C$140,2,FALSE)</f>
        <v>Europe</v>
      </c>
      <c r="E932" s="3" t="s">
        <v>89</v>
      </c>
      <c r="F932" s="3" t="str">
        <f>VLOOKUP(E932,Countries!$B$3:$C$140,2,FALSE)</f>
        <v>Asia</v>
      </c>
      <c r="G932" s="4">
        <v>4</v>
      </c>
      <c r="H932" s="4">
        <v>0</v>
      </c>
    </row>
    <row r="933" spans="2:8" x14ac:dyDescent="0.2">
      <c r="B933" s="3" t="s">
        <v>140</v>
      </c>
      <c r="C933" s="3" t="s">
        <v>66</v>
      </c>
      <c r="D933" s="3" t="str">
        <f>VLOOKUP(C933,Countries!$B$3:$C$140,2,FALSE)</f>
        <v>Europe</v>
      </c>
      <c r="E933" s="3" t="s">
        <v>9</v>
      </c>
      <c r="F933" s="3" t="str">
        <f>VLOOKUP(E933,Countries!$B$3:$C$140,2,FALSE)</f>
        <v>Europe</v>
      </c>
      <c r="G933" s="4">
        <v>6</v>
      </c>
      <c r="H933" s="4">
        <v>0</v>
      </c>
    </row>
    <row r="934" spans="2:8" x14ac:dyDescent="0.2">
      <c r="B934" s="3" t="s">
        <v>140</v>
      </c>
      <c r="C934" s="3" t="s">
        <v>66</v>
      </c>
      <c r="D934" s="3" t="str">
        <f>VLOOKUP(C934,Countries!$B$3:$C$140,2,FALSE)</f>
        <v>Europe</v>
      </c>
      <c r="E934" s="3" t="s">
        <v>38</v>
      </c>
      <c r="F934" s="3" t="str">
        <f>VLOOKUP(E934,Countries!$B$3:$C$140,2,FALSE)</f>
        <v>Europe</v>
      </c>
      <c r="G934" s="4">
        <v>10</v>
      </c>
      <c r="H934" s="4">
        <v>0</v>
      </c>
    </row>
    <row r="935" spans="2:8" x14ac:dyDescent="0.2">
      <c r="B935" s="3" t="s">
        <v>140</v>
      </c>
      <c r="C935" s="3" t="s">
        <v>66</v>
      </c>
      <c r="D935" s="3" t="str">
        <f>VLOOKUP(C935,Countries!$B$3:$C$140,2,FALSE)</f>
        <v>Europe</v>
      </c>
      <c r="E935" s="3" t="s">
        <v>39</v>
      </c>
      <c r="F935" s="3" t="str">
        <f>VLOOKUP(E935,Countries!$B$3:$C$140,2,FALSE)</f>
        <v>Europe/Asia</v>
      </c>
      <c r="G935" s="4">
        <v>6</v>
      </c>
      <c r="H935" s="4">
        <v>0</v>
      </c>
    </row>
    <row r="936" spans="2:8" x14ac:dyDescent="0.2">
      <c r="B936" s="3" t="s">
        <v>140</v>
      </c>
      <c r="C936" s="3" t="s">
        <v>66</v>
      </c>
      <c r="D936" s="3" t="str">
        <f>VLOOKUP(C936,Countries!$B$3:$C$140,2,FALSE)</f>
        <v>Europe</v>
      </c>
      <c r="E936" s="3" t="s">
        <v>14</v>
      </c>
      <c r="F936" s="3" t="str">
        <f>VLOOKUP(E936,Countries!$B$3:$C$140,2,FALSE)</f>
        <v>Europe</v>
      </c>
      <c r="G936" s="4">
        <v>2</v>
      </c>
      <c r="H936" s="4">
        <v>0</v>
      </c>
    </row>
    <row r="937" spans="2:8" x14ac:dyDescent="0.2">
      <c r="B937" s="3" t="s">
        <v>140</v>
      </c>
      <c r="C937" s="3" t="s">
        <v>66</v>
      </c>
      <c r="D937" s="3" t="str">
        <f>VLOOKUP(C937,Countries!$B$3:$C$140,2,FALSE)</f>
        <v>Europe</v>
      </c>
      <c r="E937" s="3" t="s">
        <v>15</v>
      </c>
      <c r="F937" s="3" t="str">
        <f>VLOOKUP(E937,Countries!$B$3:$C$140,2,FALSE)</f>
        <v>Europe</v>
      </c>
      <c r="G937" s="4">
        <v>2</v>
      </c>
      <c r="H937" s="4">
        <v>0</v>
      </c>
    </row>
    <row r="938" spans="2:8" x14ac:dyDescent="0.2">
      <c r="B938" s="3" t="s">
        <v>140</v>
      </c>
      <c r="C938" s="3" t="s">
        <v>66</v>
      </c>
      <c r="D938" s="3" t="str">
        <f>VLOOKUP(C938,Countries!$B$3:$C$140,2,FALSE)</f>
        <v>Europe</v>
      </c>
      <c r="E938" s="3" t="s">
        <v>51</v>
      </c>
      <c r="F938" s="3" t="str">
        <f>VLOOKUP(E938,Countries!$B$3:$C$140,2,FALSE)</f>
        <v>Asia</v>
      </c>
      <c r="G938" s="4">
        <v>4</v>
      </c>
      <c r="H938" s="4">
        <v>0</v>
      </c>
    </row>
    <row r="939" spans="2:8" x14ac:dyDescent="0.2">
      <c r="B939" s="3" t="s">
        <v>140</v>
      </c>
      <c r="C939" s="3" t="s">
        <v>66</v>
      </c>
      <c r="D939" s="3" t="str">
        <f>VLOOKUP(C939,Countries!$B$3:$C$140,2,FALSE)</f>
        <v>Europe</v>
      </c>
      <c r="E939" s="3" t="s">
        <v>17</v>
      </c>
      <c r="F939" s="3" t="str">
        <f>VLOOKUP(E939,Countries!$B$3:$C$140,2,FALSE)</f>
        <v>Europe</v>
      </c>
      <c r="G939" s="4">
        <v>4</v>
      </c>
      <c r="H939" s="4">
        <v>0</v>
      </c>
    </row>
    <row r="940" spans="2:8" x14ac:dyDescent="0.2">
      <c r="B940" s="3" t="s">
        <v>140</v>
      </c>
      <c r="C940" s="3" t="s">
        <v>66</v>
      </c>
      <c r="D940" s="3" t="str">
        <f>VLOOKUP(C940,Countries!$B$3:$C$140,2,FALSE)</f>
        <v>Europe</v>
      </c>
      <c r="E940" s="3" t="s">
        <v>52</v>
      </c>
      <c r="F940" s="3" t="str">
        <f>VLOOKUP(E940,Countries!$B$3:$C$140,2,FALSE)</f>
        <v>Europe</v>
      </c>
      <c r="G940" s="4">
        <v>12</v>
      </c>
      <c r="H940" s="4">
        <v>0</v>
      </c>
    </row>
    <row r="941" spans="2:8" x14ac:dyDescent="0.2">
      <c r="B941" s="3" t="s">
        <v>140</v>
      </c>
      <c r="C941" s="3" t="s">
        <v>66</v>
      </c>
      <c r="D941" s="3" t="str">
        <f>VLOOKUP(C941,Countries!$B$3:$C$140,2,FALSE)</f>
        <v>Europe</v>
      </c>
      <c r="E941" s="3" t="s">
        <v>21</v>
      </c>
      <c r="F941" s="3" t="str">
        <f>VLOOKUP(E941,Countries!$B$3:$C$140,2,FALSE)</f>
        <v>Europe</v>
      </c>
      <c r="G941" s="4">
        <v>2</v>
      </c>
      <c r="H941" s="4">
        <v>0</v>
      </c>
    </row>
    <row r="942" spans="2:8" x14ac:dyDescent="0.2">
      <c r="B942" s="3" t="s">
        <v>140</v>
      </c>
      <c r="C942" s="3" t="s">
        <v>66</v>
      </c>
      <c r="D942" s="3" t="str">
        <f>VLOOKUP(C942,Countries!$B$3:$C$140,2,FALSE)</f>
        <v>Europe</v>
      </c>
      <c r="E942" s="3" t="s">
        <v>54</v>
      </c>
      <c r="F942" s="3" t="str">
        <f>VLOOKUP(E942,Countries!$B$3:$C$140,2,FALSE)</f>
        <v>Europe</v>
      </c>
      <c r="G942" s="4">
        <v>10</v>
      </c>
      <c r="H942" s="4">
        <v>0</v>
      </c>
    </row>
    <row r="943" spans="2:8" x14ac:dyDescent="0.2">
      <c r="B943" s="3" t="s">
        <v>140</v>
      </c>
      <c r="C943" s="3" t="s">
        <v>66</v>
      </c>
      <c r="D943" s="3" t="str">
        <f>VLOOKUP(C943,Countries!$B$3:$C$140,2,FALSE)</f>
        <v>Europe</v>
      </c>
      <c r="E943" s="3" t="s">
        <v>25</v>
      </c>
      <c r="F943" s="3" t="str">
        <f>VLOOKUP(E943,Countries!$B$3:$C$140,2,FALSE)</f>
        <v>Europe</v>
      </c>
      <c r="G943" s="4">
        <v>2</v>
      </c>
      <c r="H943" s="4">
        <v>0</v>
      </c>
    </row>
    <row r="944" spans="2:8" x14ac:dyDescent="0.2">
      <c r="B944" s="3" t="s">
        <v>140</v>
      </c>
      <c r="C944" s="3" t="s">
        <v>66</v>
      </c>
      <c r="D944" s="3" t="str">
        <f>VLOOKUP(C944,Countries!$B$3:$C$140,2,FALSE)</f>
        <v>Europe</v>
      </c>
      <c r="E944" s="3" t="s">
        <v>46</v>
      </c>
      <c r="F944" s="3" t="str">
        <f>VLOOKUP(E944,Countries!$B$3:$C$140,2,FALSE)</f>
        <v>Europe/Asia</v>
      </c>
      <c r="G944" s="4">
        <v>6</v>
      </c>
      <c r="H944" s="4">
        <v>40358.309451000001</v>
      </c>
    </row>
    <row r="945" spans="2:8" x14ac:dyDescent="0.2">
      <c r="B945" s="3" t="s">
        <v>140</v>
      </c>
      <c r="C945" s="3" t="s">
        <v>66</v>
      </c>
      <c r="D945" s="3" t="str">
        <f>VLOOKUP(C945,Countries!$B$3:$C$140,2,FALSE)</f>
        <v>Europe</v>
      </c>
      <c r="E945" s="3" t="s">
        <v>55</v>
      </c>
      <c r="F945" s="3" t="str">
        <f>VLOOKUP(E945,Countries!$B$3:$C$140,2,FALSE)</f>
        <v>Europe</v>
      </c>
      <c r="G945" s="4">
        <v>10</v>
      </c>
      <c r="H945" s="4">
        <v>1786917.6182999997</v>
      </c>
    </row>
    <row r="946" spans="2:8" x14ac:dyDescent="0.2">
      <c r="B946" s="3" t="s">
        <v>140</v>
      </c>
      <c r="C946" s="3" t="s">
        <v>66</v>
      </c>
      <c r="D946" s="3" t="str">
        <f>VLOOKUP(C946,Countries!$B$3:$C$140,2,FALSE)</f>
        <v>Europe</v>
      </c>
      <c r="E946" s="3" t="s">
        <v>32</v>
      </c>
      <c r="F946" s="3" t="str">
        <f>VLOOKUP(E946,Countries!$B$3:$C$140,2,FALSE)</f>
        <v>Europe</v>
      </c>
      <c r="G946" s="4">
        <v>20</v>
      </c>
      <c r="H946" s="4">
        <v>6000</v>
      </c>
    </row>
    <row r="947" spans="2:8" x14ac:dyDescent="0.2">
      <c r="B947" s="3" t="s">
        <v>140</v>
      </c>
      <c r="C947" s="3" t="s">
        <v>77</v>
      </c>
      <c r="D947" s="3" t="str">
        <f>VLOOKUP(C947,Countries!$B$3:$C$140,2,FALSE)</f>
        <v>Europe</v>
      </c>
      <c r="E947" s="3" t="s">
        <v>35</v>
      </c>
      <c r="F947" s="3" t="str">
        <f>VLOOKUP(E947,Countries!$B$3:$C$140,2,FALSE)</f>
        <v>Europe</v>
      </c>
      <c r="G947" s="4">
        <v>20</v>
      </c>
      <c r="H947" s="4">
        <v>0</v>
      </c>
    </row>
    <row r="948" spans="2:8" x14ac:dyDescent="0.2">
      <c r="B948" s="3" t="s">
        <v>140</v>
      </c>
      <c r="C948" s="3" t="s">
        <v>77</v>
      </c>
      <c r="D948" s="3" t="str">
        <f>VLOOKUP(C948,Countries!$B$3:$C$140,2,FALSE)</f>
        <v>Europe</v>
      </c>
      <c r="E948" s="3" t="s">
        <v>6</v>
      </c>
      <c r="F948" s="3" t="str">
        <f>VLOOKUP(E948,Countries!$B$3:$C$140,2,FALSE)</f>
        <v>Europe</v>
      </c>
      <c r="G948" s="4">
        <v>2</v>
      </c>
      <c r="H948" s="4">
        <v>0</v>
      </c>
    </row>
    <row r="949" spans="2:8" x14ac:dyDescent="0.2">
      <c r="B949" s="3" t="s">
        <v>140</v>
      </c>
      <c r="C949" s="3" t="s">
        <v>77</v>
      </c>
      <c r="D949" s="3" t="str">
        <f>VLOOKUP(C949,Countries!$B$3:$C$140,2,FALSE)</f>
        <v>Europe</v>
      </c>
      <c r="E949" s="3" t="s">
        <v>7</v>
      </c>
      <c r="F949" s="3" t="str">
        <f>VLOOKUP(E949,Countries!$B$3:$C$140,2,FALSE)</f>
        <v>South America</v>
      </c>
      <c r="G949" s="4">
        <v>2</v>
      </c>
      <c r="H949" s="4">
        <v>0</v>
      </c>
    </row>
    <row r="950" spans="2:8" x14ac:dyDescent="0.2">
      <c r="B950" s="3" t="s">
        <v>140</v>
      </c>
      <c r="C950" s="3" t="s">
        <v>77</v>
      </c>
      <c r="D950" s="3" t="str">
        <f>VLOOKUP(C950,Countries!$B$3:$C$140,2,FALSE)</f>
        <v>Europe</v>
      </c>
      <c r="E950" s="3" t="s">
        <v>106</v>
      </c>
      <c r="F950" s="3" t="str">
        <f>VLOOKUP(E950,Countries!$B$3:$C$140,2,FALSE)</f>
        <v>Africa</v>
      </c>
      <c r="G950" s="4">
        <v>2</v>
      </c>
      <c r="H950" s="4">
        <v>0</v>
      </c>
    </row>
    <row r="951" spans="2:8" x14ac:dyDescent="0.2">
      <c r="B951" s="3" t="s">
        <v>140</v>
      </c>
      <c r="C951" s="3" t="s">
        <v>77</v>
      </c>
      <c r="D951" s="3" t="str">
        <f>VLOOKUP(C951,Countries!$B$3:$C$140,2,FALSE)</f>
        <v>Europe</v>
      </c>
      <c r="E951" s="3" t="s">
        <v>62</v>
      </c>
      <c r="F951" s="3" t="str">
        <f>VLOOKUP(E951,Countries!$B$3:$C$140,2,FALSE)</f>
        <v>Asia</v>
      </c>
      <c r="G951" s="4">
        <v>2</v>
      </c>
      <c r="H951" s="4">
        <v>0</v>
      </c>
    </row>
    <row r="952" spans="2:8" x14ac:dyDescent="0.2">
      <c r="B952" s="3" t="s">
        <v>140</v>
      </c>
      <c r="C952" s="3" t="s">
        <v>77</v>
      </c>
      <c r="D952" s="3" t="str">
        <f>VLOOKUP(C952,Countries!$B$3:$C$140,2,FALSE)</f>
        <v>Europe</v>
      </c>
      <c r="E952" s="3" t="s">
        <v>12</v>
      </c>
      <c r="F952" s="3" t="str">
        <f>VLOOKUP(E952,Countries!$B$3:$C$140,2,FALSE)</f>
        <v>Europe</v>
      </c>
      <c r="G952" s="4">
        <v>18</v>
      </c>
      <c r="H952" s="4">
        <v>0</v>
      </c>
    </row>
    <row r="953" spans="2:8" x14ac:dyDescent="0.2">
      <c r="B953" s="3" t="s">
        <v>140</v>
      </c>
      <c r="C953" s="3" t="s">
        <v>77</v>
      </c>
      <c r="D953" s="3" t="str">
        <f>VLOOKUP(C953,Countries!$B$3:$C$140,2,FALSE)</f>
        <v>Europe</v>
      </c>
      <c r="E953" s="3" t="s">
        <v>13</v>
      </c>
      <c r="F953" s="3" t="str">
        <f>VLOOKUP(E953,Countries!$B$3:$C$140,2,FALSE)</f>
        <v>Europe</v>
      </c>
      <c r="G953" s="4">
        <v>16</v>
      </c>
      <c r="H953" s="4">
        <v>0</v>
      </c>
    </row>
    <row r="954" spans="2:8" x14ac:dyDescent="0.2">
      <c r="B954" s="3" t="s">
        <v>140</v>
      </c>
      <c r="C954" s="3" t="s">
        <v>77</v>
      </c>
      <c r="D954" s="3" t="str">
        <f>VLOOKUP(C954,Countries!$B$3:$C$140,2,FALSE)</f>
        <v>Europe</v>
      </c>
      <c r="E954" s="3" t="s">
        <v>23</v>
      </c>
      <c r="F954" s="3" t="str">
        <f>VLOOKUP(E954,Countries!$B$3:$C$140,2,FALSE)</f>
        <v>Europe</v>
      </c>
      <c r="G954" s="4">
        <v>2</v>
      </c>
      <c r="H954" s="4">
        <v>0</v>
      </c>
    </row>
    <row r="955" spans="2:8" x14ac:dyDescent="0.2">
      <c r="B955" s="3" t="s">
        <v>140</v>
      </c>
      <c r="C955" s="3" t="s">
        <v>77</v>
      </c>
      <c r="D955" s="3" t="str">
        <f>VLOOKUP(C955,Countries!$B$3:$C$140,2,FALSE)</f>
        <v>Europe</v>
      </c>
      <c r="E955" s="3" t="s">
        <v>53</v>
      </c>
      <c r="F955" s="3" t="str">
        <f>VLOOKUP(E955,Countries!$B$3:$C$140,2,FALSE)</f>
        <v>Europe</v>
      </c>
      <c r="G955" s="4">
        <v>2</v>
      </c>
      <c r="H955" s="4">
        <v>0</v>
      </c>
    </row>
    <row r="956" spans="2:8" x14ac:dyDescent="0.2">
      <c r="B956" s="3" t="s">
        <v>140</v>
      </c>
      <c r="C956" s="3" t="s">
        <v>77</v>
      </c>
      <c r="D956" s="3" t="str">
        <f>VLOOKUP(C956,Countries!$B$3:$C$140,2,FALSE)</f>
        <v>Europe</v>
      </c>
      <c r="E956" s="3" t="s">
        <v>25</v>
      </c>
      <c r="F956" s="3" t="str">
        <f>VLOOKUP(E956,Countries!$B$3:$C$140,2,FALSE)</f>
        <v>Europe</v>
      </c>
      <c r="G956" s="4">
        <v>14</v>
      </c>
      <c r="H956" s="4">
        <v>0</v>
      </c>
    </row>
    <row r="957" spans="2:8" x14ac:dyDescent="0.2">
      <c r="B957" s="3" t="s">
        <v>140</v>
      </c>
      <c r="C957" s="3" t="s">
        <v>52</v>
      </c>
      <c r="D957" s="3" t="str">
        <f>VLOOKUP(C957,Countries!$B$3:$C$140,2,FALSE)</f>
        <v>Europe</v>
      </c>
      <c r="E957" s="3" t="s">
        <v>4</v>
      </c>
      <c r="F957" s="3" t="str">
        <f>VLOOKUP(E957,Countries!$B$3:$C$140,2,FALSE)</f>
        <v>Asia</v>
      </c>
      <c r="G957" s="4">
        <v>2</v>
      </c>
      <c r="H957" s="4">
        <v>0</v>
      </c>
    </row>
    <row r="958" spans="2:8" x14ac:dyDescent="0.2">
      <c r="B958" s="3" t="s">
        <v>140</v>
      </c>
      <c r="C958" s="3" t="s">
        <v>52</v>
      </c>
      <c r="D958" s="3" t="str">
        <f>VLOOKUP(C958,Countries!$B$3:$C$140,2,FALSE)</f>
        <v>Europe</v>
      </c>
      <c r="E958" s="3" t="s">
        <v>59</v>
      </c>
      <c r="F958" s="3" t="str">
        <f>VLOOKUP(E958,Countries!$B$3:$C$140,2,FALSE)</f>
        <v>Europe</v>
      </c>
      <c r="G958" s="4">
        <v>2</v>
      </c>
      <c r="H958" s="4">
        <v>0</v>
      </c>
    </row>
    <row r="959" spans="2:8" x14ac:dyDescent="0.2">
      <c r="B959" s="3" t="s">
        <v>140</v>
      </c>
      <c r="C959" s="3" t="s">
        <v>52</v>
      </c>
      <c r="D959" s="3" t="str">
        <f>VLOOKUP(C959,Countries!$B$3:$C$140,2,FALSE)</f>
        <v>Europe</v>
      </c>
      <c r="E959" s="3" t="s">
        <v>7</v>
      </c>
      <c r="F959" s="3" t="str">
        <f>VLOOKUP(E959,Countries!$B$3:$C$140,2,FALSE)</f>
        <v>South America</v>
      </c>
      <c r="G959" s="4">
        <v>4</v>
      </c>
      <c r="H959" s="4">
        <v>0</v>
      </c>
    </row>
    <row r="960" spans="2:8" x14ac:dyDescent="0.2">
      <c r="B960" s="3" t="s">
        <v>140</v>
      </c>
      <c r="C960" s="3" t="s">
        <v>52</v>
      </c>
      <c r="D960" s="3" t="str">
        <f>VLOOKUP(C960,Countries!$B$3:$C$140,2,FALSE)</f>
        <v>Europe</v>
      </c>
      <c r="E960" s="3" t="s">
        <v>36</v>
      </c>
      <c r="F960" s="3" t="str">
        <f>VLOOKUP(E960,Countries!$B$3:$C$140,2,FALSE)</f>
        <v>Europe</v>
      </c>
      <c r="G960" s="4">
        <v>2</v>
      </c>
      <c r="H960" s="4">
        <v>0</v>
      </c>
    </row>
    <row r="961" spans="2:8" x14ac:dyDescent="0.2">
      <c r="B961" s="3" t="s">
        <v>140</v>
      </c>
      <c r="C961" s="3" t="s">
        <v>52</v>
      </c>
      <c r="D961" s="3" t="str">
        <f>VLOOKUP(C961,Countries!$B$3:$C$140,2,FALSE)</f>
        <v>Europe</v>
      </c>
      <c r="E961" s="3" t="s">
        <v>9</v>
      </c>
      <c r="F961" s="3" t="str">
        <f>VLOOKUP(E961,Countries!$B$3:$C$140,2,FALSE)</f>
        <v>Europe</v>
      </c>
      <c r="G961" s="4">
        <v>2</v>
      </c>
      <c r="H961" s="4">
        <v>0</v>
      </c>
    </row>
    <row r="962" spans="2:8" x14ac:dyDescent="0.2">
      <c r="B962" s="3" t="s">
        <v>140</v>
      </c>
      <c r="C962" s="3" t="s">
        <v>52</v>
      </c>
      <c r="D962" s="3" t="str">
        <f>VLOOKUP(C962,Countries!$B$3:$C$140,2,FALSE)</f>
        <v>Europe</v>
      </c>
      <c r="E962" s="3" t="s">
        <v>62</v>
      </c>
      <c r="F962" s="3" t="str">
        <f>VLOOKUP(E962,Countries!$B$3:$C$140,2,FALSE)</f>
        <v>Asia</v>
      </c>
      <c r="G962" s="4">
        <v>4</v>
      </c>
      <c r="H962" s="4">
        <v>0</v>
      </c>
    </row>
    <row r="963" spans="2:8" x14ac:dyDescent="0.2">
      <c r="B963" s="3" t="s">
        <v>140</v>
      </c>
      <c r="C963" s="3" t="s">
        <v>52</v>
      </c>
      <c r="D963" s="3" t="str">
        <f>VLOOKUP(C963,Countries!$B$3:$C$140,2,FALSE)</f>
        <v>Europe</v>
      </c>
      <c r="E963" s="3" t="s">
        <v>15</v>
      </c>
      <c r="F963" s="3" t="str">
        <f>VLOOKUP(E963,Countries!$B$3:$C$140,2,FALSE)</f>
        <v>Europe</v>
      </c>
      <c r="G963" s="4">
        <v>6</v>
      </c>
      <c r="H963" s="4">
        <v>0</v>
      </c>
    </row>
    <row r="964" spans="2:8" x14ac:dyDescent="0.2">
      <c r="B964" s="3" t="s">
        <v>140</v>
      </c>
      <c r="C964" s="3" t="s">
        <v>52</v>
      </c>
      <c r="D964" s="3" t="str">
        <f>VLOOKUP(C964,Countries!$B$3:$C$140,2,FALSE)</f>
        <v>Europe</v>
      </c>
      <c r="E964" s="3" t="s">
        <v>51</v>
      </c>
      <c r="F964" s="3" t="str">
        <f>VLOOKUP(E964,Countries!$B$3:$C$140,2,FALSE)</f>
        <v>Asia</v>
      </c>
      <c r="G964" s="4">
        <v>4</v>
      </c>
      <c r="H964" s="4">
        <v>0</v>
      </c>
    </row>
    <row r="965" spans="2:8" x14ac:dyDescent="0.2">
      <c r="B965" s="3" t="s">
        <v>140</v>
      </c>
      <c r="C965" s="3" t="s">
        <v>52</v>
      </c>
      <c r="D965" s="3" t="str">
        <f>VLOOKUP(C965,Countries!$B$3:$C$140,2,FALSE)</f>
        <v>Europe</v>
      </c>
      <c r="E965" s="3" t="s">
        <v>66</v>
      </c>
      <c r="F965" s="3" t="str">
        <f>VLOOKUP(E965,Countries!$B$3:$C$140,2,FALSE)</f>
        <v>Europe</v>
      </c>
      <c r="G965" s="4">
        <v>14</v>
      </c>
      <c r="H965" s="4">
        <v>0</v>
      </c>
    </row>
    <row r="966" spans="2:8" x14ac:dyDescent="0.2">
      <c r="B966" s="3" t="s">
        <v>140</v>
      </c>
      <c r="C966" s="3" t="s">
        <v>52</v>
      </c>
      <c r="D966" s="3" t="str">
        <f>VLOOKUP(C966,Countries!$B$3:$C$140,2,FALSE)</f>
        <v>Europe</v>
      </c>
      <c r="E966" s="3" t="s">
        <v>43</v>
      </c>
      <c r="F966" s="3" t="str">
        <f>VLOOKUP(E966,Countries!$B$3:$C$140,2,FALSE)</f>
        <v>Europe</v>
      </c>
      <c r="G966" s="4">
        <v>2</v>
      </c>
      <c r="H966" s="4">
        <v>0</v>
      </c>
    </row>
    <row r="967" spans="2:8" x14ac:dyDescent="0.2">
      <c r="B967" s="3" t="s">
        <v>140</v>
      </c>
      <c r="C967" s="3" t="s">
        <v>52</v>
      </c>
      <c r="D967" s="3" t="str">
        <f>VLOOKUP(C967,Countries!$B$3:$C$140,2,FALSE)</f>
        <v>Europe</v>
      </c>
      <c r="E967" s="3" t="s">
        <v>44</v>
      </c>
      <c r="F967" s="3" t="str">
        <f>VLOOKUP(E967,Countries!$B$3:$C$140,2,FALSE)</f>
        <v>Europe</v>
      </c>
      <c r="G967" s="4">
        <v>2</v>
      </c>
      <c r="H967" s="4">
        <v>0</v>
      </c>
    </row>
    <row r="968" spans="2:8" x14ac:dyDescent="0.2">
      <c r="B968" s="3" t="s">
        <v>140</v>
      </c>
      <c r="C968" s="3" t="s">
        <v>52</v>
      </c>
      <c r="D968" s="3" t="str">
        <f>VLOOKUP(C968,Countries!$B$3:$C$140,2,FALSE)</f>
        <v>Europe</v>
      </c>
      <c r="E968" s="3" t="s">
        <v>54</v>
      </c>
      <c r="F968" s="3" t="str">
        <f>VLOOKUP(E968,Countries!$B$3:$C$140,2,FALSE)</f>
        <v>Europe</v>
      </c>
      <c r="G968" s="4">
        <v>6</v>
      </c>
      <c r="H968" s="4">
        <v>0</v>
      </c>
    </row>
    <row r="969" spans="2:8" x14ac:dyDescent="0.2">
      <c r="B969" s="3" t="s">
        <v>140</v>
      </c>
      <c r="C969" s="3" t="s">
        <v>52</v>
      </c>
      <c r="D969" s="3" t="str">
        <f>VLOOKUP(C969,Countries!$B$3:$C$140,2,FALSE)</f>
        <v>Europe</v>
      </c>
      <c r="E969" s="3" t="s">
        <v>46</v>
      </c>
      <c r="F969" s="3" t="str">
        <f>VLOOKUP(E969,Countries!$B$3:$C$140,2,FALSE)</f>
        <v>Europe/Asia</v>
      </c>
      <c r="G969" s="4">
        <v>32</v>
      </c>
      <c r="H969" s="4">
        <v>203809.46272755001</v>
      </c>
    </row>
    <row r="970" spans="2:8" x14ac:dyDescent="0.2">
      <c r="B970" s="3" t="s">
        <v>140</v>
      </c>
      <c r="C970" s="3" t="s">
        <v>52</v>
      </c>
      <c r="D970" s="3" t="str">
        <f>VLOOKUP(C970,Countries!$B$3:$C$140,2,FALSE)</f>
        <v>Europe</v>
      </c>
      <c r="E970" s="3" t="s">
        <v>55</v>
      </c>
      <c r="F970" s="3" t="str">
        <f>VLOOKUP(E970,Countries!$B$3:$C$140,2,FALSE)</f>
        <v>Europe</v>
      </c>
      <c r="G970" s="4">
        <v>4</v>
      </c>
      <c r="H970" s="4">
        <v>0</v>
      </c>
    </row>
    <row r="971" spans="2:8" x14ac:dyDescent="0.2">
      <c r="B971" s="3" t="s">
        <v>140</v>
      </c>
      <c r="C971" s="3" t="s">
        <v>52</v>
      </c>
      <c r="D971" s="3" t="str">
        <f>VLOOKUP(C971,Countries!$B$3:$C$140,2,FALSE)</f>
        <v>Europe</v>
      </c>
      <c r="E971" s="3" t="s">
        <v>32</v>
      </c>
      <c r="F971" s="3" t="str">
        <f>VLOOKUP(E971,Countries!$B$3:$C$140,2,FALSE)</f>
        <v>Europe</v>
      </c>
      <c r="G971" s="4">
        <v>14</v>
      </c>
      <c r="H971" s="4">
        <v>780206.83830673201</v>
      </c>
    </row>
    <row r="972" spans="2:8" x14ac:dyDescent="0.2">
      <c r="B972" s="3" t="s">
        <v>140</v>
      </c>
      <c r="C972" s="3" t="s">
        <v>52</v>
      </c>
      <c r="D972" s="3" t="str">
        <f>VLOOKUP(C972,Countries!$B$3:$C$140,2,FALSE)</f>
        <v>Europe</v>
      </c>
      <c r="E972" s="3" t="s">
        <v>87</v>
      </c>
      <c r="F972" s="3" t="str">
        <f>VLOOKUP(E972,Countries!$B$3:$C$140,2,FALSE)</f>
        <v>Asia</v>
      </c>
      <c r="G972" s="4">
        <v>2</v>
      </c>
      <c r="H972" s="4">
        <v>0</v>
      </c>
    </row>
    <row r="973" spans="2:8" x14ac:dyDescent="0.2">
      <c r="B973" s="3" t="s">
        <v>140</v>
      </c>
      <c r="C973" s="3" t="s">
        <v>43</v>
      </c>
      <c r="D973" s="3" t="str">
        <f>VLOOKUP(C973,Countries!$B$3:$C$140,2,FALSE)</f>
        <v>Europe</v>
      </c>
      <c r="E973" s="3" t="s">
        <v>2</v>
      </c>
      <c r="F973" s="3" t="str">
        <f>VLOOKUP(E973,Countries!$B$3:$C$140,2,FALSE)</f>
        <v>Europe</v>
      </c>
      <c r="G973" s="4">
        <v>2</v>
      </c>
      <c r="H973" s="4">
        <v>0</v>
      </c>
    </row>
    <row r="974" spans="2:8" x14ac:dyDescent="0.2">
      <c r="B974" s="3" t="s">
        <v>140</v>
      </c>
      <c r="C974" s="3" t="s">
        <v>43</v>
      </c>
      <c r="D974" s="3" t="str">
        <f>VLOOKUP(C974,Countries!$B$3:$C$140,2,FALSE)</f>
        <v>Europe</v>
      </c>
      <c r="E974" s="3" t="s">
        <v>34</v>
      </c>
      <c r="F974" s="3" t="str">
        <f>VLOOKUP(E974,Countries!$B$3:$C$140,2,FALSE)</f>
        <v>Asia</v>
      </c>
      <c r="G974" s="4">
        <v>4</v>
      </c>
      <c r="H974" s="4">
        <v>0</v>
      </c>
    </row>
    <row r="975" spans="2:8" x14ac:dyDescent="0.2">
      <c r="B975" s="3" t="s">
        <v>140</v>
      </c>
      <c r="C975" s="3" t="s">
        <v>43</v>
      </c>
      <c r="D975" s="3" t="str">
        <f>VLOOKUP(C975,Countries!$B$3:$C$140,2,FALSE)</f>
        <v>Europe</v>
      </c>
      <c r="E975" s="3" t="s">
        <v>4</v>
      </c>
      <c r="F975" s="3" t="str">
        <f>VLOOKUP(E975,Countries!$B$3:$C$140,2,FALSE)</f>
        <v>Asia</v>
      </c>
      <c r="G975" s="4">
        <v>12</v>
      </c>
      <c r="H975" s="4">
        <v>0</v>
      </c>
    </row>
    <row r="976" spans="2:8" x14ac:dyDescent="0.2">
      <c r="B976" s="3" t="s">
        <v>140</v>
      </c>
      <c r="C976" s="3" t="s">
        <v>43</v>
      </c>
      <c r="D976" s="3" t="str">
        <f>VLOOKUP(C976,Countries!$B$3:$C$140,2,FALSE)</f>
        <v>Europe</v>
      </c>
      <c r="E976" s="3" t="s">
        <v>59</v>
      </c>
      <c r="F976" s="3" t="str">
        <f>VLOOKUP(E976,Countries!$B$3:$C$140,2,FALSE)</f>
        <v>Europe</v>
      </c>
      <c r="G976" s="4">
        <v>6</v>
      </c>
      <c r="H976" s="4">
        <v>0</v>
      </c>
    </row>
    <row r="977" spans="2:8" x14ac:dyDescent="0.2">
      <c r="B977" s="3" t="s">
        <v>140</v>
      </c>
      <c r="C977" s="3" t="s">
        <v>43</v>
      </c>
      <c r="D977" s="3" t="str">
        <f>VLOOKUP(C977,Countries!$B$3:$C$140,2,FALSE)</f>
        <v>Europe</v>
      </c>
      <c r="E977" s="3" t="s">
        <v>60</v>
      </c>
      <c r="F977" s="3" t="str">
        <f>VLOOKUP(E977,Countries!$B$3:$C$140,2,FALSE)</f>
        <v>South America</v>
      </c>
      <c r="G977" s="4">
        <v>4</v>
      </c>
      <c r="H977" s="4">
        <v>270000</v>
      </c>
    </row>
    <row r="978" spans="2:8" x14ac:dyDescent="0.2">
      <c r="B978" s="3" t="s">
        <v>140</v>
      </c>
      <c r="C978" s="3" t="s">
        <v>43</v>
      </c>
      <c r="D978" s="3" t="str">
        <f>VLOOKUP(C978,Countries!$B$3:$C$140,2,FALSE)</f>
        <v>Europe</v>
      </c>
      <c r="E978" s="3" t="s">
        <v>7</v>
      </c>
      <c r="F978" s="3" t="str">
        <f>VLOOKUP(E978,Countries!$B$3:$C$140,2,FALSE)</f>
        <v>South America</v>
      </c>
      <c r="G978" s="4">
        <v>4</v>
      </c>
      <c r="H978" s="4">
        <v>0</v>
      </c>
    </row>
    <row r="979" spans="2:8" x14ac:dyDescent="0.2">
      <c r="B979" s="3" t="s">
        <v>140</v>
      </c>
      <c r="C979" s="3" t="s">
        <v>43</v>
      </c>
      <c r="D979" s="3" t="str">
        <f>VLOOKUP(C979,Countries!$B$3:$C$140,2,FALSE)</f>
        <v>Europe</v>
      </c>
      <c r="E979" s="3" t="s">
        <v>36</v>
      </c>
      <c r="F979" s="3" t="str">
        <f>VLOOKUP(E979,Countries!$B$3:$C$140,2,FALSE)</f>
        <v>Europe</v>
      </c>
      <c r="G979" s="4">
        <v>8</v>
      </c>
      <c r="H979" s="4">
        <v>0</v>
      </c>
    </row>
    <row r="980" spans="2:8" x14ac:dyDescent="0.2">
      <c r="B980" s="3" t="s">
        <v>140</v>
      </c>
      <c r="C980" s="3" t="s">
        <v>43</v>
      </c>
      <c r="D980" s="3" t="str">
        <f>VLOOKUP(C980,Countries!$B$3:$C$140,2,FALSE)</f>
        <v>Europe</v>
      </c>
      <c r="E980" s="3" t="s">
        <v>88</v>
      </c>
      <c r="F980" s="3" t="str">
        <f>VLOOKUP(E980,Countries!$B$3:$C$140,2,FALSE)</f>
        <v>South America</v>
      </c>
      <c r="G980" s="4">
        <v>2</v>
      </c>
      <c r="H980" s="4">
        <v>0</v>
      </c>
    </row>
    <row r="981" spans="2:8" x14ac:dyDescent="0.2">
      <c r="B981" s="3" t="s">
        <v>140</v>
      </c>
      <c r="C981" s="3" t="s">
        <v>43</v>
      </c>
      <c r="D981" s="3" t="str">
        <f>VLOOKUP(C981,Countries!$B$3:$C$140,2,FALSE)</f>
        <v>Europe</v>
      </c>
      <c r="E981" s="3" t="s">
        <v>37</v>
      </c>
      <c r="F981" s="3" t="str">
        <f>VLOOKUP(E981,Countries!$B$3:$C$140,2,FALSE)</f>
        <v>Africa</v>
      </c>
      <c r="G981" s="4">
        <v>2</v>
      </c>
      <c r="H981" s="4">
        <v>0</v>
      </c>
    </row>
    <row r="982" spans="2:8" x14ac:dyDescent="0.2">
      <c r="B982" s="3" t="s">
        <v>140</v>
      </c>
      <c r="C982" s="3" t="s">
        <v>43</v>
      </c>
      <c r="D982" s="3" t="str">
        <f>VLOOKUP(C982,Countries!$B$3:$C$140,2,FALSE)</f>
        <v>Europe</v>
      </c>
      <c r="E982" s="3" t="s">
        <v>49</v>
      </c>
      <c r="F982" s="3" t="str">
        <f>VLOOKUP(E982,Countries!$B$3:$C$140,2,FALSE)</f>
        <v>Europe</v>
      </c>
      <c r="G982" s="4">
        <v>2</v>
      </c>
      <c r="H982" s="4">
        <v>242149.85670599999</v>
      </c>
    </row>
    <row r="983" spans="2:8" x14ac:dyDescent="0.2">
      <c r="B983" s="3" t="s">
        <v>140</v>
      </c>
      <c r="C983" s="3" t="s">
        <v>43</v>
      </c>
      <c r="D983" s="3" t="str">
        <f>VLOOKUP(C983,Countries!$B$3:$C$140,2,FALSE)</f>
        <v>Europe</v>
      </c>
      <c r="E983" s="3" t="s">
        <v>11</v>
      </c>
      <c r="F983" s="3" t="str">
        <f>VLOOKUP(E983,Countries!$B$3:$C$140,2,FALSE)</f>
        <v>Europe</v>
      </c>
      <c r="G983" s="4">
        <v>6</v>
      </c>
      <c r="H983" s="4">
        <v>0</v>
      </c>
    </row>
    <row r="984" spans="2:8" x14ac:dyDescent="0.2">
      <c r="B984" s="3" t="s">
        <v>140</v>
      </c>
      <c r="C984" s="3" t="s">
        <v>43</v>
      </c>
      <c r="D984" s="3" t="str">
        <f>VLOOKUP(C984,Countries!$B$3:$C$140,2,FALSE)</f>
        <v>Europe</v>
      </c>
      <c r="E984" s="3" t="s">
        <v>39</v>
      </c>
      <c r="F984" s="3" t="str">
        <f>VLOOKUP(E984,Countries!$B$3:$C$140,2,FALSE)</f>
        <v>Europe/Asia</v>
      </c>
      <c r="G984" s="4">
        <v>10</v>
      </c>
      <c r="H984" s="4">
        <v>0</v>
      </c>
    </row>
    <row r="985" spans="2:8" x14ac:dyDescent="0.2">
      <c r="B985" s="3" t="s">
        <v>140</v>
      </c>
      <c r="C985" s="3" t="s">
        <v>43</v>
      </c>
      <c r="D985" s="3" t="str">
        <f>VLOOKUP(C985,Countries!$B$3:$C$140,2,FALSE)</f>
        <v>Europe</v>
      </c>
      <c r="E985" s="3" t="s">
        <v>13</v>
      </c>
      <c r="F985" s="3" t="str">
        <f>VLOOKUP(E985,Countries!$B$3:$C$140,2,FALSE)</f>
        <v>Europe</v>
      </c>
      <c r="G985" s="4">
        <v>4</v>
      </c>
      <c r="H985" s="4">
        <v>0</v>
      </c>
    </row>
    <row r="986" spans="2:8" x14ac:dyDescent="0.2">
      <c r="B986" s="3" t="s">
        <v>140</v>
      </c>
      <c r="C986" s="3" t="s">
        <v>43</v>
      </c>
      <c r="D986" s="3" t="str">
        <f>VLOOKUP(C986,Countries!$B$3:$C$140,2,FALSE)</f>
        <v>Europe</v>
      </c>
      <c r="E986" s="3" t="s">
        <v>64</v>
      </c>
      <c r="F986" s="3" t="str">
        <f>VLOOKUP(E986,Countries!$B$3:$C$140,2,FALSE)</f>
        <v>Africa</v>
      </c>
      <c r="G986" s="4">
        <v>6</v>
      </c>
      <c r="H986" s="4">
        <v>240000</v>
      </c>
    </row>
    <row r="987" spans="2:8" x14ac:dyDescent="0.2">
      <c r="B987" s="3" t="s">
        <v>140</v>
      </c>
      <c r="C987" s="3" t="s">
        <v>43</v>
      </c>
      <c r="D987" s="3" t="str">
        <f>VLOOKUP(C987,Countries!$B$3:$C$140,2,FALSE)</f>
        <v>Europe</v>
      </c>
      <c r="E987" s="3" t="s">
        <v>14</v>
      </c>
      <c r="F987" s="3" t="str">
        <f>VLOOKUP(E987,Countries!$B$3:$C$140,2,FALSE)</f>
        <v>Europe</v>
      </c>
      <c r="G987" s="4">
        <v>2</v>
      </c>
      <c r="H987" s="4">
        <v>0</v>
      </c>
    </row>
    <row r="988" spans="2:8" x14ac:dyDescent="0.2">
      <c r="B988" s="3" t="s">
        <v>140</v>
      </c>
      <c r="C988" s="3" t="s">
        <v>43</v>
      </c>
      <c r="D988" s="3" t="str">
        <f>VLOOKUP(C988,Countries!$B$3:$C$140,2,FALSE)</f>
        <v>Europe</v>
      </c>
      <c r="E988" s="3" t="s">
        <v>51</v>
      </c>
      <c r="F988" s="3" t="str">
        <f>VLOOKUP(E988,Countries!$B$3:$C$140,2,FALSE)</f>
        <v>Asia</v>
      </c>
      <c r="G988" s="4">
        <v>2</v>
      </c>
      <c r="H988" s="4">
        <v>0</v>
      </c>
    </row>
    <row r="989" spans="2:8" x14ac:dyDescent="0.2">
      <c r="B989" s="3" t="s">
        <v>140</v>
      </c>
      <c r="C989" s="3" t="s">
        <v>43</v>
      </c>
      <c r="D989" s="3" t="str">
        <f>VLOOKUP(C989,Countries!$B$3:$C$140,2,FALSE)</f>
        <v>Europe</v>
      </c>
      <c r="E989" s="3" t="s">
        <v>17</v>
      </c>
      <c r="F989" s="3" t="str">
        <f>VLOOKUP(E989,Countries!$B$3:$C$140,2,FALSE)</f>
        <v>Europe</v>
      </c>
      <c r="G989" s="4">
        <v>2</v>
      </c>
      <c r="H989" s="4">
        <v>0</v>
      </c>
    </row>
    <row r="990" spans="2:8" x14ac:dyDescent="0.2">
      <c r="B990" s="3" t="s">
        <v>140</v>
      </c>
      <c r="C990" s="3" t="s">
        <v>43</v>
      </c>
      <c r="D990" s="3" t="str">
        <f>VLOOKUP(C990,Countries!$B$3:$C$140,2,FALSE)</f>
        <v>Europe</v>
      </c>
      <c r="E990" s="3" t="s">
        <v>92</v>
      </c>
      <c r="F990" s="3" t="str">
        <f>VLOOKUP(E990,Countries!$B$3:$C$140,2,FALSE)</f>
        <v>Asia</v>
      </c>
      <c r="G990" s="4">
        <v>4</v>
      </c>
      <c r="H990" s="4">
        <v>0</v>
      </c>
    </row>
    <row r="991" spans="2:8" x14ac:dyDescent="0.2">
      <c r="B991" s="3" t="s">
        <v>140</v>
      </c>
      <c r="C991" s="3" t="s">
        <v>43</v>
      </c>
      <c r="D991" s="3" t="str">
        <f>VLOOKUP(C991,Countries!$B$3:$C$140,2,FALSE)</f>
        <v>Europe</v>
      </c>
      <c r="E991" s="3" t="s">
        <v>40</v>
      </c>
      <c r="F991" s="3" t="str">
        <f>VLOOKUP(E991,Countries!$B$3:$C$140,2,FALSE)</f>
        <v>Asia</v>
      </c>
      <c r="G991" s="4">
        <v>12</v>
      </c>
      <c r="H991" s="4">
        <v>0</v>
      </c>
    </row>
    <row r="992" spans="2:8" x14ac:dyDescent="0.2">
      <c r="B992" s="3" t="s">
        <v>140</v>
      </c>
      <c r="C992" s="3" t="s">
        <v>43</v>
      </c>
      <c r="D992" s="3" t="str">
        <f>VLOOKUP(C992,Countries!$B$3:$C$140,2,FALSE)</f>
        <v>Europe</v>
      </c>
      <c r="E992" s="3" t="s">
        <v>52</v>
      </c>
      <c r="F992" s="3" t="str">
        <f>VLOOKUP(E992,Countries!$B$3:$C$140,2,FALSE)</f>
        <v>Europe</v>
      </c>
      <c r="G992" s="4">
        <v>8</v>
      </c>
      <c r="H992" s="4">
        <v>0</v>
      </c>
    </row>
    <row r="993" spans="2:8" x14ac:dyDescent="0.2">
      <c r="B993" s="3" t="s">
        <v>140</v>
      </c>
      <c r="C993" s="3" t="s">
        <v>43</v>
      </c>
      <c r="D993" s="3" t="str">
        <f>VLOOKUP(C993,Countries!$B$3:$C$140,2,FALSE)</f>
        <v>Europe</v>
      </c>
      <c r="E993" s="3" t="s">
        <v>94</v>
      </c>
      <c r="F993" s="3" t="str">
        <f>VLOOKUP(E993,Countries!$B$3:$C$140,2,FALSE)</f>
        <v>North America</v>
      </c>
      <c r="G993" s="4">
        <v>2</v>
      </c>
      <c r="H993" s="4">
        <v>0</v>
      </c>
    </row>
    <row r="994" spans="2:8" x14ac:dyDescent="0.2">
      <c r="B994" s="3" t="s">
        <v>140</v>
      </c>
      <c r="C994" s="3" t="s">
        <v>43</v>
      </c>
      <c r="D994" s="3" t="str">
        <f>VLOOKUP(C994,Countries!$B$3:$C$140,2,FALSE)</f>
        <v>Europe</v>
      </c>
      <c r="E994" s="3" t="s">
        <v>21</v>
      </c>
      <c r="F994" s="3" t="str">
        <f>VLOOKUP(E994,Countries!$B$3:$C$140,2,FALSE)</f>
        <v>Europe</v>
      </c>
      <c r="G994" s="4">
        <v>2</v>
      </c>
      <c r="H994" s="4">
        <v>0</v>
      </c>
    </row>
    <row r="995" spans="2:8" x14ac:dyDescent="0.2">
      <c r="B995" s="3" t="s">
        <v>140</v>
      </c>
      <c r="C995" s="3" t="s">
        <v>43</v>
      </c>
      <c r="D995" s="3" t="str">
        <f>VLOOKUP(C995,Countries!$B$3:$C$140,2,FALSE)</f>
        <v>Europe</v>
      </c>
      <c r="E995" s="3" t="s">
        <v>22</v>
      </c>
      <c r="F995" s="3" t="str">
        <f>VLOOKUP(E995,Countries!$B$3:$C$140,2,FALSE)</f>
        <v>Europe</v>
      </c>
      <c r="G995" s="4">
        <v>4</v>
      </c>
      <c r="H995" s="4">
        <v>0</v>
      </c>
    </row>
    <row r="996" spans="2:8" x14ac:dyDescent="0.2">
      <c r="B996" s="3" t="s">
        <v>140</v>
      </c>
      <c r="C996" s="3" t="s">
        <v>43</v>
      </c>
      <c r="D996" s="3" t="str">
        <f>VLOOKUP(C996,Countries!$B$3:$C$140,2,FALSE)</f>
        <v>Europe</v>
      </c>
      <c r="E996" s="3" t="s">
        <v>23</v>
      </c>
      <c r="F996" s="3" t="str">
        <f>VLOOKUP(E996,Countries!$B$3:$C$140,2,FALSE)</f>
        <v>Europe</v>
      </c>
      <c r="G996" s="4">
        <v>6</v>
      </c>
      <c r="H996" s="4">
        <v>0</v>
      </c>
    </row>
    <row r="997" spans="2:8" x14ac:dyDescent="0.2">
      <c r="B997" s="3" t="s">
        <v>140</v>
      </c>
      <c r="C997" s="3" t="s">
        <v>43</v>
      </c>
      <c r="D997" s="3" t="str">
        <f>VLOOKUP(C997,Countries!$B$3:$C$140,2,FALSE)</f>
        <v>Europe</v>
      </c>
      <c r="E997" s="3" t="s">
        <v>24</v>
      </c>
      <c r="F997" s="3" t="str">
        <f>VLOOKUP(E997,Countries!$B$3:$C$140,2,FALSE)</f>
        <v>Africa</v>
      </c>
      <c r="G997" s="4">
        <v>4</v>
      </c>
      <c r="H997" s="4">
        <v>0</v>
      </c>
    </row>
    <row r="998" spans="2:8" x14ac:dyDescent="0.2">
      <c r="B998" s="3" t="s">
        <v>140</v>
      </c>
      <c r="C998" s="3" t="s">
        <v>43</v>
      </c>
      <c r="D998" s="3" t="str">
        <f>VLOOKUP(C998,Countries!$B$3:$C$140,2,FALSE)</f>
        <v>Europe</v>
      </c>
      <c r="E998" s="3" t="s">
        <v>54</v>
      </c>
      <c r="F998" s="3" t="str">
        <f>VLOOKUP(E998,Countries!$B$3:$C$140,2,FALSE)</f>
        <v>Europe</v>
      </c>
      <c r="G998" s="4">
        <v>4</v>
      </c>
      <c r="H998" s="4">
        <v>0</v>
      </c>
    </row>
    <row r="999" spans="2:8" x14ac:dyDescent="0.2">
      <c r="B999" s="3" t="s">
        <v>140</v>
      </c>
      <c r="C999" s="3" t="s">
        <v>43</v>
      </c>
      <c r="D999" s="3" t="str">
        <f>VLOOKUP(C999,Countries!$B$3:$C$140,2,FALSE)</f>
        <v>Europe</v>
      </c>
      <c r="E999" s="3" t="s">
        <v>25</v>
      </c>
      <c r="F999" s="3" t="str">
        <f>VLOOKUP(E999,Countries!$B$3:$C$140,2,FALSE)</f>
        <v>Europe</v>
      </c>
      <c r="G999" s="4">
        <v>8</v>
      </c>
      <c r="H999" s="4">
        <v>201791.54725499998</v>
      </c>
    </row>
    <row r="1000" spans="2:8" x14ac:dyDescent="0.2">
      <c r="B1000" s="3" t="s">
        <v>140</v>
      </c>
      <c r="C1000" s="3" t="s">
        <v>43</v>
      </c>
      <c r="D1000" s="3" t="str">
        <f>VLOOKUP(C1000,Countries!$B$3:$C$140,2,FALSE)</f>
        <v>Europe</v>
      </c>
      <c r="E1000" s="3" t="s">
        <v>26</v>
      </c>
      <c r="F1000" s="3" t="str">
        <f>VLOOKUP(E1000,Countries!$B$3:$C$140,2,FALSE)</f>
        <v>Europe</v>
      </c>
      <c r="G1000" s="4">
        <v>24</v>
      </c>
      <c r="H1000" s="4">
        <v>807166.18901999993</v>
      </c>
    </row>
    <row r="1001" spans="2:8" x14ac:dyDescent="0.2">
      <c r="B1001" s="3" t="s">
        <v>140</v>
      </c>
      <c r="C1001" s="3" t="s">
        <v>43</v>
      </c>
      <c r="D1001" s="3" t="str">
        <f>VLOOKUP(C1001,Countries!$B$3:$C$140,2,FALSE)</f>
        <v>Europe</v>
      </c>
      <c r="E1001" s="3" t="s">
        <v>46</v>
      </c>
      <c r="F1001" s="3" t="str">
        <f>VLOOKUP(E1001,Countries!$B$3:$C$140,2,FALSE)</f>
        <v>Europe/Asia</v>
      </c>
      <c r="G1001" s="4">
        <v>28</v>
      </c>
      <c r="H1001" s="4">
        <v>30000</v>
      </c>
    </row>
    <row r="1002" spans="2:8" x14ac:dyDescent="0.2">
      <c r="B1002" s="3" t="s">
        <v>140</v>
      </c>
      <c r="C1002" s="3" t="s">
        <v>43</v>
      </c>
      <c r="D1002" s="3" t="str">
        <f>VLOOKUP(C1002,Countries!$B$3:$C$140,2,FALSE)</f>
        <v>Europe</v>
      </c>
      <c r="E1002" s="3" t="s">
        <v>28</v>
      </c>
      <c r="F1002" s="3" t="str">
        <f>VLOOKUP(E1002,Countries!$B$3:$C$140,2,FALSE)</f>
        <v>Europe</v>
      </c>
      <c r="G1002" s="4">
        <v>6</v>
      </c>
      <c r="H1002" s="4">
        <v>524658.02286299993</v>
      </c>
    </row>
    <row r="1003" spans="2:8" x14ac:dyDescent="0.2">
      <c r="B1003" s="3" t="s">
        <v>140</v>
      </c>
      <c r="C1003" s="3" t="s">
        <v>43</v>
      </c>
      <c r="D1003" s="3" t="str">
        <f>VLOOKUP(C1003,Countries!$B$3:$C$140,2,FALSE)</f>
        <v>Europe</v>
      </c>
      <c r="E1003" s="3" t="s">
        <v>31</v>
      </c>
      <c r="F1003" s="3" t="str">
        <f>VLOOKUP(E1003,Countries!$B$3:$C$140,2,FALSE)</f>
        <v>Europe</v>
      </c>
      <c r="G1003" s="4">
        <v>8</v>
      </c>
      <c r="H1003" s="4">
        <v>0</v>
      </c>
    </row>
    <row r="1004" spans="2:8" x14ac:dyDescent="0.2">
      <c r="B1004" s="3" t="s">
        <v>140</v>
      </c>
      <c r="C1004" s="3" t="s">
        <v>43</v>
      </c>
      <c r="D1004" s="3" t="str">
        <f>VLOOKUP(C1004,Countries!$B$3:$C$140,2,FALSE)</f>
        <v>Europe</v>
      </c>
      <c r="E1004" s="3" t="s">
        <v>57</v>
      </c>
      <c r="F1004" s="3" t="str">
        <f>VLOOKUP(E1004,Countries!$B$3:$C$140,2,FALSE)</f>
        <v>Europe/Asia</v>
      </c>
      <c r="G1004" s="4">
        <v>2</v>
      </c>
      <c r="H1004" s="4">
        <v>0</v>
      </c>
    </row>
    <row r="1005" spans="2:8" x14ac:dyDescent="0.2">
      <c r="B1005" s="3" t="s">
        <v>140</v>
      </c>
      <c r="C1005" s="3" t="s">
        <v>43</v>
      </c>
      <c r="D1005" s="3" t="str">
        <f>VLOOKUP(C1005,Countries!$B$3:$C$140,2,FALSE)</f>
        <v>Europe</v>
      </c>
      <c r="E1005" s="3" t="s">
        <v>32</v>
      </c>
      <c r="F1005" s="3" t="str">
        <f>VLOOKUP(E1005,Countries!$B$3:$C$140,2,FALSE)</f>
        <v>Europe</v>
      </c>
      <c r="G1005" s="4">
        <v>50</v>
      </c>
      <c r="H1005" s="4">
        <v>600</v>
      </c>
    </row>
    <row r="1006" spans="2:8" x14ac:dyDescent="0.2">
      <c r="B1006" s="3" t="s">
        <v>140</v>
      </c>
      <c r="C1006" s="3" t="s">
        <v>43</v>
      </c>
      <c r="D1006" s="3" t="str">
        <f>VLOOKUP(C1006,Countries!$B$3:$C$140,2,FALSE)</f>
        <v>Europe</v>
      </c>
      <c r="E1006" s="3" t="s">
        <v>87</v>
      </c>
      <c r="F1006" s="3" t="str">
        <f>VLOOKUP(E1006,Countries!$B$3:$C$140,2,FALSE)</f>
        <v>Asia</v>
      </c>
      <c r="G1006" s="4">
        <v>14</v>
      </c>
      <c r="H1006" s="4">
        <v>0</v>
      </c>
    </row>
    <row r="1007" spans="2:8" x14ac:dyDescent="0.2">
      <c r="B1007" s="3" t="s">
        <v>140</v>
      </c>
      <c r="C1007" s="3" t="s">
        <v>21</v>
      </c>
      <c r="D1007" s="3" t="str">
        <f>VLOOKUP(C1007,Countries!$B$3:$C$140,2,FALSE)</f>
        <v>Europe</v>
      </c>
      <c r="E1007" s="3" t="s">
        <v>2</v>
      </c>
      <c r="F1007" s="3" t="str">
        <f>VLOOKUP(E1007,Countries!$B$3:$C$140,2,FALSE)</f>
        <v>Europe</v>
      </c>
      <c r="G1007" s="4">
        <v>6</v>
      </c>
      <c r="H1007" s="4">
        <v>0</v>
      </c>
    </row>
    <row r="1008" spans="2:8" x14ac:dyDescent="0.2">
      <c r="B1008" s="3" t="s">
        <v>140</v>
      </c>
      <c r="C1008" s="3" t="s">
        <v>21</v>
      </c>
      <c r="D1008" s="3" t="str">
        <f>VLOOKUP(C1008,Countries!$B$3:$C$140,2,FALSE)</f>
        <v>Europe</v>
      </c>
      <c r="E1008" s="3" t="s">
        <v>4</v>
      </c>
      <c r="F1008" s="3" t="str">
        <f>VLOOKUP(E1008,Countries!$B$3:$C$140,2,FALSE)</f>
        <v>Asia</v>
      </c>
      <c r="G1008" s="4">
        <v>2</v>
      </c>
      <c r="H1008" s="4">
        <v>0</v>
      </c>
    </row>
    <row r="1009" spans="2:8" x14ac:dyDescent="0.2">
      <c r="B1009" s="3" t="s">
        <v>140</v>
      </c>
      <c r="C1009" s="3" t="s">
        <v>21</v>
      </c>
      <c r="D1009" s="3" t="str">
        <f>VLOOKUP(C1009,Countries!$B$3:$C$140,2,FALSE)</f>
        <v>Europe</v>
      </c>
      <c r="E1009" s="3" t="s">
        <v>36</v>
      </c>
      <c r="F1009" s="3" t="str">
        <f>VLOOKUP(E1009,Countries!$B$3:$C$140,2,FALSE)</f>
        <v>Europe</v>
      </c>
      <c r="G1009" s="4">
        <v>2</v>
      </c>
      <c r="H1009" s="4">
        <v>0</v>
      </c>
    </row>
    <row r="1010" spans="2:8" x14ac:dyDescent="0.2">
      <c r="B1010" s="3" t="s">
        <v>140</v>
      </c>
      <c r="C1010" s="3" t="s">
        <v>21</v>
      </c>
      <c r="D1010" s="3" t="str">
        <f>VLOOKUP(C1010,Countries!$B$3:$C$140,2,FALSE)</f>
        <v>Europe</v>
      </c>
      <c r="E1010" s="3" t="s">
        <v>62</v>
      </c>
      <c r="F1010" s="3" t="str">
        <f>VLOOKUP(E1010,Countries!$B$3:$C$140,2,FALSE)</f>
        <v>Asia</v>
      </c>
      <c r="G1010" s="4">
        <v>2</v>
      </c>
      <c r="H1010" s="4">
        <v>0</v>
      </c>
    </row>
    <row r="1011" spans="2:8" x14ac:dyDescent="0.2">
      <c r="B1011" s="3" t="s">
        <v>140</v>
      </c>
      <c r="C1011" s="3" t="s">
        <v>21</v>
      </c>
      <c r="D1011" s="3" t="str">
        <f>VLOOKUP(C1011,Countries!$B$3:$C$140,2,FALSE)</f>
        <v>Europe</v>
      </c>
      <c r="E1011" s="3" t="s">
        <v>49</v>
      </c>
      <c r="F1011" s="3" t="str">
        <f>VLOOKUP(E1011,Countries!$B$3:$C$140,2,FALSE)</f>
        <v>Europe</v>
      </c>
      <c r="G1011" s="4">
        <v>4</v>
      </c>
      <c r="H1011" s="4">
        <v>0</v>
      </c>
    </row>
    <row r="1012" spans="2:8" x14ac:dyDescent="0.2">
      <c r="B1012" s="3" t="s">
        <v>140</v>
      </c>
      <c r="C1012" s="3" t="s">
        <v>21</v>
      </c>
      <c r="D1012" s="3" t="str">
        <f>VLOOKUP(C1012,Countries!$B$3:$C$140,2,FALSE)</f>
        <v>Europe</v>
      </c>
      <c r="E1012" s="3" t="s">
        <v>73</v>
      </c>
      <c r="F1012" s="3" t="str">
        <f>VLOOKUP(E1012,Countries!$B$3:$C$140,2,FALSE)</f>
        <v>Europe</v>
      </c>
      <c r="G1012" s="4">
        <v>2</v>
      </c>
      <c r="H1012" s="4">
        <v>0</v>
      </c>
    </row>
    <row r="1013" spans="2:8" x14ac:dyDescent="0.2">
      <c r="B1013" s="3" t="s">
        <v>140</v>
      </c>
      <c r="C1013" s="3" t="s">
        <v>21</v>
      </c>
      <c r="D1013" s="3" t="str">
        <f>VLOOKUP(C1013,Countries!$B$3:$C$140,2,FALSE)</f>
        <v>Europe</v>
      </c>
      <c r="E1013" s="3" t="s">
        <v>13</v>
      </c>
      <c r="F1013" s="3" t="str">
        <f>VLOOKUP(E1013,Countries!$B$3:$C$140,2,FALSE)</f>
        <v>Europe</v>
      </c>
      <c r="G1013" s="4">
        <v>2</v>
      </c>
      <c r="H1013" s="4">
        <v>0</v>
      </c>
    </row>
    <row r="1014" spans="2:8" x14ac:dyDescent="0.2">
      <c r="B1014" s="3" t="s">
        <v>140</v>
      </c>
      <c r="C1014" s="3" t="s">
        <v>21</v>
      </c>
      <c r="D1014" s="3" t="str">
        <f>VLOOKUP(C1014,Countries!$B$3:$C$140,2,FALSE)</f>
        <v>Europe</v>
      </c>
      <c r="E1014" s="3" t="s">
        <v>14</v>
      </c>
      <c r="F1014" s="3" t="str">
        <f>VLOOKUP(E1014,Countries!$B$3:$C$140,2,FALSE)</f>
        <v>Europe</v>
      </c>
      <c r="G1014" s="4">
        <v>2</v>
      </c>
      <c r="H1014" s="4">
        <v>0</v>
      </c>
    </row>
    <row r="1015" spans="2:8" x14ac:dyDescent="0.2">
      <c r="B1015" s="3" t="s">
        <v>140</v>
      </c>
      <c r="C1015" s="3" t="s">
        <v>21</v>
      </c>
      <c r="D1015" s="3" t="str">
        <f>VLOOKUP(C1015,Countries!$B$3:$C$140,2,FALSE)</f>
        <v>Europe</v>
      </c>
      <c r="E1015" s="3" t="s">
        <v>16</v>
      </c>
      <c r="F1015" s="3" t="str">
        <f>VLOOKUP(E1015,Countries!$B$3:$C$140,2,FALSE)</f>
        <v>Asia</v>
      </c>
      <c r="G1015" s="4">
        <v>2</v>
      </c>
      <c r="H1015" s="4">
        <v>0</v>
      </c>
    </row>
    <row r="1016" spans="2:8" x14ac:dyDescent="0.2">
      <c r="B1016" s="3" t="s">
        <v>140</v>
      </c>
      <c r="C1016" s="3" t="s">
        <v>21</v>
      </c>
      <c r="D1016" s="3" t="str">
        <f>VLOOKUP(C1016,Countries!$B$3:$C$140,2,FALSE)</f>
        <v>Europe</v>
      </c>
      <c r="E1016" s="3" t="s">
        <v>40</v>
      </c>
      <c r="F1016" s="3" t="str">
        <f>VLOOKUP(E1016,Countries!$B$3:$C$140,2,FALSE)</f>
        <v>Asia</v>
      </c>
      <c r="G1016" s="4">
        <v>2</v>
      </c>
      <c r="H1016" s="4">
        <v>0</v>
      </c>
    </row>
    <row r="1017" spans="2:8" x14ac:dyDescent="0.2">
      <c r="B1017" s="3" t="s">
        <v>140</v>
      </c>
      <c r="C1017" s="3" t="s">
        <v>21</v>
      </c>
      <c r="D1017" s="3" t="str">
        <f>VLOOKUP(C1017,Countries!$B$3:$C$140,2,FALSE)</f>
        <v>Europe</v>
      </c>
      <c r="E1017" s="3" t="s">
        <v>20</v>
      </c>
      <c r="F1017" s="3" t="str">
        <f>VLOOKUP(E1017,Countries!$B$3:$C$140,2,FALSE)</f>
        <v>Europe</v>
      </c>
      <c r="G1017" s="4">
        <v>4</v>
      </c>
      <c r="H1017" s="4">
        <v>0</v>
      </c>
    </row>
    <row r="1018" spans="2:8" x14ac:dyDescent="0.2">
      <c r="B1018" s="3" t="s">
        <v>140</v>
      </c>
      <c r="C1018" s="3" t="s">
        <v>21</v>
      </c>
      <c r="D1018" s="3" t="str">
        <f>VLOOKUP(C1018,Countries!$B$3:$C$140,2,FALSE)</f>
        <v>Europe</v>
      </c>
      <c r="E1018" s="3" t="s">
        <v>23</v>
      </c>
      <c r="F1018" s="3" t="str">
        <f>VLOOKUP(E1018,Countries!$B$3:$C$140,2,FALSE)</f>
        <v>Europe</v>
      </c>
      <c r="G1018" s="4">
        <v>2</v>
      </c>
      <c r="H1018" s="4">
        <v>0</v>
      </c>
    </row>
    <row r="1019" spans="2:8" x14ac:dyDescent="0.2">
      <c r="B1019" s="3" t="s">
        <v>140</v>
      </c>
      <c r="C1019" s="3" t="s">
        <v>21</v>
      </c>
      <c r="D1019" s="3" t="str">
        <f>VLOOKUP(C1019,Countries!$B$3:$C$140,2,FALSE)</f>
        <v>Europe</v>
      </c>
      <c r="E1019" s="3" t="s">
        <v>123</v>
      </c>
      <c r="F1019" s="3" t="str">
        <f>VLOOKUP(E1019,Countries!$B$3:$C$140,2,FALSE)</f>
        <v>Asia</v>
      </c>
      <c r="G1019" s="4">
        <v>2</v>
      </c>
      <c r="H1019" s="4">
        <v>0</v>
      </c>
    </row>
    <row r="1020" spans="2:8" x14ac:dyDescent="0.2">
      <c r="B1020" s="3" t="s">
        <v>140</v>
      </c>
      <c r="C1020" s="3" t="s">
        <v>21</v>
      </c>
      <c r="D1020" s="3" t="str">
        <f>VLOOKUP(C1020,Countries!$B$3:$C$140,2,FALSE)</f>
        <v>Europe</v>
      </c>
      <c r="E1020" s="3" t="s">
        <v>44</v>
      </c>
      <c r="F1020" s="3" t="str">
        <f>VLOOKUP(E1020,Countries!$B$3:$C$140,2,FALSE)</f>
        <v>Europe</v>
      </c>
      <c r="G1020" s="4">
        <v>2</v>
      </c>
      <c r="H1020" s="4">
        <v>0</v>
      </c>
    </row>
    <row r="1021" spans="2:8" x14ac:dyDescent="0.2">
      <c r="B1021" s="3" t="s">
        <v>140</v>
      </c>
      <c r="C1021" s="3" t="s">
        <v>21</v>
      </c>
      <c r="D1021" s="3" t="str">
        <f>VLOOKUP(C1021,Countries!$B$3:$C$140,2,FALSE)</f>
        <v>Europe</v>
      </c>
      <c r="E1021" s="3" t="s">
        <v>54</v>
      </c>
      <c r="F1021" s="3" t="str">
        <f>VLOOKUP(E1021,Countries!$B$3:$C$140,2,FALSE)</f>
        <v>Europe</v>
      </c>
      <c r="G1021" s="4">
        <v>2</v>
      </c>
      <c r="H1021" s="4">
        <v>0</v>
      </c>
    </row>
    <row r="1022" spans="2:8" x14ac:dyDescent="0.2">
      <c r="B1022" s="3" t="s">
        <v>140</v>
      </c>
      <c r="C1022" s="3" t="s">
        <v>21</v>
      </c>
      <c r="D1022" s="3" t="str">
        <f>VLOOKUP(C1022,Countries!$B$3:$C$140,2,FALSE)</f>
        <v>Europe</v>
      </c>
      <c r="E1022" s="3" t="s">
        <v>25</v>
      </c>
      <c r="F1022" s="3" t="str">
        <f>VLOOKUP(E1022,Countries!$B$3:$C$140,2,FALSE)</f>
        <v>Europe</v>
      </c>
      <c r="G1022" s="4">
        <v>2</v>
      </c>
      <c r="H1022" s="4">
        <v>0</v>
      </c>
    </row>
    <row r="1023" spans="2:8" x14ac:dyDescent="0.2">
      <c r="B1023" s="3" t="s">
        <v>140</v>
      </c>
      <c r="C1023" s="3" t="s">
        <v>21</v>
      </c>
      <c r="D1023" s="3" t="str">
        <f>VLOOKUP(C1023,Countries!$B$3:$C$140,2,FALSE)</f>
        <v>Europe</v>
      </c>
      <c r="E1023" s="3" t="s">
        <v>26</v>
      </c>
      <c r="F1023" s="3" t="str">
        <f>VLOOKUP(E1023,Countries!$B$3:$C$140,2,FALSE)</f>
        <v>Europe</v>
      </c>
      <c r="G1023" s="4">
        <v>2</v>
      </c>
      <c r="H1023" s="4">
        <v>0</v>
      </c>
    </row>
    <row r="1024" spans="2:8" x14ac:dyDescent="0.2">
      <c r="B1024" s="3" t="s">
        <v>140</v>
      </c>
      <c r="C1024" s="3" t="s">
        <v>21</v>
      </c>
      <c r="D1024" s="3" t="str">
        <f>VLOOKUP(C1024,Countries!$B$3:$C$140,2,FALSE)</f>
        <v>Europe</v>
      </c>
      <c r="E1024" s="3" t="s">
        <v>28</v>
      </c>
      <c r="F1024" s="3" t="str">
        <f>VLOOKUP(E1024,Countries!$B$3:$C$140,2,FALSE)</f>
        <v>Europe</v>
      </c>
      <c r="G1024" s="4">
        <v>34</v>
      </c>
      <c r="H1024" s="4">
        <v>0</v>
      </c>
    </row>
    <row r="1025" spans="2:8" x14ac:dyDescent="0.2">
      <c r="B1025" s="3" t="s">
        <v>140</v>
      </c>
      <c r="C1025" s="3" t="s">
        <v>21</v>
      </c>
      <c r="D1025" s="3" t="str">
        <f>VLOOKUP(C1025,Countries!$B$3:$C$140,2,FALSE)</f>
        <v>Europe</v>
      </c>
      <c r="E1025" s="3" t="s">
        <v>57</v>
      </c>
      <c r="F1025" s="3" t="str">
        <f>VLOOKUP(E1025,Countries!$B$3:$C$140,2,FALSE)</f>
        <v>Europe/Asia</v>
      </c>
      <c r="G1025" s="4">
        <v>4</v>
      </c>
      <c r="H1025" s="4">
        <v>0</v>
      </c>
    </row>
    <row r="1026" spans="2:8" x14ac:dyDescent="0.2">
      <c r="B1026" s="3" t="s">
        <v>140</v>
      </c>
      <c r="C1026" s="3" t="s">
        <v>21</v>
      </c>
      <c r="D1026" s="3" t="str">
        <f>VLOOKUP(C1026,Countries!$B$3:$C$140,2,FALSE)</f>
        <v>Europe</v>
      </c>
      <c r="E1026" s="3" t="s">
        <v>85</v>
      </c>
      <c r="F1026" s="3" t="str">
        <f>VLOOKUP(E1026,Countries!$B$3:$C$140,2,FALSE)</f>
        <v>Asia</v>
      </c>
      <c r="G1026" s="4">
        <v>2</v>
      </c>
      <c r="H1026" s="4">
        <v>0</v>
      </c>
    </row>
    <row r="1027" spans="2:8" x14ac:dyDescent="0.2">
      <c r="B1027" s="3" t="s">
        <v>140</v>
      </c>
      <c r="C1027" s="3" t="s">
        <v>22</v>
      </c>
      <c r="D1027" s="3" t="str">
        <f>VLOOKUP(C1027,Countries!$B$3:$C$140,2,FALSE)</f>
        <v>Europe</v>
      </c>
      <c r="E1027" s="3" t="s">
        <v>2</v>
      </c>
      <c r="F1027" s="3" t="str">
        <f>VLOOKUP(E1027,Countries!$B$3:$C$140,2,FALSE)</f>
        <v>Europe</v>
      </c>
      <c r="G1027" s="4">
        <v>10</v>
      </c>
      <c r="H1027" s="4">
        <v>0</v>
      </c>
    </row>
    <row r="1028" spans="2:8" x14ac:dyDescent="0.2">
      <c r="B1028" s="3" t="s">
        <v>140</v>
      </c>
      <c r="C1028" s="3" t="s">
        <v>22</v>
      </c>
      <c r="D1028" s="3" t="str">
        <f>VLOOKUP(C1028,Countries!$B$3:$C$140,2,FALSE)</f>
        <v>Europe</v>
      </c>
      <c r="E1028" s="3" t="s">
        <v>48</v>
      </c>
      <c r="F1028" s="3" t="str">
        <f>VLOOKUP(E1028,Countries!$B$3:$C$140,2,FALSE)</f>
        <v>Oceania</v>
      </c>
      <c r="G1028" s="4">
        <v>2</v>
      </c>
      <c r="H1028" s="4">
        <v>0</v>
      </c>
    </row>
    <row r="1029" spans="2:8" x14ac:dyDescent="0.2">
      <c r="B1029" s="3" t="s">
        <v>140</v>
      </c>
      <c r="C1029" s="3" t="s">
        <v>22</v>
      </c>
      <c r="D1029" s="3" t="str">
        <f>VLOOKUP(C1029,Countries!$B$3:$C$140,2,FALSE)</f>
        <v>Europe</v>
      </c>
      <c r="E1029" s="3" t="s">
        <v>5</v>
      </c>
      <c r="F1029" s="3" t="str">
        <f>VLOOKUP(E1029,Countries!$B$3:$C$140,2,FALSE)</f>
        <v>Asia</v>
      </c>
      <c r="G1029" s="4">
        <v>4</v>
      </c>
      <c r="H1029" s="4">
        <v>0</v>
      </c>
    </row>
    <row r="1030" spans="2:8" x14ac:dyDescent="0.2">
      <c r="B1030" s="3" t="s">
        <v>140</v>
      </c>
      <c r="C1030" s="3" t="s">
        <v>22</v>
      </c>
      <c r="D1030" s="3" t="str">
        <f>VLOOKUP(C1030,Countries!$B$3:$C$140,2,FALSE)</f>
        <v>Europe</v>
      </c>
      <c r="E1030" s="3" t="s">
        <v>7</v>
      </c>
      <c r="F1030" s="3" t="str">
        <f>VLOOKUP(E1030,Countries!$B$3:$C$140,2,FALSE)</f>
        <v>South America</v>
      </c>
      <c r="G1030" s="4">
        <v>34</v>
      </c>
      <c r="H1030" s="4">
        <v>0</v>
      </c>
    </row>
    <row r="1031" spans="2:8" x14ac:dyDescent="0.2">
      <c r="B1031" s="3" t="s">
        <v>140</v>
      </c>
      <c r="C1031" s="3" t="s">
        <v>22</v>
      </c>
      <c r="D1031" s="3" t="str">
        <f>VLOOKUP(C1031,Countries!$B$3:$C$140,2,FALSE)</f>
        <v>Europe</v>
      </c>
      <c r="E1031" s="3" t="s">
        <v>62</v>
      </c>
      <c r="F1031" s="3" t="str">
        <f>VLOOKUP(E1031,Countries!$B$3:$C$140,2,FALSE)</f>
        <v>Asia</v>
      </c>
      <c r="G1031" s="4">
        <v>4</v>
      </c>
      <c r="H1031" s="4">
        <v>0</v>
      </c>
    </row>
    <row r="1032" spans="2:8" x14ac:dyDescent="0.2">
      <c r="B1032" s="3" t="s">
        <v>140</v>
      </c>
      <c r="C1032" s="3" t="s">
        <v>22</v>
      </c>
      <c r="D1032" s="3" t="str">
        <f>VLOOKUP(C1032,Countries!$B$3:$C$140,2,FALSE)</f>
        <v>Europe</v>
      </c>
      <c r="E1032" s="3" t="s">
        <v>10</v>
      </c>
      <c r="F1032" s="3" t="str">
        <f>VLOOKUP(E1032,Countries!$B$3:$C$140,2,FALSE)</f>
        <v>Europe</v>
      </c>
      <c r="G1032" s="4">
        <v>4</v>
      </c>
      <c r="H1032" s="4">
        <v>0</v>
      </c>
    </row>
    <row r="1033" spans="2:8" x14ac:dyDescent="0.2">
      <c r="B1033" s="3" t="s">
        <v>140</v>
      </c>
      <c r="C1033" s="3" t="s">
        <v>22</v>
      </c>
      <c r="D1033" s="3" t="str">
        <f>VLOOKUP(C1033,Countries!$B$3:$C$140,2,FALSE)</f>
        <v>Europe</v>
      </c>
      <c r="E1033" s="3" t="s">
        <v>50</v>
      </c>
      <c r="F1033" s="3" t="str">
        <f>VLOOKUP(E1033,Countries!$B$3:$C$140,2,FALSE)</f>
        <v>Europe</v>
      </c>
      <c r="G1033" s="4">
        <v>4</v>
      </c>
      <c r="H1033" s="4">
        <v>0</v>
      </c>
    </row>
    <row r="1034" spans="2:8" x14ac:dyDescent="0.2">
      <c r="B1034" s="3" t="s">
        <v>140</v>
      </c>
      <c r="C1034" s="3" t="s">
        <v>22</v>
      </c>
      <c r="D1034" s="3" t="str">
        <f>VLOOKUP(C1034,Countries!$B$3:$C$140,2,FALSE)</f>
        <v>Europe</v>
      </c>
      <c r="E1034" s="3" t="s">
        <v>11</v>
      </c>
      <c r="F1034" s="3" t="str">
        <f>VLOOKUP(E1034,Countries!$B$3:$C$140,2,FALSE)</f>
        <v>Europe</v>
      </c>
      <c r="G1034" s="4">
        <v>4</v>
      </c>
      <c r="H1034" s="4">
        <v>0</v>
      </c>
    </row>
    <row r="1035" spans="2:8" x14ac:dyDescent="0.2">
      <c r="B1035" s="3" t="s">
        <v>140</v>
      </c>
      <c r="C1035" s="3" t="s">
        <v>22</v>
      </c>
      <c r="D1035" s="3" t="str">
        <f>VLOOKUP(C1035,Countries!$B$3:$C$140,2,FALSE)</f>
        <v>Europe</v>
      </c>
      <c r="E1035" s="3" t="s">
        <v>73</v>
      </c>
      <c r="F1035" s="3" t="str">
        <f>VLOOKUP(E1035,Countries!$B$3:$C$140,2,FALSE)</f>
        <v>Europe</v>
      </c>
      <c r="G1035" s="4">
        <v>2</v>
      </c>
      <c r="H1035" s="4">
        <v>0</v>
      </c>
    </row>
    <row r="1036" spans="2:8" x14ac:dyDescent="0.2">
      <c r="B1036" s="3" t="s">
        <v>140</v>
      </c>
      <c r="C1036" s="3" t="s">
        <v>22</v>
      </c>
      <c r="D1036" s="3" t="str">
        <f>VLOOKUP(C1036,Countries!$B$3:$C$140,2,FALSE)</f>
        <v>Europe</v>
      </c>
      <c r="E1036" s="3" t="s">
        <v>13</v>
      </c>
      <c r="F1036" s="3" t="str">
        <f>VLOOKUP(E1036,Countries!$B$3:$C$140,2,FALSE)</f>
        <v>Europe</v>
      </c>
      <c r="G1036" s="4">
        <v>8</v>
      </c>
      <c r="H1036" s="4">
        <v>0</v>
      </c>
    </row>
    <row r="1037" spans="2:8" x14ac:dyDescent="0.2">
      <c r="B1037" s="3" t="s">
        <v>140</v>
      </c>
      <c r="C1037" s="3" t="s">
        <v>22</v>
      </c>
      <c r="D1037" s="3" t="str">
        <f>VLOOKUP(C1037,Countries!$B$3:$C$140,2,FALSE)</f>
        <v>Europe</v>
      </c>
      <c r="E1037" s="3" t="s">
        <v>14</v>
      </c>
      <c r="F1037" s="3" t="str">
        <f>VLOOKUP(E1037,Countries!$B$3:$C$140,2,FALSE)</f>
        <v>Europe</v>
      </c>
      <c r="G1037" s="4">
        <v>4</v>
      </c>
      <c r="H1037" s="4">
        <v>0</v>
      </c>
    </row>
    <row r="1038" spans="2:8" x14ac:dyDescent="0.2">
      <c r="B1038" s="3" t="s">
        <v>140</v>
      </c>
      <c r="C1038" s="3" t="s">
        <v>22</v>
      </c>
      <c r="D1038" s="3" t="str">
        <f>VLOOKUP(C1038,Countries!$B$3:$C$140,2,FALSE)</f>
        <v>Europe</v>
      </c>
      <c r="E1038" s="3" t="s">
        <v>124</v>
      </c>
      <c r="F1038" s="3" t="str">
        <f>VLOOKUP(E1038,Countries!$B$3:$C$140,2,FALSE)</f>
        <v>North America</v>
      </c>
      <c r="G1038" s="4">
        <v>2</v>
      </c>
      <c r="H1038" s="4">
        <v>0</v>
      </c>
    </row>
    <row r="1039" spans="2:8" x14ac:dyDescent="0.2">
      <c r="B1039" s="3" t="s">
        <v>140</v>
      </c>
      <c r="C1039" s="3" t="s">
        <v>22</v>
      </c>
      <c r="D1039" s="3" t="str">
        <f>VLOOKUP(C1039,Countries!$B$3:$C$140,2,FALSE)</f>
        <v>Europe</v>
      </c>
      <c r="E1039" s="3" t="s">
        <v>15</v>
      </c>
      <c r="F1039" s="3" t="str">
        <f>VLOOKUP(E1039,Countries!$B$3:$C$140,2,FALSE)</f>
        <v>Europe</v>
      </c>
      <c r="G1039" s="4">
        <v>4</v>
      </c>
      <c r="H1039" s="4">
        <v>0</v>
      </c>
    </row>
    <row r="1040" spans="2:8" x14ac:dyDescent="0.2">
      <c r="B1040" s="3" t="s">
        <v>140</v>
      </c>
      <c r="C1040" s="3" t="s">
        <v>22</v>
      </c>
      <c r="D1040" s="3" t="str">
        <f>VLOOKUP(C1040,Countries!$B$3:$C$140,2,FALSE)</f>
        <v>Europe</v>
      </c>
      <c r="E1040" s="3" t="s">
        <v>51</v>
      </c>
      <c r="F1040" s="3" t="str">
        <f>VLOOKUP(E1040,Countries!$B$3:$C$140,2,FALSE)</f>
        <v>Asia</v>
      </c>
      <c r="G1040" s="4">
        <v>4</v>
      </c>
      <c r="H1040" s="4">
        <v>0</v>
      </c>
    </row>
    <row r="1041" spans="2:8" x14ac:dyDescent="0.2">
      <c r="B1041" s="3" t="s">
        <v>140</v>
      </c>
      <c r="C1041" s="3" t="s">
        <v>22</v>
      </c>
      <c r="D1041" s="3" t="str">
        <f>VLOOKUP(C1041,Countries!$B$3:$C$140,2,FALSE)</f>
        <v>Europe</v>
      </c>
      <c r="E1041" s="3" t="s">
        <v>17</v>
      </c>
      <c r="F1041" s="3" t="str">
        <f>VLOOKUP(E1041,Countries!$B$3:$C$140,2,FALSE)</f>
        <v>Europe</v>
      </c>
      <c r="G1041" s="4">
        <v>12</v>
      </c>
      <c r="H1041" s="4">
        <v>0</v>
      </c>
    </row>
    <row r="1042" spans="2:8" x14ac:dyDescent="0.2">
      <c r="B1042" s="3" t="s">
        <v>140</v>
      </c>
      <c r="C1042" s="3" t="s">
        <v>22</v>
      </c>
      <c r="D1042" s="3" t="str">
        <f>VLOOKUP(C1042,Countries!$B$3:$C$140,2,FALSE)</f>
        <v>Europe</v>
      </c>
      <c r="E1042" s="3" t="s">
        <v>40</v>
      </c>
      <c r="F1042" s="3" t="str">
        <f>VLOOKUP(E1042,Countries!$B$3:$C$140,2,FALSE)</f>
        <v>Asia</v>
      </c>
      <c r="G1042" s="4">
        <v>2</v>
      </c>
      <c r="H1042" s="4">
        <v>0</v>
      </c>
    </row>
    <row r="1043" spans="2:8" x14ac:dyDescent="0.2">
      <c r="B1043" s="3" t="s">
        <v>140</v>
      </c>
      <c r="C1043" s="3" t="s">
        <v>22</v>
      </c>
      <c r="D1043" s="3" t="str">
        <f>VLOOKUP(C1043,Countries!$B$3:$C$140,2,FALSE)</f>
        <v>Europe</v>
      </c>
      <c r="E1043" s="3" t="s">
        <v>18</v>
      </c>
      <c r="F1043" s="3" t="str">
        <f>VLOOKUP(E1043,Countries!$B$3:$C$140,2,FALSE)</f>
        <v>Africa</v>
      </c>
      <c r="G1043" s="4">
        <v>2</v>
      </c>
      <c r="H1043" s="4">
        <v>0</v>
      </c>
    </row>
    <row r="1044" spans="2:8" x14ac:dyDescent="0.2">
      <c r="B1044" s="3" t="s">
        <v>140</v>
      </c>
      <c r="C1044" s="3" t="s">
        <v>22</v>
      </c>
      <c r="D1044" s="3" t="str">
        <f>VLOOKUP(C1044,Countries!$B$3:$C$140,2,FALSE)</f>
        <v>Europe</v>
      </c>
      <c r="E1044" s="3" t="s">
        <v>76</v>
      </c>
      <c r="F1044" s="3" t="str">
        <f>VLOOKUP(E1044,Countries!$B$3:$C$140,2,FALSE)</f>
        <v>Africa</v>
      </c>
      <c r="G1044" s="4">
        <v>2</v>
      </c>
      <c r="H1044" s="4">
        <v>0</v>
      </c>
    </row>
    <row r="1045" spans="2:8" x14ac:dyDescent="0.2">
      <c r="B1045" s="3" t="s">
        <v>140</v>
      </c>
      <c r="C1045" s="3" t="s">
        <v>22</v>
      </c>
      <c r="D1045" s="3" t="str">
        <f>VLOOKUP(C1045,Countries!$B$3:$C$140,2,FALSE)</f>
        <v>Europe</v>
      </c>
      <c r="E1045" s="3" t="s">
        <v>41</v>
      </c>
      <c r="F1045" s="3" t="str">
        <f>VLOOKUP(E1045,Countries!$B$3:$C$140,2,FALSE)</f>
        <v>Asia</v>
      </c>
      <c r="G1045" s="4">
        <v>2</v>
      </c>
      <c r="H1045" s="4">
        <v>0</v>
      </c>
    </row>
    <row r="1046" spans="2:8" x14ac:dyDescent="0.2">
      <c r="B1046" s="3" t="s">
        <v>140</v>
      </c>
      <c r="C1046" s="3" t="s">
        <v>22</v>
      </c>
      <c r="D1046" s="3" t="str">
        <f>VLOOKUP(C1046,Countries!$B$3:$C$140,2,FALSE)</f>
        <v>Europe</v>
      </c>
      <c r="E1046" s="3" t="s">
        <v>52</v>
      </c>
      <c r="F1046" s="3" t="str">
        <f>VLOOKUP(E1046,Countries!$B$3:$C$140,2,FALSE)</f>
        <v>Europe</v>
      </c>
      <c r="G1046" s="4">
        <v>6</v>
      </c>
      <c r="H1046" s="4">
        <v>0</v>
      </c>
    </row>
    <row r="1047" spans="2:8" x14ac:dyDescent="0.2">
      <c r="B1047" s="3" t="s">
        <v>140</v>
      </c>
      <c r="C1047" s="3" t="s">
        <v>22</v>
      </c>
      <c r="D1047" s="3" t="str">
        <f>VLOOKUP(C1047,Countries!$B$3:$C$140,2,FALSE)</f>
        <v>Europe</v>
      </c>
      <c r="E1047" s="3" t="s">
        <v>43</v>
      </c>
      <c r="F1047" s="3" t="str">
        <f>VLOOKUP(E1047,Countries!$B$3:$C$140,2,FALSE)</f>
        <v>Europe</v>
      </c>
      <c r="G1047" s="4">
        <v>2</v>
      </c>
      <c r="H1047" s="4">
        <v>0</v>
      </c>
    </row>
    <row r="1048" spans="2:8" x14ac:dyDescent="0.2">
      <c r="B1048" s="3" t="s">
        <v>140</v>
      </c>
      <c r="C1048" s="3" t="s">
        <v>22</v>
      </c>
      <c r="D1048" s="3" t="str">
        <f>VLOOKUP(C1048,Countries!$B$3:$C$140,2,FALSE)</f>
        <v>Europe</v>
      </c>
      <c r="E1048" s="3" t="s">
        <v>21</v>
      </c>
      <c r="F1048" s="3" t="str">
        <f>VLOOKUP(E1048,Countries!$B$3:$C$140,2,FALSE)</f>
        <v>Europe</v>
      </c>
      <c r="G1048" s="4">
        <v>2</v>
      </c>
      <c r="H1048" s="4">
        <v>0</v>
      </c>
    </row>
    <row r="1049" spans="2:8" x14ac:dyDescent="0.2">
      <c r="B1049" s="3" t="s">
        <v>140</v>
      </c>
      <c r="C1049" s="3" t="s">
        <v>22</v>
      </c>
      <c r="D1049" s="3" t="str">
        <f>VLOOKUP(C1049,Countries!$B$3:$C$140,2,FALSE)</f>
        <v>Europe</v>
      </c>
      <c r="E1049" s="3" t="s">
        <v>54</v>
      </c>
      <c r="F1049" s="3" t="str">
        <f>VLOOKUP(E1049,Countries!$B$3:$C$140,2,FALSE)</f>
        <v>Europe</v>
      </c>
      <c r="G1049" s="4">
        <v>2</v>
      </c>
      <c r="H1049" s="4">
        <v>0</v>
      </c>
    </row>
    <row r="1050" spans="2:8" x14ac:dyDescent="0.2">
      <c r="B1050" s="3" t="s">
        <v>140</v>
      </c>
      <c r="C1050" s="3" t="s">
        <v>22</v>
      </c>
      <c r="D1050" s="3" t="str">
        <f>VLOOKUP(C1050,Countries!$B$3:$C$140,2,FALSE)</f>
        <v>Europe</v>
      </c>
      <c r="E1050" s="3" t="s">
        <v>25</v>
      </c>
      <c r="F1050" s="3" t="str">
        <f>VLOOKUP(E1050,Countries!$B$3:$C$140,2,FALSE)</f>
        <v>Europe</v>
      </c>
      <c r="G1050" s="4">
        <v>6</v>
      </c>
      <c r="H1050" s="4">
        <v>0</v>
      </c>
    </row>
    <row r="1051" spans="2:8" x14ac:dyDescent="0.2">
      <c r="B1051" s="3" t="s">
        <v>140</v>
      </c>
      <c r="C1051" s="3" t="s">
        <v>22</v>
      </c>
      <c r="D1051" s="3" t="str">
        <f>VLOOKUP(C1051,Countries!$B$3:$C$140,2,FALSE)</f>
        <v>Europe</v>
      </c>
      <c r="E1051" s="3" t="s">
        <v>55</v>
      </c>
      <c r="F1051" s="3" t="str">
        <f>VLOOKUP(E1051,Countries!$B$3:$C$140,2,FALSE)</f>
        <v>Europe</v>
      </c>
      <c r="G1051" s="4">
        <v>2</v>
      </c>
      <c r="H1051" s="4">
        <v>0</v>
      </c>
    </row>
    <row r="1052" spans="2:8" x14ac:dyDescent="0.2">
      <c r="B1052" s="3" t="s">
        <v>140</v>
      </c>
      <c r="C1052" s="3" t="s">
        <v>22</v>
      </c>
      <c r="D1052" s="3" t="str">
        <f>VLOOKUP(C1052,Countries!$B$3:$C$140,2,FALSE)</f>
        <v>Europe</v>
      </c>
      <c r="E1052" s="3" t="s">
        <v>28</v>
      </c>
      <c r="F1052" s="3" t="str">
        <f>VLOOKUP(E1052,Countries!$B$3:$C$140,2,FALSE)</f>
        <v>Europe</v>
      </c>
      <c r="G1052" s="4">
        <v>2</v>
      </c>
      <c r="H1052" s="4">
        <v>0</v>
      </c>
    </row>
    <row r="1053" spans="2:8" x14ac:dyDescent="0.2">
      <c r="B1053" s="3" t="s">
        <v>140</v>
      </c>
      <c r="C1053" s="3" t="s">
        <v>22</v>
      </c>
      <c r="D1053" s="3" t="str">
        <f>VLOOKUP(C1053,Countries!$B$3:$C$140,2,FALSE)</f>
        <v>Europe</v>
      </c>
      <c r="E1053" s="3" t="s">
        <v>29</v>
      </c>
      <c r="F1053" s="3" t="str">
        <f>VLOOKUP(E1053,Countries!$B$3:$C$140,2,FALSE)</f>
        <v>Europe</v>
      </c>
      <c r="G1053" s="4">
        <v>2</v>
      </c>
      <c r="H1053" s="4">
        <v>0</v>
      </c>
    </row>
    <row r="1054" spans="2:8" x14ac:dyDescent="0.2">
      <c r="B1054" s="3" t="s">
        <v>140</v>
      </c>
      <c r="C1054" s="3" t="s">
        <v>22</v>
      </c>
      <c r="D1054" s="3" t="str">
        <f>VLOOKUP(C1054,Countries!$B$3:$C$140,2,FALSE)</f>
        <v>Europe</v>
      </c>
      <c r="E1054" s="3" t="s">
        <v>30</v>
      </c>
      <c r="F1054" s="3" t="str">
        <f>VLOOKUP(E1054,Countries!$B$3:$C$140,2,FALSE)</f>
        <v>Europe</v>
      </c>
      <c r="G1054" s="4">
        <v>2</v>
      </c>
      <c r="H1054" s="4">
        <v>0</v>
      </c>
    </row>
    <row r="1055" spans="2:8" x14ac:dyDescent="0.2">
      <c r="B1055" s="3" t="s">
        <v>140</v>
      </c>
      <c r="C1055" s="3" t="s">
        <v>22</v>
      </c>
      <c r="D1055" s="3" t="str">
        <f>VLOOKUP(C1055,Countries!$B$3:$C$140,2,FALSE)</f>
        <v>Europe</v>
      </c>
      <c r="E1055" s="3" t="s">
        <v>31</v>
      </c>
      <c r="F1055" s="3" t="str">
        <f>VLOOKUP(E1055,Countries!$B$3:$C$140,2,FALSE)</f>
        <v>Europe</v>
      </c>
      <c r="G1055" s="4">
        <v>2</v>
      </c>
      <c r="H1055" s="4">
        <v>0</v>
      </c>
    </row>
    <row r="1056" spans="2:8" x14ac:dyDescent="0.2">
      <c r="B1056" s="3" t="s">
        <v>140</v>
      </c>
      <c r="C1056" s="3" t="s">
        <v>22</v>
      </c>
      <c r="D1056" s="3" t="str">
        <f>VLOOKUP(C1056,Countries!$B$3:$C$140,2,FALSE)</f>
        <v>Europe</v>
      </c>
      <c r="E1056" s="3" t="s">
        <v>32</v>
      </c>
      <c r="F1056" s="3" t="str">
        <f>VLOOKUP(E1056,Countries!$B$3:$C$140,2,FALSE)</f>
        <v>Europe</v>
      </c>
      <c r="G1056" s="4">
        <v>2</v>
      </c>
      <c r="H1056" s="4">
        <v>0</v>
      </c>
    </row>
    <row r="1057" spans="2:8" x14ac:dyDescent="0.2">
      <c r="B1057" s="3" t="s">
        <v>140</v>
      </c>
      <c r="C1057" s="3" t="s">
        <v>22</v>
      </c>
      <c r="D1057" s="3" t="str">
        <f>VLOOKUP(C1057,Countries!$B$3:$C$140,2,FALSE)</f>
        <v>Europe</v>
      </c>
      <c r="E1057" s="3" t="s">
        <v>85</v>
      </c>
      <c r="F1057" s="3" t="str">
        <f>VLOOKUP(E1057,Countries!$B$3:$C$140,2,FALSE)</f>
        <v>Asia</v>
      </c>
      <c r="G1057" s="4">
        <v>2</v>
      </c>
      <c r="H1057" s="4">
        <v>0</v>
      </c>
    </row>
    <row r="1058" spans="2:8" x14ac:dyDescent="0.2">
      <c r="B1058" s="3" t="s">
        <v>140</v>
      </c>
      <c r="C1058" s="3" t="s">
        <v>23</v>
      </c>
      <c r="D1058" s="3" t="str">
        <f>VLOOKUP(C1058,Countries!$B$3:$C$140,2,FALSE)</f>
        <v>Europe</v>
      </c>
      <c r="E1058" s="3" t="s">
        <v>6</v>
      </c>
      <c r="F1058" s="3" t="str">
        <f>VLOOKUP(E1058,Countries!$B$3:$C$140,2,FALSE)</f>
        <v>Europe</v>
      </c>
      <c r="G1058" s="4">
        <v>2</v>
      </c>
      <c r="H1058" s="4">
        <v>0</v>
      </c>
    </row>
    <row r="1059" spans="2:8" x14ac:dyDescent="0.2">
      <c r="B1059" s="3" t="s">
        <v>140</v>
      </c>
      <c r="C1059" s="3" t="s">
        <v>23</v>
      </c>
      <c r="D1059" s="3" t="str">
        <f>VLOOKUP(C1059,Countries!$B$3:$C$140,2,FALSE)</f>
        <v>Europe</v>
      </c>
      <c r="E1059" s="3" t="s">
        <v>9</v>
      </c>
      <c r="F1059" s="3" t="str">
        <f>VLOOKUP(E1059,Countries!$B$3:$C$140,2,FALSE)</f>
        <v>Europe</v>
      </c>
      <c r="G1059" s="4">
        <v>2</v>
      </c>
      <c r="H1059" s="4">
        <v>0</v>
      </c>
    </row>
    <row r="1060" spans="2:8" x14ac:dyDescent="0.2">
      <c r="B1060" s="3" t="s">
        <v>140</v>
      </c>
      <c r="C1060" s="3" t="s">
        <v>23</v>
      </c>
      <c r="D1060" s="3" t="str">
        <f>VLOOKUP(C1060,Countries!$B$3:$C$140,2,FALSE)</f>
        <v>Europe</v>
      </c>
      <c r="E1060" s="3" t="s">
        <v>107</v>
      </c>
      <c r="F1060" s="3" t="str">
        <f>VLOOKUP(E1060,Countries!$B$3:$C$140,2,FALSE)</f>
        <v>South America</v>
      </c>
      <c r="G1060" s="4">
        <v>2</v>
      </c>
      <c r="H1060" s="4">
        <v>0</v>
      </c>
    </row>
    <row r="1061" spans="2:8" x14ac:dyDescent="0.2">
      <c r="B1061" s="3" t="s">
        <v>140</v>
      </c>
      <c r="C1061" s="3" t="s">
        <v>23</v>
      </c>
      <c r="D1061" s="3" t="str">
        <f>VLOOKUP(C1061,Countries!$B$3:$C$140,2,FALSE)</f>
        <v>Europe</v>
      </c>
      <c r="E1061" s="3" t="s">
        <v>14</v>
      </c>
      <c r="F1061" s="3" t="str">
        <f>VLOOKUP(E1061,Countries!$B$3:$C$140,2,FALSE)</f>
        <v>Europe</v>
      </c>
      <c r="G1061" s="4">
        <v>2</v>
      </c>
      <c r="H1061" s="4">
        <v>0</v>
      </c>
    </row>
    <row r="1062" spans="2:8" x14ac:dyDescent="0.2">
      <c r="B1062" s="3" t="s">
        <v>140</v>
      </c>
      <c r="C1062" s="3" t="s">
        <v>23</v>
      </c>
      <c r="D1062" s="3" t="str">
        <f>VLOOKUP(C1062,Countries!$B$3:$C$140,2,FALSE)</f>
        <v>Europe</v>
      </c>
      <c r="E1062" s="3" t="s">
        <v>15</v>
      </c>
      <c r="F1062" s="3" t="str">
        <f>VLOOKUP(E1062,Countries!$B$3:$C$140,2,FALSE)</f>
        <v>Europe</v>
      </c>
      <c r="G1062" s="4">
        <v>2</v>
      </c>
      <c r="H1062" s="4">
        <v>0</v>
      </c>
    </row>
    <row r="1063" spans="2:8" x14ac:dyDescent="0.2">
      <c r="B1063" s="3" t="s">
        <v>140</v>
      </c>
      <c r="C1063" s="3" t="s">
        <v>23</v>
      </c>
      <c r="D1063" s="3" t="str">
        <f>VLOOKUP(C1063,Countries!$B$3:$C$140,2,FALSE)</f>
        <v>Europe</v>
      </c>
      <c r="E1063" s="3" t="s">
        <v>16</v>
      </c>
      <c r="F1063" s="3" t="str">
        <f>VLOOKUP(E1063,Countries!$B$3:$C$140,2,FALSE)</f>
        <v>Asia</v>
      </c>
      <c r="G1063" s="4">
        <v>4</v>
      </c>
      <c r="H1063" s="4">
        <v>0</v>
      </c>
    </row>
    <row r="1064" spans="2:8" x14ac:dyDescent="0.2">
      <c r="B1064" s="3" t="s">
        <v>140</v>
      </c>
      <c r="C1064" s="3" t="s">
        <v>23</v>
      </c>
      <c r="D1064" s="3" t="str">
        <f>VLOOKUP(C1064,Countries!$B$3:$C$140,2,FALSE)</f>
        <v>Europe</v>
      </c>
      <c r="E1064" s="3" t="s">
        <v>43</v>
      </c>
      <c r="F1064" s="3" t="str">
        <f>VLOOKUP(E1064,Countries!$B$3:$C$140,2,FALSE)</f>
        <v>Europe</v>
      </c>
      <c r="G1064" s="4">
        <v>4</v>
      </c>
      <c r="H1064" s="4">
        <v>322866.47560800001</v>
      </c>
    </row>
    <row r="1065" spans="2:8" x14ac:dyDescent="0.2">
      <c r="B1065" s="3" t="s">
        <v>140</v>
      </c>
      <c r="C1065" s="3" t="s">
        <v>23</v>
      </c>
      <c r="D1065" s="3" t="str">
        <f>VLOOKUP(C1065,Countries!$B$3:$C$140,2,FALSE)</f>
        <v>Europe</v>
      </c>
      <c r="E1065" s="3" t="s">
        <v>26</v>
      </c>
      <c r="F1065" s="3" t="str">
        <f>VLOOKUP(E1065,Countries!$B$3:$C$140,2,FALSE)</f>
        <v>Europe</v>
      </c>
      <c r="G1065" s="4">
        <v>2</v>
      </c>
      <c r="H1065" s="4">
        <v>0</v>
      </c>
    </row>
    <row r="1066" spans="2:8" x14ac:dyDescent="0.2">
      <c r="B1066" s="3" t="s">
        <v>140</v>
      </c>
      <c r="C1066" s="3" t="s">
        <v>23</v>
      </c>
      <c r="D1066" s="3" t="str">
        <f>VLOOKUP(C1066,Countries!$B$3:$C$140,2,FALSE)</f>
        <v>Europe</v>
      </c>
      <c r="E1066" s="3" t="s">
        <v>46</v>
      </c>
      <c r="F1066" s="3" t="str">
        <f>VLOOKUP(E1066,Countries!$B$3:$C$140,2,FALSE)</f>
        <v>Europe/Asia</v>
      </c>
      <c r="G1066" s="4">
        <v>2</v>
      </c>
      <c r="H1066" s="4">
        <v>0</v>
      </c>
    </row>
    <row r="1067" spans="2:8" x14ac:dyDescent="0.2">
      <c r="B1067" s="3" t="s">
        <v>140</v>
      </c>
      <c r="C1067" s="3" t="s">
        <v>23</v>
      </c>
      <c r="D1067" s="3" t="str">
        <f>VLOOKUP(C1067,Countries!$B$3:$C$140,2,FALSE)</f>
        <v>Europe</v>
      </c>
      <c r="E1067" s="3" t="s">
        <v>28</v>
      </c>
      <c r="F1067" s="3" t="str">
        <f>VLOOKUP(E1067,Countries!$B$3:$C$140,2,FALSE)</f>
        <v>Europe</v>
      </c>
      <c r="G1067" s="4">
        <v>12</v>
      </c>
      <c r="H1067" s="4">
        <v>0</v>
      </c>
    </row>
    <row r="1068" spans="2:8" x14ac:dyDescent="0.2">
      <c r="B1068" s="3" t="s">
        <v>140</v>
      </c>
      <c r="C1068" s="3" t="s">
        <v>53</v>
      </c>
      <c r="D1068" s="3" t="str">
        <f>VLOOKUP(C1068,Countries!$B$3:$C$140,2,FALSE)</f>
        <v>Europe</v>
      </c>
      <c r="E1068" s="3" t="s">
        <v>48</v>
      </c>
      <c r="F1068" s="3" t="str">
        <f>VLOOKUP(E1068,Countries!$B$3:$C$140,2,FALSE)</f>
        <v>Oceania</v>
      </c>
      <c r="G1068" s="4">
        <v>4</v>
      </c>
      <c r="H1068" s="4">
        <v>0</v>
      </c>
    </row>
    <row r="1069" spans="2:8" x14ac:dyDescent="0.2">
      <c r="B1069" s="3" t="s">
        <v>140</v>
      </c>
      <c r="C1069" s="3" t="s">
        <v>53</v>
      </c>
      <c r="D1069" s="3" t="str">
        <f>VLOOKUP(C1069,Countries!$B$3:$C$140,2,FALSE)</f>
        <v>Europe</v>
      </c>
      <c r="E1069" s="3" t="s">
        <v>3</v>
      </c>
      <c r="F1069" s="3" t="str">
        <f>VLOOKUP(E1069,Countries!$B$3:$C$140,2,FALSE)</f>
        <v>Europe</v>
      </c>
      <c r="G1069" s="4">
        <v>4</v>
      </c>
      <c r="H1069" s="4">
        <v>0</v>
      </c>
    </row>
    <row r="1070" spans="2:8" x14ac:dyDescent="0.2">
      <c r="B1070" s="3" t="s">
        <v>140</v>
      </c>
      <c r="C1070" s="3" t="s">
        <v>53</v>
      </c>
      <c r="D1070" s="3" t="str">
        <f>VLOOKUP(C1070,Countries!$B$3:$C$140,2,FALSE)</f>
        <v>Europe</v>
      </c>
      <c r="E1070" s="3" t="s">
        <v>35</v>
      </c>
      <c r="F1070" s="3" t="str">
        <f>VLOOKUP(E1070,Countries!$B$3:$C$140,2,FALSE)</f>
        <v>Europe</v>
      </c>
      <c r="G1070" s="4">
        <v>54</v>
      </c>
      <c r="H1070" s="4">
        <v>4112063.2421236499</v>
      </c>
    </row>
    <row r="1071" spans="2:8" x14ac:dyDescent="0.2">
      <c r="B1071" s="3" t="s">
        <v>140</v>
      </c>
      <c r="C1071" s="3" t="s">
        <v>53</v>
      </c>
      <c r="D1071" s="3" t="str">
        <f>VLOOKUP(C1071,Countries!$B$3:$C$140,2,FALSE)</f>
        <v>Europe</v>
      </c>
      <c r="E1071" s="3" t="s">
        <v>7</v>
      </c>
      <c r="F1071" s="3" t="str">
        <f>VLOOKUP(E1071,Countries!$B$3:$C$140,2,FALSE)</f>
        <v>South America</v>
      </c>
      <c r="G1071" s="4">
        <v>6</v>
      </c>
      <c r="H1071" s="4">
        <v>4842997.1341200005</v>
      </c>
    </row>
    <row r="1072" spans="2:8" x14ac:dyDescent="0.2">
      <c r="B1072" s="3" t="s">
        <v>140</v>
      </c>
      <c r="C1072" s="3" t="s">
        <v>53</v>
      </c>
      <c r="D1072" s="3" t="str">
        <f>VLOOKUP(C1072,Countries!$B$3:$C$140,2,FALSE)</f>
        <v>Europe</v>
      </c>
      <c r="E1072" s="3" t="s">
        <v>8</v>
      </c>
      <c r="F1072" s="3" t="str">
        <f>VLOOKUP(E1072,Countries!$B$3:$C$140,2,FALSE)</f>
        <v>North America</v>
      </c>
      <c r="G1072" s="4">
        <v>2</v>
      </c>
      <c r="H1072" s="4">
        <v>0</v>
      </c>
    </row>
    <row r="1073" spans="2:8" x14ac:dyDescent="0.2">
      <c r="B1073" s="3" t="s">
        <v>140</v>
      </c>
      <c r="C1073" s="3" t="s">
        <v>53</v>
      </c>
      <c r="D1073" s="3" t="str">
        <f>VLOOKUP(C1073,Countries!$B$3:$C$140,2,FALSE)</f>
        <v>Europe</v>
      </c>
      <c r="E1073" s="3" t="s">
        <v>62</v>
      </c>
      <c r="F1073" s="3" t="str">
        <f>VLOOKUP(E1073,Countries!$B$3:$C$140,2,FALSE)</f>
        <v>Asia</v>
      </c>
      <c r="G1073" s="4">
        <v>12</v>
      </c>
      <c r="H1073" s="4">
        <v>363224.78505900002</v>
      </c>
    </row>
    <row r="1074" spans="2:8" x14ac:dyDescent="0.2">
      <c r="B1074" s="3" t="s">
        <v>140</v>
      </c>
      <c r="C1074" s="3" t="s">
        <v>53</v>
      </c>
      <c r="D1074" s="3" t="str">
        <f>VLOOKUP(C1074,Countries!$B$3:$C$140,2,FALSE)</f>
        <v>Europe</v>
      </c>
      <c r="E1074" s="3" t="s">
        <v>10</v>
      </c>
      <c r="F1074" s="3" t="str">
        <f>VLOOKUP(E1074,Countries!$B$3:$C$140,2,FALSE)</f>
        <v>Europe</v>
      </c>
      <c r="G1074" s="4">
        <v>8</v>
      </c>
      <c r="H1074" s="4">
        <v>6154642.1912775002</v>
      </c>
    </row>
    <row r="1075" spans="2:8" x14ac:dyDescent="0.2">
      <c r="B1075" s="3" t="s">
        <v>140</v>
      </c>
      <c r="C1075" s="3" t="s">
        <v>53</v>
      </c>
      <c r="D1075" s="3" t="str">
        <f>VLOOKUP(C1075,Countries!$B$3:$C$140,2,FALSE)</f>
        <v>Europe</v>
      </c>
      <c r="E1075" s="3" t="s">
        <v>107</v>
      </c>
      <c r="F1075" s="3" t="str">
        <f>VLOOKUP(E1075,Countries!$B$3:$C$140,2,FALSE)</f>
        <v>South America</v>
      </c>
      <c r="G1075" s="4">
        <v>2</v>
      </c>
      <c r="H1075" s="4">
        <v>1950000</v>
      </c>
    </row>
    <row r="1076" spans="2:8" x14ac:dyDescent="0.2">
      <c r="B1076" s="3" t="s">
        <v>140</v>
      </c>
      <c r="C1076" s="3" t="s">
        <v>53</v>
      </c>
      <c r="D1076" s="3" t="str">
        <f>VLOOKUP(C1076,Countries!$B$3:$C$140,2,FALSE)</f>
        <v>Europe</v>
      </c>
      <c r="E1076" s="3" t="s">
        <v>50</v>
      </c>
      <c r="F1076" s="3" t="str">
        <f>VLOOKUP(E1076,Countries!$B$3:$C$140,2,FALSE)</f>
        <v>Europe</v>
      </c>
      <c r="G1076" s="4">
        <v>20</v>
      </c>
      <c r="H1076" s="4">
        <v>1487158.0467703501</v>
      </c>
    </row>
    <row r="1077" spans="2:8" x14ac:dyDescent="0.2">
      <c r="B1077" s="3" t="s">
        <v>140</v>
      </c>
      <c r="C1077" s="3" t="s">
        <v>53</v>
      </c>
      <c r="D1077" s="3" t="str">
        <f>VLOOKUP(C1077,Countries!$B$3:$C$140,2,FALSE)</f>
        <v>Europe</v>
      </c>
      <c r="E1077" s="3" t="s">
        <v>11</v>
      </c>
      <c r="F1077" s="3" t="str">
        <f>VLOOKUP(E1077,Countries!$B$3:$C$140,2,FALSE)</f>
        <v>Europe</v>
      </c>
      <c r="G1077" s="4">
        <v>14</v>
      </c>
      <c r="H1077" s="4">
        <v>2116458.7450200003</v>
      </c>
    </row>
    <row r="1078" spans="2:8" x14ac:dyDescent="0.2">
      <c r="B1078" s="3" t="s">
        <v>140</v>
      </c>
      <c r="C1078" s="3" t="s">
        <v>53</v>
      </c>
      <c r="D1078" s="3" t="str">
        <f>VLOOKUP(C1078,Countries!$B$3:$C$140,2,FALSE)</f>
        <v>Europe</v>
      </c>
      <c r="E1078" s="3" t="s">
        <v>38</v>
      </c>
      <c r="F1078" s="3" t="str">
        <f>VLOOKUP(E1078,Countries!$B$3:$C$140,2,FALSE)</f>
        <v>Europe</v>
      </c>
      <c r="G1078" s="4">
        <v>4</v>
      </c>
      <c r="H1078" s="4">
        <v>9282411.1737300009</v>
      </c>
    </row>
    <row r="1079" spans="2:8" x14ac:dyDescent="0.2">
      <c r="B1079" s="3" t="s">
        <v>140</v>
      </c>
      <c r="C1079" s="3" t="s">
        <v>53</v>
      </c>
      <c r="D1079" s="3" t="str">
        <f>VLOOKUP(C1079,Countries!$B$3:$C$140,2,FALSE)</f>
        <v>Europe</v>
      </c>
      <c r="E1079" s="3" t="s">
        <v>73</v>
      </c>
      <c r="F1079" s="3" t="str">
        <f>VLOOKUP(E1079,Countries!$B$3:$C$140,2,FALSE)</f>
        <v>Europe</v>
      </c>
      <c r="G1079" s="4">
        <v>2</v>
      </c>
      <c r="H1079" s="4">
        <v>0</v>
      </c>
    </row>
    <row r="1080" spans="2:8" x14ac:dyDescent="0.2">
      <c r="B1080" s="3" t="s">
        <v>140</v>
      </c>
      <c r="C1080" s="3" t="s">
        <v>53</v>
      </c>
      <c r="D1080" s="3" t="str">
        <f>VLOOKUP(C1080,Countries!$B$3:$C$140,2,FALSE)</f>
        <v>Europe</v>
      </c>
      <c r="E1080" s="3" t="s">
        <v>12</v>
      </c>
      <c r="F1080" s="3" t="str">
        <f>VLOOKUP(E1080,Countries!$B$3:$C$140,2,FALSE)</f>
        <v>Europe</v>
      </c>
      <c r="G1080" s="4">
        <v>4</v>
      </c>
      <c r="H1080" s="4">
        <v>0</v>
      </c>
    </row>
    <row r="1081" spans="2:8" x14ac:dyDescent="0.2">
      <c r="B1081" s="3" t="s">
        <v>140</v>
      </c>
      <c r="C1081" s="3" t="s">
        <v>53</v>
      </c>
      <c r="D1081" s="3" t="str">
        <f>VLOOKUP(C1081,Countries!$B$3:$C$140,2,FALSE)</f>
        <v>Europe</v>
      </c>
      <c r="E1081" s="3" t="s">
        <v>39</v>
      </c>
      <c r="F1081" s="3" t="str">
        <f>VLOOKUP(E1081,Countries!$B$3:$C$140,2,FALSE)</f>
        <v>Europe/Asia</v>
      </c>
      <c r="G1081" s="4">
        <v>2</v>
      </c>
      <c r="H1081" s="4">
        <v>766807.8795690001</v>
      </c>
    </row>
    <row r="1082" spans="2:8" x14ac:dyDescent="0.2">
      <c r="B1082" s="3" t="s">
        <v>140</v>
      </c>
      <c r="C1082" s="3" t="s">
        <v>53</v>
      </c>
      <c r="D1082" s="3" t="str">
        <f>VLOOKUP(C1082,Countries!$B$3:$C$140,2,FALSE)</f>
        <v>Europe</v>
      </c>
      <c r="E1082" s="3" t="s">
        <v>13</v>
      </c>
      <c r="F1082" s="3" t="str">
        <f>VLOOKUP(E1082,Countries!$B$3:$C$140,2,FALSE)</f>
        <v>Europe</v>
      </c>
      <c r="G1082" s="4">
        <v>18</v>
      </c>
      <c r="H1082" s="4">
        <v>4802638.8246689998</v>
      </c>
    </row>
    <row r="1083" spans="2:8" x14ac:dyDescent="0.2">
      <c r="B1083" s="3" t="s">
        <v>140</v>
      </c>
      <c r="C1083" s="3" t="s">
        <v>53</v>
      </c>
      <c r="D1083" s="3" t="str">
        <f>VLOOKUP(C1083,Countries!$B$3:$C$140,2,FALSE)</f>
        <v>Europe</v>
      </c>
      <c r="E1083" s="3" t="s">
        <v>64</v>
      </c>
      <c r="F1083" s="3" t="str">
        <f>VLOOKUP(E1083,Countries!$B$3:$C$140,2,FALSE)</f>
        <v>Africa</v>
      </c>
      <c r="G1083" s="4">
        <v>2</v>
      </c>
      <c r="H1083" s="4">
        <v>0</v>
      </c>
    </row>
    <row r="1084" spans="2:8" x14ac:dyDescent="0.2">
      <c r="B1084" s="3" t="s">
        <v>140</v>
      </c>
      <c r="C1084" s="3" t="s">
        <v>53</v>
      </c>
      <c r="D1084" s="3" t="str">
        <f>VLOOKUP(C1084,Countries!$B$3:$C$140,2,FALSE)</f>
        <v>Europe</v>
      </c>
      <c r="E1084" s="3" t="s">
        <v>14</v>
      </c>
      <c r="F1084" s="3" t="str">
        <f>VLOOKUP(E1084,Countries!$B$3:$C$140,2,FALSE)</f>
        <v>Europe</v>
      </c>
      <c r="G1084" s="4">
        <v>10</v>
      </c>
      <c r="H1084" s="4">
        <v>0</v>
      </c>
    </row>
    <row r="1085" spans="2:8" x14ac:dyDescent="0.2">
      <c r="B1085" s="3" t="s">
        <v>140</v>
      </c>
      <c r="C1085" s="3" t="s">
        <v>53</v>
      </c>
      <c r="D1085" s="3" t="str">
        <f>VLOOKUP(C1085,Countries!$B$3:$C$140,2,FALSE)</f>
        <v>Europe</v>
      </c>
      <c r="E1085" s="3" t="s">
        <v>15</v>
      </c>
      <c r="F1085" s="3" t="str">
        <f>VLOOKUP(E1085,Countries!$B$3:$C$140,2,FALSE)</f>
        <v>Europe</v>
      </c>
      <c r="G1085" s="4">
        <v>12</v>
      </c>
      <c r="H1085" s="4">
        <v>2608155.7482708748</v>
      </c>
    </row>
    <row r="1086" spans="2:8" x14ac:dyDescent="0.2">
      <c r="B1086" s="3" t="s">
        <v>140</v>
      </c>
      <c r="C1086" s="3" t="s">
        <v>53</v>
      </c>
      <c r="D1086" s="3" t="str">
        <f>VLOOKUP(C1086,Countries!$B$3:$C$140,2,FALSE)</f>
        <v>Europe</v>
      </c>
      <c r="E1086" s="3" t="s">
        <v>51</v>
      </c>
      <c r="F1086" s="3" t="str">
        <f>VLOOKUP(E1086,Countries!$B$3:$C$140,2,FALSE)</f>
        <v>Asia</v>
      </c>
      <c r="G1086" s="4">
        <v>2</v>
      </c>
      <c r="H1086" s="4">
        <v>0</v>
      </c>
    </row>
    <row r="1087" spans="2:8" x14ac:dyDescent="0.2">
      <c r="B1087" s="3" t="s">
        <v>140</v>
      </c>
      <c r="C1087" s="3" t="s">
        <v>53</v>
      </c>
      <c r="D1087" s="3" t="str">
        <f>VLOOKUP(C1087,Countries!$B$3:$C$140,2,FALSE)</f>
        <v>Europe</v>
      </c>
      <c r="E1087" s="3" t="s">
        <v>17</v>
      </c>
      <c r="F1087" s="3" t="str">
        <f>VLOOKUP(E1087,Countries!$B$3:$C$140,2,FALSE)</f>
        <v>Europe</v>
      </c>
      <c r="G1087" s="4">
        <v>2</v>
      </c>
      <c r="H1087" s="4">
        <v>0</v>
      </c>
    </row>
    <row r="1088" spans="2:8" x14ac:dyDescent="0.2">
      <c r="B1088" s="3" t="s">
        <v>140</v>
      </c>
      <c r="C1088" s="3" t="s">
        <v>53</v>
      </c>
      <c r="D1088" s="3" t="str">
        <f>VLOOKUP(C1088,Countries!$B$3:$C$140,2,FALSE)</f>
        <v>Europe</v>
      </c>
      <c r="E1088" s="3" t="s">
        <v>92</v>
      </c>
      <c r="F1088" s="3" t="str">
        <f>VLOOKUP(E1088,Countries!$B$3:$C$140,2,FALSE)</f>
        <v>Asia</v>
      </c>
      <c r="G1088" s="4">
        <v>4</v>
      </c>
      <c r="H1088" s="4">
        <v>403583.09450999997</v>
      </c>
    </row>
    <row r="1089" spans="2:8" x14ac:dyDescent="0.2">
      <c r="B1089" s="3" t="s">
        <v>140</v>
      </c>
      <c r="C1089" s="3" t="s">
        <v>53</v>
      </c>
      <c r="D1089" s="3" t="str">
        <f>VLOOKUP(C1089,Countries!$B$3:$C$140,2,FALSE)</f>
        <v>Europe</v>
      </c>
      <c r="E1089" s="3" t="s">
        <v>77</v>
      </c>
      <c r="F1089" s="3" t="str">
        <f>VLOOKUP(E1089,Countries!$B$3:$C$140,2,FALSE)</f>
        <v>Europe</v>
      </c>
      <c r="G1089" s="4">
        <v>2</v>
      </c>
      <c r="H1089" s="4">
        <v>0</v>
      </c>
    </row>
    <row r="1090" spans="2:8" x14ac:dyDescent="0.2">
      <c r="B1090" s="3" t="s">
        <v>140</v>
      </c>
      <c r="C1090" s="3" t="s">
        <v>53</v>
      </c>
      <c r="D1090" s="3" t="str">
        <f>VLOOKUP(C1090,Countries!$B$3:$C$140,2,FALSE)</f>
        <v>Europe</v>
      </c>
      <c r="E1090" s="3" t="s">
        <v>21</v>
      </c>
      <c r="F1090" s="3" t="str">
        <f>VLOOKUP(E1090,Countries!$B$3:$C$140,2,FALSE)</f>
        <v>Europe</v>
      </c>
      <c r="G1090" s="4">
        <v>2</v>
      </c>
      <c r="H1090" s="4">
        <v>84752.449847100012</v>
      </c>
    </row>
    <row r="1091" spans="2:8" x14ac:dyDescent="0.2">
      <c r="B1091" s="3" t="s">
        <v>140</v>
      </c>
      <c r="C1091" s="3" t="s">
        <v>53</v>
      </c>
      <c r="D1091" s="3" t="str">
        <f>VLOOKUP(C1091,Countries!$B$3:$C$140,2,FALSE)</f>
        <v>Europe</v>
      </c>
      <c r="E1091" s="3" t="s">
        <v>24</v>
      </c>
      <c r="F1091" s="3" t="str">
        <f>VLOOKUP(E1091,Countries!$B$3:$C$140,2,FALSE)</f>
        <v>Africa</v>
      </c>
      <c r="G1091" s="4">
        <v>2</v>
      </c>
      <c r="H1091" s="4">
        <v>0</v>
      </c>
    </row>
    <row r="1092" spans="2:8" x14ac:dyDescent="0.2">
      <c r="B1092" s="3" t="s">
        <v>140</v>
      </c>
      <c r="C1092" s="3" t="s">
        <v>53</v>
      </c>
      <c r="D1092" s="3" t="str">
        <f>VLOOKUP(C1092,Countries!$B$3:$C$140,2,FALSE)</f>
        <v>Europe</v>
      </c>
      <c r="E1092" s="3" t="s">
        <v>44</v>
      </c>
      <c r="F1092" s="3" t="str">
        <f>VLOOKUP(E1092,Countries!$B$3:$C$140,2,FALSE)</f>
        <v>Europe</v>
      </c>
      <c r="G1092" s="4">
        <v>4</v>
      </c>
      <c r="H1092" s="4">
        <v>3127768.9824524997</v>
      </c>
    </row>
    <row r="1093" spans="2:8" x14ac:dyDescent="0.2">
      <c r="B1093" s="3" t="s">
        <v>140</v>
      </c>
      <c r="C1093" s="3" t="s">
        <v>53</v>
      </c>
      <c r="D1093" s="3" t="str">
        <f>VLOOKUP(C1093,Countries!$B$3:$C$140,2,FALSE)</f>
        <v>Europe</v>
      </c>
      <c r="E1093" s="3" t="s">
        <v>54</v>
      </c>
      <c r="F1093" s="3" t="str">
        <f>VLOOKUP(E1093,Countries!$B$3:$C$140,2,FALSE)</f>
        <v>Europe</v>
      </c>
      <c r="G1093" s="4">
        <v>2</v>
      </c>
      <c r="H1093" s="4">
        <v>443941.40396100003</v>
      </c>
    </row>
    <row r="1094" spans="2:8" x14ac:dyDescent="0.2">
      <c r="B1094" s="3" t="s">
        <v>140</v>
      </c>
      <c r="C1094" s="3" t="s">
        <v>53</v>
      </c>
      <c r="D1094" s="3" t="str">
        <f>VLOOKUP(C1094,Countries!$B$3:$C$140,2,FALSE)</f>
        <v>Europe</v>
      </c>
      <c r="E1094" s="3" t="s">
        <v>25</v>
      </c>
      <c r="F1094" s="3" t="str">
        <f>VLOOKUP(E1094,Countries!$B$3:$C$140,2,FALSE)</f>
        <v>Europe</v>
      </c>
      <c r="G1094" s="4">
        <v>4</v>
      </c>
      <c r="H1094" s="4">
        <v>0</v>
      </c>
    </row>
    <row r="1095" spans="2:8" x14ac:dyDescent="0.2">
      <c r="B1095" s="3" t="s">
        <v>140</v>
      </c>
      <c r="C1095" s="3" t="s">
        <v>53</v>
      </c>
      <c r="D1095" s="3" t="str">
        <f>VLOOKUP(C1095,Countries!$B$3:$C$140,2,FALSE)</f>
        <v>Europe</v>
      </c>
      <c r="E1095" s="3" t="s">
        <v>81</v>
      </c>
      <c r="F1095" s="3" t="str">
        <f>VLOOKUP(E1095,Countries!$B$3:$C$140,2,FALSE)</f>
        <v>Asia</v>
      </c>
      <c r="G1095" s="4">
        <v>4</v>
      </c>
      <c r="H1095" s="4">
        <v>0</v>
      </c>
    </row>
    <row r="1096" spans="2:8" x14ac:dyDescent="0.2">
      <c r="B1096" s="3" t="s">
        <v>140</v>
      </c>
      <c r="C1096" s="3" t="s">
        <v>53</v>
      </c>
      <c r="D1096" s="3" t="str">
        <f>VLOOKUP(C1096,Countries!$B$3:$C$140,2,FALSE)</f>
        <v>Europe</v>
      </c>
      <c r="E1096" s="3" t="s">
        <v>26</v>
      </c>
      <c r="F1096" s="3" t="str">
        <f>VLOOKUP(E1096,Countries!$B$3:$C$140,2,FALSE)</f>
        <v>Europe</v>
      </c>
      <c r="G1096" s="4">
        <v>4</v>
      </c>
      <c r="H1096" s="4">
        <v>0</v>
      </c>
    </row>
    <row r="1097" spans="2:8" x14ac:dyDescent="0.2">
      <c r="B1097" s="3" t="s">
        <v>140</v>
      </c>
      <c r="C1097" s="3" t="s">
        <v>53</v>
      </c>
      <c r="D1097" s="3" t="str">
        <f>VLOOKUP(C1097,Countries!$B$3:$C$140,2,FALSE)</f>
        <v>Europe</v>
      </c>
      <c r="E1097" s="3" t="s">
        <v>82</v>
      </c>
      <c r="F1097" s="3" t="e">
        <f>VLOOKUP(E1097,Countries!$B$3:$C$140,2,FALSE)</f>
        <v>#N/A</v>
      </c>
      <c r="G1097" s="4">
        <v>4</v>
      </c>
      <c r="H1097" s="4">
        <v>6961808.3802975006</v>
      </c>
    </row>
    <row r="1098" spans="2:8" x14ac:dyDescent="0.2">
      <c r="B1098" s="3" t="s">
        <v>140</v>
      </c>
      <c r="C1098" s="3" t="s">
        <v>53</v>
      </c>
      <c r="D1098" s="3" t="str">
        <f>VLOOKUP(C1098,Countries!$B$3:$C$140,2,FALSE)</f>
        <v>Europe</v>
      </c>
      <c r="E1098" s="3" t="s">
        <v>55</v>
      </c>
      <c r="F1098" s="3" t="str">
        <f>VLOOKUP(E1098,Countries!$B$3:$C$140,2,FALSE)</f>
        <v>Europe</v>
      </c>
      <c r="G1098" s="4">
        <v>2</v>
      </c>
      <c r="H1098" s="4">
        <v>0</v>
      </c>
    </row>
    <row r="1099" spans="2:8" x14ac:dyDescent="0.2">
      <c r="B1099" s="3" t="s">
        <v>140</v>
      </c>
      <c r="C1099" s="3" t="s">
        <v>53</v>
      </c>
      <c r="D1099" s="3" t="str">
        <f>VLOOKUP(C1099,Countries!$B$3:$C$140,2,FALSE)</f>
        <v>Europe</v>
      </c>
      <c r="E1099" s="3" t="s">
        <v>28</v>
      </c>
      <c r="F1099" s="3" t="str">
        <f>VLOOKUP(E1099,Countries!$B$3:$C$140,2,FALSE)</f>
        <v>Europe</v>
      </c>
      <c r="G1099" s="4">
        <v>2</v>
      </c>
      <c r="H1099" s="4">
        <v>201791.54725499998</v>
      </c>
    </row>
    <row r="1100" spans="2:8" x14ac:dyDescent="0.2">
      <c r="B1100" s="3" t="s">
        <v>140</v>
      </c>
      <c r="C1100" s="3" t="s">
        <v>53</v>
      </c>
      <c r="D1100" s="3" t="str">
        <f>VLOOKUP(C1100,Countries!$B$3:$C$140,2,FALSE)</f>
        <v>Europe</v>
      </c>
      <c r="E1100" s="3" t="s">
        <v>29</v>
      </c>
      <c r="F1100" s="3" t="str">
        <f>VLOOKUP(E1100,Countries!$B$3:$C$140,2,FALSE)</f>
        <v>Europe</v>
      </c>
      <c r="G1100" s="4">
        <v>2</v>
      </c>
      <c r="H1100" s="4">
        <v>0</v>
      </c>
    </row>
    <row r="1101" spans="2:8" x14ac:dyDescent="0.2">
      <c r="B1101" s="3" t="s">
        <v>140</v>
      </c>
      <c r="C1101" s="3" t="s">
        <v>53</v>
      </c>
      <c r="D1101" s="3" t="str">
        <f>VLOOKUP(C1101,Countries!$B$3:$C$140,2,FALSE)</f>
        <v>Europe</v>
      </c>
      <c r="E1101" s="3" t="s">
        <v>56</v>
      </c>
      <c r="F1101" s="3" t="str">
        <f>VLOOKUP(E1101,Countries!$B$3:$C$140,2,FALSE)</f>
        <v>Europe</v>
      </c>
      <c r="G1101" s="4">
        <v>10</v>
      </c>
      <c r="H1101" s="4">
        <v>431833.91112569999</v>
      </c>
    </row>
    <row r="1102" spans="2:8" x14ac:dyDescent="0.2">
      <c r="B1102" s="3" t="s">
        <v>140</v>
      </c>
      <c r="C1102" s="3" t="s">
        <v>53</v>
      </c>
      <c r="D1102" s="3" t="str">
        <f>VLOOKUP(C1102,Countries!$B$3:$C$140,2,FALSE)</f>
        <v>Europe</v>
      </c>
      <c r="E1102" s="3" t="s">
        <v>30</v>
      </c>
      <c r="F1102" s="3" t="str">
        <f>VLOOKUP(E1102,Countries!$B$3:$C$140,2,FALSE)</f>
        <v>Europe</v>
      </c>
      <c r="G1102" s="4">
        <v>4</v>
      </c>
      <c r="H1102" s="4">
        <v>201791.54725499998</v>
      </c>
    </row>
    <row r="1103" spans="2:8" x14ac:dyDescent="0.2">
      <c r="B1103" s="3" t="s">
        <v>140</v>
      </c>
      <c r="C1103" s="3" t="s">
        <v>53</v>
      </c>
      <c r="D1103" s="3" t="str">
        <f>VLOOKUP(C1103,Countries!$B$3:$C$140,2,FALSE)</f>
        <v>Europe</v>
      </c>
      <c r="E1103" s="3" t="s">
        <v>31</v>
      </c>
      <c r="F1103" s="3" t="str">
        <f>VLOOKUP(E1103,Countries!$B$3:$C$140,2,FALSE)</f>
        <v>Europe</v>
      </c>
      <c r="G1103" s="4">
        <v>12</v>
      </c>
      <c r="H1103" s="4">
        <v>32243943.353550002</v>
      </c>
    </row>
    <row r="1104" spans="2:8" x14ac:dyDescent="0.2">
      <c r="B1104" s="3" t="s">
        <v>140</v>
      </c>
      <c r="C1104" s="3" t="s">
        <v>53</v>
      </c>
      <c r="D1104" s="3" t="str">
        <f>VLOOKUP(C1104,Countries!$B$3:$C$140,2,FALSE)</f>
        <v>Europe</v>
      </c>
      <c r="E1104" s="3" t="s">
        <v>57</v>
      </c>
      <c r="F1104" s="3" t="str">
        <f>VLOOKUP(E1104,Countries!$B$3:$C$140,2,FALSE)</f>
        <v>Europe/Asia</v>
      </c>
      <c r="G1104" s="4">
        <v>2</v>
      </c>
      <c r="H1104" s="4">
        <v>0</v>
      </c>
    </row>
    <row r="1105" spans="2:8" x14ac:dyDescent="0.2">
      <c r="B1105" s="3" t="s">
        <v>140</v>
      </c>
      <c r="C1105" s="3" t="s">
        <v>53</v>
      </c>
      <c r="D1105" s="3" t="str">
        <f>VLOOKUP(C1105,Countries!$B$3:$C$140,2,FALSE)</f>
        <v>Europe</v>
      </c>
      <c r="E1105" s="3" t="s">
        <v>105</v>
      </c>
      <c r="F1105" s="3" t="str">
        <f>VLOOKUP(E1105,Countries!$B$3:$C$140,2,FALSE)</f>
        <v>Asia</v>
      </c>
      <c r="G1105" s="4">
        <v>2</v>
      </c>
      <c r="H1105" s="4">
        <v>0</v>
      </c>
    </row>
    <row r="1106" spans="2:8" x14ac:dyDescent="0.2">
      <c r="B1106" s="3" t="s">
        <v>140</v>
      </c>
      <c r="C1106" s="3" t="s">
        <v>53</v>
      </c>
      <c r="D1106" s="3" t="str">
        <f>VLOOKUP(C1106,Countries!$B$3:$C$140,2,FALSE)</f>
        <v>Europe</v>
      </c>
      <c r="E1106" s="3" t="s">
        <v>58</v>
      </c>
      <c r="F1106" s="3" t="str">
        <f>VLOOKUP(E1106,Countries!$B$3:$C$140,2,FALSE)</f>
        <v>South America</v>
      </c>
      <c r="G1106" s="4">
        <v>8</v>
      </c>
      <c r="H1106" s="4">
        <v>13217346.345202498</v>
      </c>
    </row>
    <row r="1107" spans="2:8" x14ac:dyDescent="0.2">
      <c r="B1107" s="3" t="s">
        <v>140</v>
      </c>
      <c r="C1107" s="3" t="s">
        <v>53</v>
      </c>
      <c r="D1107" s="3" t="str">
        <f>VLOOKUP(C1107,Countries!$B$3:$C$140,2,FALSE)</f>
        <v>Europe</v>
      </c>
      <c r="E1107" s="3" t="s">
        <v>33</v>
      </c>
      <c r="F1107" s="3" t="str">
        <f>VLOOKUP(E1107,Countries!$B$3:$C$140,2,FALSE)</f>
        <v>North America</v>
      </c>
      <c r="G1107" s="4">
        <v>4</v>
      </c>
      <c r="H1107" s="4">
        <v>0</v>
      </c>
    </row>
    <row r="1108" spans="2:8" x14ac:dyDescent="0.2">
      <c r="B1108" s="3" t="s">
        <v>140</v>
      </c>
      <c r="C1108" s="3" t="s">
        <v>53</v>
      </c>
      <c r="D1108" s="3" t="str">
        <f>VLOOKUP(C1108,Countries!$B$3:$C$140,2,FALSE)</f>
        <v>Europe</v>
      </c>
      <c r="E1108" s="3" t="s">
        <v>86</v>
      </c>
      <c r="F1108" s="3" t="str">
        <f>VLOOKUP(E1108,Countries!$B$3:$C$140,2,FALSE)</f>
        <v>Europe</v>
      </c>
      <c r="G1108" s="4">
        <v>2</v>
      </c>
      <c r="H1108" s="4">
        <v>0</v>
      </c>
    </row>
    <row r="1109" spans="2:8" x14ac:dyDescent="0.2">
      <c r="B1109" s="3" t="s">
        <v>140</v>
      </c>
      <c r="C1109" s="3" t="s">
        <v>78</v>
      </c>
      <c r="D1109" s="3" t="str">
        <f>VLOOKUP(C1109,Countries!$B$3:$C$140,2,FALSE)</f>
        <v>Europe</v>
      </c>
      <c r="E1109" s="3" t="s">
        <v>50</v>
      </c>
      <c r="F1109" s="3" t="str">
        <f>VLOOKUP(E1109,Countries!$B$3:$C$140,2,FALSE)</f>
        <v>Europe</v>
      </c>
      <c r="G1109" s="4">
        <v>6</v>
      </c>
      <c r="H1109" s="4">
        <v>0</v>
      </c>
    </row>
    <row r="1110" spans="2:8" x14ac:dyDescent="0.2">
      <c r="B1110" s="3" t="s">
        <v>140</v>
      </c>
      <c r="C1110" s="3" t="s">
        <v>78</v>
      </c>
      <c r="D1110" s="3" t="str">
        <f>VLOOKUP(C1110,Countries!$B$3:$C$140,2,FALSE)</f>
        <v>Europe</v>
      </c>
      <c r="E1110" s="3" t="s">
        <v>13</v>
      </c>
      <c r="F1110" s="3" t="str">
        <f>VLOOKUP(E1110,Countries!$B$3:$C$140,2,FALSE)</f>
        <v>Europe</v>
      </c>
      <c r="G1110" s="4">
        <v>2</v>
      </c>
      <c r="H1110" s="4">
        <v>0</v>
      </c>
    </row>
    <row r="1111" spans="2:8" x14ac:dyDescent="0.2">
      <c r="B1111" s="3" t="s">
        <v>140</v>
      </c>
      <c r="C1111" s="3" t="s">
        <v>78</v>
      </c>
      <c r="D1111" s="3" t="str">
        <f>VLOOKUP(C1111,Countries!$B$3:$C$140,2,FALSE)</f>
        <v>Europe</v>
      </c>
      <c r="E1111" s="3" t="s">
        <v>101</v>
      </c>
      <c r="F1111" s="3" t="str">
        <f>VLOOKUP(E1111,Countries!$B$3:$C$140,2,FALSE)</f>
        <v>Europe</v>
      </c>
      <c r="G1111" s="4">
        <v>34</v>
      </c>
      <c r="H1111" s="4">
        <v>0</v>
      </c>
    </row>
    <row r="1112" spans="2:8" x14ac:dyDescent="0.2">
      <c r="B1112" s="3" t="s">
        <v>140</v>
      </c>
      <c r="C1112" s="3" t="s">
        <v>78</v>
      </c>
      <c r="D1112" s="3" t="str">
        <f>VLOOKUP(C1112,Countries!$B$3:$C$140,2,FALSE)</f>
        <v>Europe</v>
      </c>
      <c r="E1112" s="3" t="s">
        <v>55</v>
      </c>
      <c r="F1112" s="3" t="str">
        <f>VLOOKUP(E1112,Countries!$B$3:$C$140,2,FALSE)</f>
        <v>Europe</v>
      </c>
      <c r="G1112" s="4">
        <v>10</v>
      </c>
      <c r="H1112" s="4">
        <v>0</v>
      </c>
    </row>
    <row r="1113" spans="2:8" x14ac:dyDescent="0.2">
      <c r="B1113" s="3" t="s">
        <v>140</v>
      </c>
      <c r="C1113" s="3" t="s">
        <v>44</v>
      </c>
      <c r="D1113" s="3" t="str">
        <f>VLOOKUP(C1113,Countries!$B$3:$C$140,2,FALSE)</f>
        <v>Europe</v>
      </c>
      <c r="E1113" s="3" t="s">
        <v>35</v>
      </c>
      <c r="F1113" s="3" t="str">
        <f>VLOOKUP(E1113,Countries!$B$3:$C$140,2,FALSE)</f>
        <v>Europe</v>
      </c>
      <c r="G1113" s="4">
        <v>6</v>
      </c>
      <c r="H1113" s="4">
        <v>391475.60167469998</v>
      </c>
    </row>
    <row r="1114" spans="2:8" x14ac:dyDescent="0.2">
      <c r="B1114" s="3" t="s">
        <v>140</v>
      </c>
      <c r="C1114" s="3" t="s">
        <v>44</v>
      </c>
      <c r="D1114" s="3" t="str">
        <f>VLOOKUP(C1114,Countries!$B$3:$C$140,2,FALSE)</f>
        <v>Europe</v>
      </c>
      <c r="E1114" s="3" t="s">
        <v>6</v>
      </c>
      <c r="F1114" s="3" t="str">
        <f>VLOOKUP(E1114,Countries!$B$3:$C$140,2,FALSE)</f>
        <v>Europe</v>
      </c>
      <c r="G1114" s="4">
        <v>2</v>
      </c>
      <c r="H1114" s="4">
        <v>0</v>
      </c>
    </row>
    <row r="1115" spans="2:8" x14ac:dyDescent="0.2">
      <c r="B1115" s="3" t="s">
        <v>140</v>
      </c>
      <c r="C1115" s="3" t="s">
        <v>44</v>
      </c>
      <c r="D1115" s="3" t="str">
        <f>VLOOKUP(C1115,Countries!$B$3:$C$140,2,FALSE)</f>
        <v>Europe</v>
      </c>
      <c r="E1115" s="3" t="s">
        <v>7</v>
      </c>
      <c r="F1115" s="3" t="str">
        <f>VLOOKUP(E1115,Countries!$B$3:$C$140,2,FALSE)</f>
        <v>South America</v>
      </c>
      <c r="G1115" s="4">
        <v>2</v>
      </c>
      <c r="H1115" s="4">
        <v>0</v>
      </c>
    </row>
    <row r="1116" spans="2:8" x14ac:dyDescent="0.2">
      <c r="B1116" s="3" t="s">
        <v>140</v>
      </c>
      <c r="C1116" s="3" t="s">
        <v>44</v>
      </c>
      <c r="D1116" s="3" t="str">
        <f>VLOOKUP(C1116,Countries!$B$3:$C$140,2,FALSE)</f>
        <v>Europe</v>
      </c>
      <c r="E1116" s="3" t="s">
        <v>37</v>
      </c>
      <c r="F1116" s="3" t="str">
        <f>VLOOKUP(E1116,Countries!$B$3:$C$140,2,FALSE)</f>
        <v>Africa</v>
      </c>
      <c r="G1116" s="4">
        <v>6</v>
      </c>
      <c r="H1116" s="4">
        <v>546865.152</v>
      </c>
    </row>
    <row r="1117" spans="2:8" x14ac:dyDescent="0.2">
      <c r="B1117" s="3" t="s">
        <v>140</v>
      </c>
      <c r="C1117" s="3" t="s">
        <v>44</v>
      </c>
      <c r="D1117" s="3" t="str">
        <f>VLOOKUP(C1117,Countries!$B$3:$C$140,2,FALSE)</f>
        <v>Europe</v>
      </c>
      <c r="E1117" s="3" t="s">
        <v>125</v>
      </c>
      <c r="F1117" s="3" t="str">
        <f>VLOOKUP(E1117,Countries!$B$3:$C$140,2,FALSE)</f>
        <v>Africa</v>
      </c>
      <c r="G1117" s="4">
        <v>2</v>
      </c>
      <c r="H1117" s="4">
        <v>41014.886400000003</v>
      </c>
    </row>
    <row r="1118" spans="2:8" x14ac:dyDescent="0.2">
      <c r="B1118" s="3" t="s">
        <v>140</v>
      </c>
      <c r="C1118" s="3" t="s">
        <v>44</v>
      </c>
      <c r="D1118" s="3" t="str">
        <f>VLOOKUP(C1118,Countries!$B$3:$C$140,2,FALSE)</f>
        <v>Europe</v>
      </c>
      <c r="E1118" s="3" t="s">
        <v>61</v>
      </c>
      <c r="F1118" s="3" t="str">
        <f>VLOOKUP(E1118,Countries!$B$3:$C$140,2,FALSE)</f>
        <v>North America</v>
      </c>
      <c r="G1118" s="4">
        <v>4</v>
      </c>
      <c r="H1118" s="4">
        <v>450000</v>
      </c>
    </row>
    <row r="1119" spans="2:8" x14ac:dyDescent="0.2">
      <c r="B1119" s="3" t="s">
        <v>140</v>
      </c>
      <c r="C1119" s="3" t="s">
        <v>44</v>
      </c>
      <c r="D1119" s="3" t="str">
        <f>VLOOKUP(C1119,Countries!$B$3:$C$140,2,FALSE)</f>
        <v>Europe</v>
      </c>
      <c r="E1119" s="3" t="s">
        <v>49</v>
      </c>
      <c r="F1119" s="3" t="str">
        <f>VLOOKUP(E1119,Countries!$B$3:$C$140,2,FALSE)</f>
        <v>Europe</v>
      </c>
      <c r="G1119" s="4">
        <v>4</v>
      </c>
      <c r="H1119" s="4">
        <v>3632247.8505899999</v>
      </c>
    </row>
    <row r="1120" spans="2:8" x14ac:dyDescent="0.2">
      <c r="B1120" s="3" t="s">
        <v>140</v>
      </c>
      <c r="C1120" s="3" t="s">
        <v>44</v>
      </c>
      <c r="D1120" s="3" t="str">
        <f>VLOOKUP(C1120,Countries!$B$3:$C$140,2,FALSE)</f>
        <v>Europe</v>
      </c>
      <c r="E1120" s="3" t="s">
        <v>10</v>
      </c>
      <c r="F1120" s="3" t="str">
        <f>VLOOKUP(E1120,Countries!$B$3:$C$140,2,FALSE)</f>
        <v>Europe</v>
      </c>
      <c r="G1120" s="4">
        <v>20</v>
      </c>
      <c r="H1120" s="4">
        <v>3094942.53516</v>
      </c>
    </row>
    <row r="1121" spans="2:8" x14ac:dyDescent="0.2">
      <c r="B1121" s="3" t="s">
        <v>140</v>
      </c>
      <c r="C1121" s="3" t="s">
        <v>44</v>
      </c>
      <c r="D1121" s="3" t="str">
        <f>VLOOKUP(C1121,Countries!$B$3:$C$140,2,FALSE)</f>
        <v>Europe</v>
      </c>
      <c r="E1121" s="3" t="s">
        <v>50</v>
      </c>
      <c r="F1121" s="3" t="str">
        <f>VLOOKUP(E1121,Countries!$B$3:$C$140,2,FALSE)</f>
        <v>Europe</v>
      </c>
      <c r="G1121" s="4">
        <v>16</v>
      </c>
      <c r="H1121" s="4">
        <v>13671.6288</v>
      </c>
    </row>
    <row r="1122" spans="2:8" x14ac:dyDescent="0.2">
      <c r="B1122" s="3" t="s">
        <v>140</v>
      </c>
      <c r="C1122" s="3" t="s">
        <v>44</v>
      </c>
      <c r="D1122" s="3" t="str">
        <f>VLOOKUP(C1122,Countries!$B$3:$C$140,2,FALSE)</f>
        <v>Europe</v>
      </c>
      <c r="E1122" s="3" t="s">
        <v>11</v>
      </c>
      <c r="F1122" s="3" t="str">
        <f>VLOOKUP(E1122,Countries!$B$3:$C$140,2,FALSE)</f>
        <v>Europe</v>
      </c>
      <c r="G1122" s="4">
        <v>10</v>
      </c>
      <c r="H1122" s="4">
        <v>0</v>
      </c>
    </row>
    <row r="1123" spans="2:8" x14ac:dyDescent="0.2">
      <c r="B1123" s="3" t="s">
        <v>140</v>
      </c>
      <c r="C1123" s="3" t="s">
        <v>44</v>
      </c>
      <c r="D1123" s="3" t="str">
        <f>VLOOKUP(C1123,Countries!$B$3:$C$140,2,FALSE)</f>
        <v>Europe</v>
      </c>
      <c r="E1123" s="3" t="s">
        <v>38</v>
      </c>
      <c r="F1123" s="3" t="str">
        <f>VLOOKUP(E1123,Countries!$B$3:$C$140,2,FALSE)</f>
        <v>Europe</v>
      </c>
      <c r="G1123" s="4">
        <v>10</v>
      </c>
      <c r="H1123" s="4">
        <v>847524.498471</v>
      </c>
    </row>
    <row r="1124" spans="2:8" x14ac:dyDescent="0.2">
      <c r="B1124" s="3" t="s">
        <v>140</v>
      </c>
      <c r="C1124" s="3" t="s">
        <v>44</v>
      </c>
      <c r="D1124" s="3" t="str">
        <f>VLOOKUP(C1124,Countries!$B$3:$C$140,2,FALSE)</f>
        <v>Europe</v>
      </c>
      <c r="E1124" s="3" t="s">
        <v>73</v>
      </c>
      <c r="F1124" s="3" t="str">
        <f>VLOOKUP(E1124,Countries!$B$3:$C$140,2,FALSE)</f>
        <v>Europe</v>
      </c>
      <c r="G1124" s="4">
        <v>6</v>
      </c>
      <c r="H1124" s="4">
        <v>0</v>
      </c>
    </row>
    <row r="1125" spans="2:8" x14ac:dyDescent="0.2">
      <c r="B1125" s="3" t="s">
        <v>140</v>
      </c>
      <c r="C1125" s="3" t="s">
        <v>44</v>
      </c>
      <c r="D1125" s="3" t="str">
        <f>VLOOKUP(C1125,Countries!$B$3:$C$140,2,FALSE)</f>
        <v>Europe</v>
      </c>
      <c r="E1125" s="3" t="s">
        <v>12</v>
      </c>
      <c r="F1125" s="3" t="str">
        <f>VLOOKUP(E1125,Countries!$B$3:$C$140,2,FALSE)</f>
        <v>Europe</v>
      </c>
      <c r="G1125" s="4">
        <v>2</v>
      </c>
      <c r="H1125" s="4">
        <v>0</v>
      </c>
    </row>
    <row r="1126" spans="2:8" x14ac:dyDescent="0.2">
      <c r="B1126" s="3" t="s">
        <v>140</v>
      </c>
      <c r="C1126" s="3" t="s">
        <v>44</v>
      </c>
      <c r="D1126" s="3" t="str">
        <f>VLOOKUP(C1126,Countries!$B$3:$C$140,2,FALSE)</f>
        <v>Europe</v>
      </c>
      <c r="E1126" s="3" t="s">
        <v>13</v>
      </c>
      <c r="F1126" s="3" t="str">
        <f>VLOOKUP(E1126,Countries!$B$3:$C$140,2,FALSE)</f>
        <v>Europe</v>
      </c>
      <c r="G1126" s="4">
        <v>4</v>
      </c>
      <c r="H1126" s="4">
        <v>4.0358309451000007</v>
      </c>
    </row>
    <row r="1127" spans="2:8" x14ac:dyDescent="0.2">
      <c r="B1127" s="3" t="s">
        <v>140</v>
      </c>
      <c r="C1127" s="3" t="s">
        <v>44</v>
      </c>
      <c r="D1127" s="3" t="str">
        <f>VLOOKUP(C1127,Countries!$B$3:$C$140,2,FALSE)</f>
        <v>Europe</v>
      </c>
      <c r="E1127" s="3" t="s">
        <v>14</v>
      </c>
      <c r="F1127" s="3" t="str">
        <f>VLOOKUP(E1127,Countries!$B$3:$C$140,2,FALSE)</f>
        <v>Europe</v>
      </c>
      <c r="G1127" s="4">
        <v>4</v>
      </c>
      <c r="H1127" s="4">
        <v>0</v>
      </c>
    </row>
    <row r="1128" spans="2:8" x14ac:dyDescent="0.2">
      <c r="B1128" s="3" t="s">
        <v>140</v>
      </c>
      <c r="C1128" s="3" t="s">
        <v>44</v>
      </c>
      <c r="D1128" s="3" t="str">
        <f>VLOOKUP(C1128,Countries!$B$3:$C$140,2,FALSE)</f>
        <v>Europe</v>
      </c>
      <c r="E1128" s="3" t="s">
        <v>74</v>
      </c>
      <c r="F1128" s="3" t="str">
        <f>VLOOKUP(E1128,Countries!$B$3:$C$140,2,FALSE)</f>
        <v>Asia</v>
      </c>
      <c r="G1128" s="4">
        <v>2</v>
      </c>
      <c r="H1128" s="4">
        <v>0</v>
      </c>
    </row>
    <row r="1129" spans="2:8" x14ac:dyDescent="0.2">
      <c r="B1129" s="3" t="s">
        <v>140</v>
      </c>
      <c r="C1129" s="3" t="s">
        <v>44</v>
      </c>
      <c r="D1129" s="3" t="str">
        <f>VLOOKUP(C1129,Countries!$B$3:$C$140,2,FALSE)</f>
        <v>Europe</v>
      </c>
      <c r="E1129" s="3" t="s">
        <v>75</v>
      </c>
      <c r="F1129" s="3" t="str">
        <f>VLOOKUP(E1129,Countries!$B$3:$C$140,2,FALSE)</f>
        <v>Europe</v>
      </c>
      <c r="G1129" s="4">
        <v>20</v>
      </c>
      <c r="H1129" s="4">
        <v>814835.47644390003</v>
      </c>
    </row>
    <row r="1130" spans="2:8" x14ac:dyDescent="0.2">
      <c r="B1130" s="3" t="s">
        <v>140</v>
      </c>
      <c r="C1130" s="3" t="s">
        <v>44</v>
      </c>
      <c r="D1130" s="3" t="str">
        <f>VLOOKUP(C1130,Countries!$B$3:$C$140,2,FALSE)</f>
        <v>Europe</v>
      </c>
      <c r="E1130" s="3" t="s">
        <v>17</v>
      </c>
      <c r="F1130" s="3" t="str">
        <f>VLOOKUP(E1130,Countries!$B$3:$C$140,2,FALSE)</f>
        <v>Europe</v>
      </c>
      <c r="G1130" s="4">
        <v>6</v>
      </c>
      <c r="H1130" s="4">
        <v>1412540.830785</v>
      </c>
    </row>
    <row r="1131" spans="2:8" x14ac:dyDescent="0.2">
      <c r="B1131" s="3" t="s">
        <v>140</v>
      </c>
      <c r="C1131" s="3" t="s">
        <v>44</v>
      </c>
      <c r="D1131" s="3" t="str">
        <f>VLOOKUP(C1131,Countries!$B$3:$C$140,2,FALSE)</f>
        <v>Europe</v>
      </c>
      <c r="E1131" s="3" t="s">
        <v>102</v>
      </c>
      <c r="F1131" s="3" t="str">
        <f>VLOOKUP(E1131,Countries!$B$3:$C$140,2,FALSE)</f>
        <v>North America</v>
      </c>
      <c r="G1131" s="4">
        <v>2</v>
      </c>
      <c r="H1131" s="4">
        <v>825000</v>
      </c>
    </row>
    <row r="1132" spans="2:8" x14ac:dyDescent="0.2">
      <c r="B1132" s="3" t="s">
        <v>140</v>
      </c>
      <c r="C1132" s="3" t="s">
        <v>44</v>
      </c>
      <c r="D1132" s="3" t="str">
        <f>VLOOKUP(C1132,Countries!$B$3:$C$140,2,FALSE)</f>
        <v>Europe</v>
      </c>
      <c r="E1132" s="3" t="s">
        <v>40</v>
      </c>
      <c r="F1132" s="3" t="str">
        <f>VLOOKUP(E1132,Countries!$B$3:$C$140,2,FALSE)</f>
        <v>Asia</v>
      </c>
      <c r="G1132" s="4">
        <v>2</v>
      </c>
      <c r="H1132" s="4">
        <v>0</v>
      </c>
    </row>
    <row r="1133" spans="2:8" x14ac:dyDescent="0.2">
      <c r="B1133" s="3" t="s">
        <v>140</v>
      </c>
      <c r="C1133" s="3" t="s">
        <v>44</v>
      </c>
      <c r="D1133" s="3" t="str">
        <f>VLOOKUP(C1133,Countries!$B$3:$C$140,2,FALSE)</f>
        <v>Europe</v>
      </c>
      <c r="E1133" s="3" t="s">
        <v>43</v>
      </c>
      <c r="F1133" s="3" t="str">
        <f>VLOOKUP(E1133,Countries!$B$3:$C$140,2,FALSE)</f>
        <v>Europe</v>
      </c>
      <c r="G1133" s="4">
        <v>2</v>
      </c>
      <c r="H1133" s="4">
        <v>0</v>
      </c>
    </row>
    <row r="1134" spans="2:8" x14ac:dyDescent="0.2">
      <c r="B1134" s="3" t="s">
        <v>140</v>
      </c>
      <c r="C1134" s="3" t="s">
        <v>44</v>
      </c>
      <c r="D1134" s="3" t="str">
        <f>VLOOKUP(C1134,Countries!$B$3:$C$140,2,FALSE)</f>
        <v>Europe</v>
      </c>
      <c r="E1134" s="3" t="s">
        <v>22</v>
      </c>
      <c r="F1134" s="3" t="str">
        <f>VLOOKUP(E1134,Countries!$B$3:$C$140,2,FALSE)</f>
        <v>Europe</v>
      </c>
      <c r="G1134" s="4">
        <v>2</v>
      </c>
      <c r="H1134" s="4">
        <v>0</v>
      </c>
    </row>
    <row r="1135" spans="2:8" x14ac:dyDescent="0.2">
      <c r="B1135" s="3" t="s">
        <v>140</v>
      </c>
      <c r="C1135" s="3" t="s">
        <v>44</v>
      </c>
      <c r="D1135" s="3" t="str">
        <f>VLOOKUP(C1135,Countries!$B$3:$C$140,2,FALSE)</f>
        <v>Europe</v>
      </c>
      <c r="E1135" s="3" t="s">
        <v>53</v>
      </c>
      <c r="F1135" s="3" t="str">
        <f>VLOOKUP(E1135,Countries!$B$3:$C$140,2,FALSE)</f>
        <v>Europe</v>
      </c>
      <c r="G1135" s="4">
        <v>4</v>
      </c>
      <c r="H1135" s="4">
        <v>0</v>
      </c>
    </row>
    <row r="1136" spans="2:8" x14ac:dyDescent="0.2">
      <c r="B1136" s="3" t="s">
        <v>140</v>
      </c>
      <c r="C1136" s="3" t="s">
        <v>44</v>
      </c>
      <c r="D1136" s="3" t="str">
        <f>VLOOKUP(C1136,Countries!$B$3:$C$140,2,FALSE)</f>
        <v>Europe</v>
      </c>
      <c r="E1136" s="3" t="s">
        <v>24</v>
      </c>
      <c r="F1136" s="3" t="str">
        <f>VLOOKUP(E1136,Countries!$B$3:$C$140,2,FALSE)</f>
        <v>Africa</v>
      </c>
      <c r="G1136" s="4">
        <v>12</v>
      </c>
      <c r="H1136" s="4">
        <v>2387345.3437454998</v>
      </c>
    </row>
    <row r="1137" spans="2:8" x14ac:dyDescent="0.2">
      <c r="B1137" s="3" t="s">
        <v>140</v>
      </c>
      <c r="C1137" s="3" t="s">
        <v>44</v>
      </c>
      <c r="D1137" s="3" t="str">
        <f>VLOOKUP(C1137,Countries!$B$3:$C$140,2,FALSE)</f>
        <v>Europe</v>
      </c>
      <c r="E1137" s="3" t="s">
        <v>79</v>
      </c>
      <c r="F1137" s="3" t="str">
        <f>VLOOKUP(E1137,Countries!$B$3:$C$140,2,FALSE)</f>
        <v>South America</v>
      </c>
      <c r="G1137" s="4">
        <v>2</v>
      </c>
      <c r="H1137" s="4">
        <v>300000</v>
      </c>
    </row>
    <row r="1138" spans="2:8" x14ac:dyDescent="0.2">
      <c r="B1138" s="3" t="s">
        <v>140</v>
      </c>
      <c r="C1138" s="3" t="s">
        <v>44</v>
      </c>
      <c r="D1138" s="3" t="str">
        <f>VLOOKUP(C1138,Countries!$B$3:$C$140,2,FALSE)</f>
        <v>Europe</v>
      </c>
      <c r="E1138" s="3" t="s">
        <v>54</v>
      </c>
      <c r="F1138" s="3" t="str">
        <f>VLOOKUP(E1138,Countries!$B$3:$C$140,2,FALSE)</f>
        <v>Europe</v>
      </c>
      <c r="G1138" s="4">
        <v>6</v>
      </c>
      <c r="H1138" s="4">
        <v>1412540.830785</v>
      </c>
    </row>
    <row r="1139" spans="2:8" x14ac:dyDescent="0.2">
      <c r="B1139" s="3" t="s">
        <v>140</v>
      </c>
      <c r="C1139" s="3" t="s">
        <v>44</v>
      </c>
      <c r="D1139" s="3" t="str">
        <f>VLOOKUP(C1139,Countries!$B$3:$C$140,2,FALSE)</f>
        <v>Europe</v>
      </c>
      <c r="E1139" s="3" t="s">
        <v>82</v>
      </c>
      <c r="F1139" s="3" t="e">
        <f>VLOOKUP(E1139,Countries!$B$3:$C$140,2,FALSE)</f>
        <v>#N/A</v>
      </c>
      <c r="G1139" s="4">
        <v>2</v>
      </c>
      <c r="H1139" s="4">
        <v>0</v>
      </c>
    </row>
    <row r="1140" spans="2:8" x14ac:dyDescent="0.2">
      <c r="B1140" s="3" t="s">
        <v>140</v>
      </c>
      <c r="C1140" s="3" t="s">
        <v>44</v>
      </c>
      <c r="D1140" s="3" t="str">
        <f>VLOOKUP(C1140,Countries!$B$3:$C$140,2,FALSE)</f>
        <v>Europe</v>
      </c>
      <c r="E1140" s="3" t="s">
        <v>55</v>
      </c>
      <c r="F1140" s="3" t="str">
        <f>VLOOKUP(E1140,Countries!$B$3:$C$140,2,FALSE)</f>
        <v>Europe</v>
      </c>
      <c r="G1140" s="4">
        <v>2</v>
      </c>
      <c r="H1140" s="4">
        <v>928241.1173729999</v>
      </c>
    </row>
    <row r="1141" spans="2:8" x14ac:dyDescent="0.2">
      <c r="B1141" s="3" t="s">
        <v>140</v>
      </c>
      <c r="C1141" s="3" t="s">
        <v>44</v>
      </c>
      <c r="D1141" s="3" t="str">
        <f>VLOOKUP(C1141,Countries!$B$3:$C$140,2,FALSE)</f>
        <v>Europe</v>
      </c>
      <c r="E1141" s="3" t="s">
        <v>47</v>
      </c>
      <c r="F1141" s="3" t="str">
        <f>VLOOKUP(E1141,Countries!$B$3:$C$140,2,FALSE)</f>
        <v>Africa</v>
      </c>
      <c r="G1141" s="4">
        <v>18</v>
      </c>
      <c r="H1141" s="4">
        <v>2442283.0964272646</v>
      </c>
    </row>
    <row r="1142" spans="2:8" x14ac:dyDescent="0.2">
      <c r="B1142" s="3" t="s">
        <v>140</v>
      </c>
      <c r="C1142" s="3" t="s">
        <v>44</v>
      </c>
      <c r="D1142" s="3" t="str">
        <f>VLOOKUP(C1142,Countries!$B$3:$C$140,2,FALSE)</f>
        <v>Europe</v>
      </c>
      <c r="E1142" s="3" t="s">
        <v>28</v>
      </c>
      <c r="F1142" s="3" t="str">
        <f>VLOOKUP(E1142,Countries!$B$3:$C$140,2,FALSE)</f>
        <v>Europe</v>
      </c>
      <c r="G1142" s="4">
        <v>4</v>
      </c>
      <c r="H1142" s="4">
        <v>3269023.0655309996</v>
      </c>
    </row>
    <row r="1143" spans="2:8" x14ac:dyDescent="0.2">
      <c r="B1143" s="3" t="s">
        <v>140</v>
      </c>
      <c r="C1143" s="3" t="s">
        <v>44</v>
      </c>
      <c r="D1143" s="3" t="str">
        <f>VLOOKUP(C1143,Countries!$B$3:$C$140,2,FALSE)</f>
        <v>Europe</v>
      </c>
      <c r="E1143" s="3" t="s">
        <v>31</v>
      </c>
      <c r="F1143" s="3" t="str">
        <f>VLOOKUP(E1143,Countries!$B$3:$C$140,2,FALSE)</f>
        <v>Europe</v>
      </c>
      <c r="G1143" s="4">
        <v>32</v>
      </c>
      <c r="H1143" s="4">
        <v>8624012.6320500001</v>
      </c>
    </row>
    <row r="1144" spans="2:8" x14ac:dyDescent="0.2">
      <c r="B1144" s="3" t="s">
        <v>140</v>
      </c>
      <c r="C1144" s="3" t="s">
        <v>44</v>
      </c>
      <c r="D1144" s="3" t="str">
        <f>VLOOKUP(C1144,Countries!$B$3:$C$140,2,FALSE)</f>
        <v>Europe</v>
      </c>
      <c r="E1144" s="3" t="s">
        <v>104</v>
      </c>
      <c r="F1144" s="3" t="str">
        <f>VLOOKUP(E1144,Countries!$B$3:$C$140,2,FALSE)</f>
        <v>Africa</v>
      </c>
      <c r="G1144" s="4">
        <v>2</v>
      </c>
      <c r="H1144" s="4">
        <v>0</v>
      </c>
    </row>
    <row r="1145" spans="2:8" x14ac:dyDescent="0.2">
      <c r="B1145" s="3" t="s">
        <v>140</v>
      </c>
      <c r="C1145" s="3" t="s">
        <v>44</v>
      </c>
      <c r="D1145" s="3" t="str">
        <f>VLOOKUP(C1145,Countries!$B$3:$C$140,2,FALSE)</f>
        <v>Europe</v>
      </c>
      <c r="E1145" s="3" t="s">
        <v>57</v>
      </c>
      <c r="F1145" s="3" t="str">
        <f>VLOOKUP(E1145,Countries!$B$3:$C$140,2,FALSE)</f>
        <v>Europe/Asia</v>
      </c>
      <c r="G1145" s="4">
        <v>4</v>
      </c>
      <c r="H1145" s="4">
        <v>0</v>
      </c>
    </row>
    <row r="1146" spans="2:8" x14ac:dyDescent="0.2">
      <c r="B1146" s="3" t="s">
        <v>140</v>
      </c>
      <c r="C1146" s="3" t="s">
        <v>44</v>
      </c>
      <c r="D1146" s="3" t="str">
        <f>VLOOKUP(C1146,Countries!$B$3:$C$140,2,FALSE)</f>
        <v>Europe</v>
      </c>
      <c r="E1146" s="3" t="s">
        <v>58</v>
      </c>
      <c r="F1146" s="3" t="str">
        <f>VLOOKUP(E1146,Countries!$B$3:$C$140,2,FALSE)</f>
        <v>South America</v>
      </c>
      <c r="G1146" s="4">
        <v>4</v>
      </c>
      <c r="H1146" s="4">
        <v>90000</v>
      </c>
    </row>
    <row r="1147" spans="2:8" x14ac:dyDescent="0.2">
      <c r="B1147" s="3" t="s">
        <v>140</v>
      </c>
      <c r="C1147" s="3" t="s">
        <v>44</v>
      </c>
      <c r="D1147" s="3" t="str">
        <f>VLOOKUP(C1147,Countries!$B$3:$C$140,2,FALSE)</f>
        <v>Europe</v>
      </c>
      <c r="E1147" s="3" t="s">
        <v>33</v>
      </c>
      <c r="F1147" s="3" t="str">
        <f>VLOOKUP(E1147,Countries!$B$3:$C$140,2,FALSE)</f>
        <v>North America</v>
      </c>
      <c r="G1147" s="4">
        <v>12</v>
      </c>
      <c r="H1147" s="4">
        <v>0</v>
      </c>
    </row>
    <row r="1148" spans="2:8" x14ac:dyDescent="0.2">
      <c r="B1148" s="3" t="s">
        <v>140</v>
      </c>
      <c r="C1148" s="3" t="s">
        <v>54</v>
      </c>
      <c r="D1148" s="3" t="str">
        <f>VLOOKUP(C1148,Countries!$B$3:$C$140,2,FALSE)</f>
        <v>Europe</v>
      </c>
      <c r="E1148" s="3" t="s">
        <v>69</v>
      </c>
      <c r="F1148" s="3" t="str">
        <f>VLOOKUP(E1148,Countries!$B$3:$C$140,2,FALSE)</f>
        <v>South America</v>
      </c>
      <c r="G1148" s="4">
        <v>2</v>
      </c>
      <c r="H1148" s="4">
        <v>0</v>
      </c>
    </row>
    <row r="1149" spans="2:8" x14ac:dyDescent="0.2">
      <c r="B1149" s="3" t="s">
        <v>140</v>
      </c>
      <c r="C1149" s="3" t="s">
        <v>54</v>
      </c>
      <c r="D1149" s="3" t="str">
        <f>VLOOKUP(C1149,Countries!$B$3:$C$140,2,FALSE)</f>
        <v>Europe</v>
      </c>
      <c r="E1149" s="3" t="s">
        <v>34</v>
      </c>
      <c r="F1149" s="3" t="str">
        <f>VLOOKUP(E1149,Countries!$B$3:$C$140,2,FALSE)</f>
        <v>Asia</v>
      </c>
      <c r="G1149" s="4">
        <v>2</v>
      </c>
      <c r="H1149" s="4">
        <v>0</v>
      </c>
    </row>
    <row r="1150" spans="2:8" x14ac:dyDescent="0.2">
      <c r="B1150" s="3" t="s">
        <v>140</v>
      </c>
      <c r="C1150" s="3" t="s">
        <v>54</v>
      </c>
      <c r="D1150" s="3" t="str">
        <f>VLOOKUP(C1150,Countries!$B$3:$C$140,2,FALSE)</f>
        <v>Europe</v>
      </c>
      <c r="E1150" s="3" t="s">
        <v>3</v>
      </c>
      <c r="F1150" s="3" t="str">
        <f>VLOOKUP(E1150,Countries!$B$3:$C$140,2,FALSE)</f>
        <v>Europe</v>
      </c>
      <c r="G1150" s="4">
        <v>2</v>
      </c>
      <c r="H1150" s="4">
        <v>0</v>
      </c>
    </row>
    <row r="1151" spans="2:8" x14ac:dyDescent="0.2">
      <c r="B1151" s="3" t="s">
        <v>140</v>
      </c>
      <c r="C1151" s="3" t="s">
        <v>54</v>
      </c>
      <c r="D1151" s="3" t="str">
        <f>VLOOKUP(C1151,Countries!$B$3:$C$140,2,FALSE)</f>
        <v>Europe</v>
      </c>
      <c r="E1151" s="3" t="s">
        <v>4</v>
      </c>
      <c r="F1151" s="3" t="str">
        <f>VLOOKUP(E1151,Countries!$B$3:$C$140,2,FALSE)</f>
        <v>Asia</v>
      </c>
      <c r="G1151" s="4">
        <v>2</v>
      </c>
      <c r="H1151" s="4">
        <v>0</v>
      </c>
    </row>
    <row r="1152" spans="2:8" x14ac:dyDescent="0.2">
      <c r="B1152" s="3" t="s">
        <v>140</v>
      </c>
      <c r="C1152" s="3" t="s">
        <v>54</v>
      </c>
      <c r="D1152" s="3" t="str">
        <f>VLOOKUP(C1152,Countries!$B$3:$C$140,2,FALSE)</f>
        <v>Europe</v>
      </c>
      <c r="E1152" s="3" t="s">
        <v>35</v>
      </c>
      <c r="F1152" s="3" t="str">
        <f>VLOOKUP(E1152,Countries!$B$3:$C$140,2,FALSE)</f>
        <v>Europe</v>
      </c>
      <c r="G1152" s="4">
        <v>6</v>
      </c>
      <c r="H1152" s="4">
        <v>8051482.7354745008</v>
      </c>
    </row>
    <row r="1153" spans="2:8" x14ac:dyDescent="0.2">
      <c r="B1153" s="3" t="s">
        <v>140</v>
      </c>
      <c r="C1153" s="3" t="s">
        <v>54</v>
      </c>
      <c r="D1153" s="3" t="str">
        <f>VLOOKUP(C1153,Countries!$B$3:$C$140,2,FALSE)</f>
        <v>Europe</v>
      </c>
      <c r="E1153" s="3" t="s">
        <v>59</v>
      </c>
      <c r="F1153" s="3" t="str">
        <f>VLOOKUP(E1153,Countries!$B$3:$C$140,2,FALSE)</f>
        <v>Europe</v>
      </c>
      <c r="G1153" s="4">
        <v>14</v>
      </c>
      <c r="H1153" s="4">
        <v>300000</v>
      </c>
    </row>
    <row r="1154" spans="2:8" x14ac:dyDescent="0.2">
      <c r="B1154" s="3" t="s">
        <v>140</v>
      </c>
      <c r="C1154" s="3" t="s">
        <v>54</v>
      </c>
      <c r="D1154" s="3" t="str">
        <f>VLOOKUP(C1154,Countries!$B$3:$C$140,2,FALSE)</f>
        <v>Europe</v>
      </c>
      <c r="E1154" s="3" t="s">
        <v>7</v>
      </c>
      <c r="F1154" s="3" t="str">
        <f>VLOOKUP(E1154,Countries!$B$3:$C$140,2,FALSE)</f>
        <v>South America</v>
      </c>
      <c r="G1154" s="4">
        <v>20</v>
      </c>
      <c r="H1154" s="4">
        <v>0</v>
      </c>
    </row>
    <row r="1155" spans="2:8" x14ac:dyDescent="0.2">
      <c r="B1155" s="3" t="s">
        <v>140</v>
      </c>
      <c r="C1155" s="3" t="s">
        <v>54</v>
      </c>
      <c r="D1155" s="3" t="str">
        <f>VLOOKUP(C1155,Countries!$B$3:$C$140,2,FALSE)</f>
        <v>Europe</v>
      </c>
      <c r="E1155" s="3" t="s">
        <v>36</v>
      </c>
      <c r="F1155" s="3" t="str">
        <f>VLOOKUP(E1155,Countries!$B$3:$C$140,2,FALSE)</f>
        <v>Europe</v>
      </c>
      <c r="G1155" s="4">
        <v>10</v>
      </c>
      <c r="H1155" s="4">
        <v>1210749.2835300001</v>
      </c>
    </row>
    <row r="1156" spans="2:8" x14ac:dyDescent="0.2">
      <c r="B1156" s="3" t="s">
        <v>140</v>
      </c>
      <c r="C1156" s="3" t="s">
        <v>54</v>
      </c>
      <c r="D1156" s="3" t="str">
        <f>VLOOKUP(C1156,Countries!$B$3:$C$140,2,FALSE)</f>
        <v>Europe</v>
      </c>
      <c r="E1156" s="3" t="s">
        <v>8</v>
      </c>
      <c r="F1156" s="3" t="str">
        <f>VLOOKUP(E1156,Countries!$B$3:$C$140,2,FALSE)</f>
        <v>North America</v>
      </c>
      <c r="G1156" s="4">
        <v>4</v>
      </c>
      <c r="H1156" s="4">
        <v>0</v>
      </c>
    </row>
    <row r="1157" spans="2:8" x14ac:dyDescent="0.2">
      <c r="B1157" s="3" t="s">
        <v>140</v>
      </c>
      <c r="C1157" s="3" t="s">
        <v>54</v>
      </c>
      <c r="D1157" s="3" t="str">
        <f>VLOOKUP(C1157,Countries!$B$3:$C$140,2,FALSE)</f>
        <v>Europe</v>
      </c>
      <c r="E1157" s="3" t="s">
        <v>106</v>
      </c>
      <c r="F1157" s="3" t="str">
        <f>VLOOKUP(E1157,Countries!$B$3:$C$140,2,FALSE)</f>
        <v>Africa</v>
      </c>
      <c r="G1157" s="4">
        <v>2</v>
      </c>
      <c r="H1157" s="4">
        <v>0</v>
      </c>
    </row>
    <row r="1158" spans="2:8" x14ac:dyDescent="0.2">
      <c r="B1158" s="3" t="s">
        <v>140</v>
      </c>
      <c r="C1158" s="3" t="s">
        <v>54</v>
      </c>
      <c r="D1158" s="3" t="str">
        <f>VLOOKUP(C1158,Countries!$B$3:$C$140,2,FALSE)</f>
        <v>Europe</v>
      </c>
      <c r="E1158" s="3" t="s">
        <v>9</v>
      </c>
      <c r="F1158" s="3" t="str">
        <f>VLOOKUP(E1158,Countries!$B$3:$C$140,2,FALSE)</f>
        <v>Europe</v>
      </c>
      <c r="G1158" s="4">
        <v>4</v>
      </c>
      <c r="H1158" s="4">
        <v>0</v>
      </c>
    </row>
    <row r="1159" spans="2:8" x14ac:dyDescent="0.2">
      <c r="B1159" s="3" t="s">
        <v>140</v>
      </c>
      <c r="C1159" s="3" t="s">
        <v>54</v>
      </c>
      <c r="D1159" s="3" t="str">
        <f>VLOOKUP(C1159,Countries!$B$3:$C$140,2,FALSE)</f>
        <v>Europe</v>
      </c>
      <c r="E1159" s="3" t="s">
        <v>62</v>
      </c>
      <c r="F1159" s="3" t="str">
        <f>VLOOKUP(E1159,Countries!$B$3:$C$140,2,FALSE)</f>
        <v>Asia</v>
      </c>
      <c r="G1159" s="4">
        <v>26</v>
      </c>
      <c r="H1159" s="4">
        <v>0</v>
      </c>
    </row>
    <row r="1160" spans="2:8" x14ac:dyDescent="0.2">
      <c r="B1160" s="3" t="s">
        <v>140</v>
      </c>
      <c r="C1160" s="3" t="s">
        <v>54</v>
      </c>
      <c r="D1160" s="3" t="str">
        <f>VLOOKUP(C1160,Countries!$B$3:$C$140,2,FALSE)</f>
        <v>Europe</v>
      </c>
      <c r="E1160" s="3" t="s">
        <v>49</v>
      </c>
      <c r="F1160" s="3" t="str">
        <f>VLOOKUP(E1160,Countries!$B$3:$C$140,2,FALSE)</f>
        <v>Europe</v>
      </c>
      <c r="G1160" s="4">
        <v>16</v>
      </c>
      <c r="H1160" s="4">
        <v>1331824.2118829999</v>
      </c>
    </row>
    <row r="1161" spans="2:8" x14ac:dyDescent="0.2">
      <c r="B1161" s="3" t="s">
        <v>140</v>
      </c>
      <c r="C1161" s="3" t="s">
        <v>54</v>
      </c>
      <c r="D1161" s="3" t="str">
        <f>VLOOKUP(C1161,Countries!$B$3:$C$140,2,FALSE)</f>
        <v>Europe</v>
      </c>
      <c r="E1161" s="3" t="s">
        <v>50</v>
      </c>
      <c r="F1161" s="3" t="str">
        <f>VLOOKUP(E1161,Countries!$B$3:$C$140,2,FALSE)</f>
        <v>Europe</v>
      </c>
      <c r="G1161" s="4">
        <v>4</v>
      </c>
      <c r="H1161" s="4">
        <v>0</v>
      </c>
    </row>
    <row r="1162" spans="2:8" x14ac:dyDescent="0.2">
      <c r="B1162" s="3" t="s">
        <v>140</v>
      </c>
      <c r="C1162" s="3" t="s">
        <v>54</v>
      </c>
      <c r="D1162" s="3" t="str">
        <f>VLOOKUP(C1162,Countries!$B$3:$C$140,2,FALSE)</f>
        <v>Europe</v>
      </c>
      <c r="E1162" s="3" t="s">
        <v>11</v>
      </c>
      <c r="F1162" s="3" t="str">
        <f>VLOOKUP(E1162,Countries!$B$3:$C$140,2,FALSE)</f>
        <v>Europe</v>
      </c>
      <c r="G1162" s="4">
        <v>12</v>
      </c>
      <c r="H1162" s="4">
        <v>0</v>
      </c>
    </row>
    <row r="1163" spans="2:8" x14ac:dyDescent="0.2">
      <c r="B1163" s="3" t="s">
        <v>140</v>
      </c>
      <c r="C1163" s="3" t="s">
        <v>54</v>
      </c>
      <c r="D1163" s="3" t="str">
        <f>VLOOKUP(C1163,Countries!$B$3:$C$140,2,FALSE)</f>
        <v>Europe</v>
      </c>
      <c r="E1163" s="3" t="s">
        <v>38</v>
      </c>
      <c r="F1163" s="3" t="str">
        <f>VLOOKUP(E1163,Countries!$B$3:$C$140,2,FALSE)</f>
        <v>Europe</v>
      </c>
      <c r="G1163" s="4">
        <v>2</v>
      </c>
      <c r="H1163" s="4">
        <v>0</v>
      </c>
    </row>
    <row r="1164" spans="2:8" x14ac:dyDescent="0.2">
      <c r="B1164" s="3" t="s">
        <v>140</v>
      </c>
      <c r="C1164" s="3" t="s">
        <v>54</v>
      </c>
      <c r="D1164" s="3" t="str">
        <f>VLOOKUP(C1164,Countries!$B$3:$C$140,2,FALSE)</f>
        <v>Europe</v>
      </c>
      <c r="E1164" s="3" t="s">
        <v>12</v>
      </c>
      <c r="F1164" s="3" t="str">
        <f>VLOOKUP(E1164,Countries!$B$3:$C$140,2,FALSE)</f>
        <v>Europe</v>
      </c>
      <c r="G1164" s="4">
        <v>4</v>
      </c>
      <c r="H1164" s="4">
        <v>0</v>
      </c>
    </row>
    <row r="1165" spans="2:8" x14ac:dyDescent="0.2">
      <c r="B1165" s="3" t="s">
        <v>140</v>
      </c>
      <c r="C1165" s="3" t="s">
        <v>54</v>
      </c>
      <c r="D1165" s="3" t="str">
        <f>VLOOKUP(C1165,Countries!$B$3:$C$140,2,FALSE)</f>
        <v>Europe</v>
      </c>
      <c r="E1165" s="3" t="s">
        <v>39</v>
      </c>
      <c r="F1165" s="3" t="str">
        <f>VLOOKUP(E1165,Countries!$B$3:$C$140,2,FALSE)</f>
        <v>Europe/Asia</v>
      </c>
      <c r="G1165" s="4">
        <v>8</v>
      </c>
      <c r="H1165" s="4">
        <v>1513436.6044125</v>
      </c>
    </row>
    <row r="1166" spans="2:8" x14ac:dyDescent="0.2">
      <c r="B1166" s="3" t="s">
        <v>140</v>
      </c>
      <c r="C1166" s="3" t="s">
        <v>54</v>
      </c>
      <c r="D1166" s="3" t="str">
        <f>VLOOKUP(C1166,Countries!$B$3:$C$140,2,FALSE)</f>
        <v>Europe</v>
      </c>
      <c r="E1166" s="3" t="s">
        <v>13</v>
      </c>
      <c r="F1166" s="3" t="str">
        <f>VLOOKUP(E1166,Countries!$B$3:$C$140,2,FALSE)</f>
        <v>Europe</v>
      </c>
      <c r="G1166" s="4">
        <v>18</v>
      </c>
      <c r="H1166" s="4">
        <v>0</v>
      </c>
    </row>
    <row r="1167" spans="2:8" x14ac:dyDescent="0.2">
      <c r="B1167" s="3" t="s">
        <v>140</v>
      </c>
      <c r="C1167" s="3" t="s">
        <v>54</v>
      </c>
      <c r="D1167" s="3" t="str">
        <f>VLOOKUP(C1167,Countries!$B$3:$C$140,2,FALSE)</f>
        <v>Europe</v>
      </c>
      <c r="E1167" s="3" t="s">
        <v>64</v>
      </c>
      <c r="F1167" s="3" t="str">
        <f>VLOOKUP(E1167,Countries!$B$3:$C$140,2,FALSE)</f>
        <v>Africa</v>
      </c>
      <c r="G1167" s="4">
        <v>2</v>
      </c>
      <c r="H1167" s="4">
        <v>100895.77362749999</v>
      </c>
    </row>
    <row r="1168" spans="2:8" x14ac:dyDescent="0.2">
      <c r="B1168" s="3" t="s">
        <v>140</v>
      </c>
      <c r="C1168" s="3" t="s">
        <v>54</v>
      </c>
      <c r="D1168" s="3" t="str">
        <f>VLOOKUP(C1168,Countries!$B$3:$C$140,2,FALSE)</f>
        <v>Europe</v>
      </c>
      <c r="E1168" s="3" t="s">
        <v>14</v>
      </c>
      <c r="F1168" s="3" t="str">
        <f>VLOOKUP(E1168,Countries!$B$3:$C$140,2,FALSE)</f>
        <v>Europe</v>
      </c>
      <c r="G1168" s="4">
        <v>22</v>
      </c>
      <c r="H1168" s="4">
        <v>0</v>
      </c>
    </row>
    <row r="1169" spans="2:8" x14ac:dyDescent="0.2">
      <c r="B1169" s="3" t="s">
        <v>140</v>
      </c>
      <c r="C1169" s="3" t="s">
        <v>54</v>
      </c>
      <c r="D1169" s="3" t="str">
        <f>VLOOKUP(C1169,Countries!$B$3:$C$140,2,FALSE)</f>
        <v>Europe</v>
      </c>
      <c r="E1169" s="3" t="s">
        <v>108</v>
      </c>
      <c r="F1169" s="3" t="str">
        <f>VLOOKUP(E1169,Countries!$B$3:$C$140,2,FALSE)</f>
        <v>North America</v>
      </c>
      <c r="G1169" s="4">
        <v>2</v>
      </c>
      <c r="H1169" s="4">
        <v>908061.96264749998</v>
      </c>
    </row>
    <row r="1170" spans="2:8" x14ac:dyDescent="0.2">
      <c r="B1170" s="3" t="s">
        <v>140</v>
      </c>
      <c r="C1170" s="3" t="s">
        <v>54</v>
      </c>
      <c r="D1170" s="3" t="str">
        <f>VLOOKUP(C1170,Countries!$B$3:$C$140,2,FALSE)</f>
        <v>Europe</v>
      </c>
      <c r="E1170" s="3" t="s">
        <v>15</v>
      </c>
      <c r="F1170" s="3" t="str">
        <f>VLOOKUP(E1170,Countries!$B$3:$C$140,2,FALSE)</f>
        <v>Europe</v>
      </c>
      <c r="G1170" s="4">
        <v>2</v>
      </c>
      <c r="H1170" s="4">
        <v>0</v>
      </c>
    </row>
    <row r="1171" spans="2:8" x14ac:dyDescent="0.2">
      <c r="B1171" s="3" t="s">
        <v>140</v>
      </c>
      <c r="C1171" s="3" t="s">
        <v>54</v>
      </c>
      <c r="D1171" s="3" t="str">
        <f>VLOOKUP(C1171,Countries!$B$3:$C$140,2,FALSE)</f>
        <v>Europe</v>
      </c>
      <c r="E1171" s="3" t="s">
        <v>51</v>
      </c>
      <c r="F1171" s="3" t="str">
        <f>VLOOKUP(E1171,Countries!$B$3:$C$140,2,FALSE)</f>
        <v>Asia</v>
      </c>
      <c r="G1171" s="4">
        <v>16</v>
      </c>
      <c r="H1171" s="4">
        <v>1917019.6989225</v>
      </c>
    </row>
    <row r="1172" spans="2:8" x14ac:dyDescent="0.2">
      <c r="B1172" s="3" t="s">
        <v>140</v>
      </c>
      <c r="C1172" s="3" t="s">
        <v>54</v>
      </c>
      <c r="D1172" s="3" t="str">
        <f>VLOOKUP(C1172,Countries!$B$3:$C$140,2,FALSE)</f>
        <v>Europe</v>
      </c>
      <c r="E1172" s="3" t="s">
        <v>17</v>
      </c>
      <c r="F1172" s="3" t="str">
        <f>VLOOKUP(E1172,Countries!$B$3:$C$140,2,FALSE)</f>
        <v>Europe</v>
      </c>
      <c r="G1172" s="4">
        <v>2</v>
      </c>
      <c r="H1172" s="4">
        <v>0</v>
      </c>
    </row>
    <row r="1173" spans="2:8" x14ac:dyDescent="0.2">
      <c r="B1173" s="3" t="s">
        <v>140</v>
      </c>
      <c r="C1173" s="3" t="s">
        <v>54</v>
      </c>
      <c r="D1173" s="3" t="str">
        <f>VLOOKUP(C1173,Countries!$B$3:$C$140,2,FALSE)</f>
        <v>Europe</v>
      </c>
      <c r="E1173" s="3" t="s">
        <v>92</v>
      </c>
      <c r="F1173" s="3" t="str">
        <f>VLOOKUP(E1173,Countries!$B$3:$C$140,2,FALSE)</f>
        <v>Asia</v>
      </c>
      <c r="G1173" s="4">
        <v>2</v>
      </c>
      <c r="H1173" s="4">
        <v>0</v>
      </c>
    </row>
    <row r="1174" spans="2:8" x14ac:dyDescent="0.2">
      <c r="B1174" s="3" t="s">
        <v>140</v>
      </c>
      <c r="C1174" s="3" t="s">
        <v>54</v>
      </c>
      <c r="D1174" s="3" t="str">
        <f>VLOOKUP(C1174,Countries!$B$3:$C$140,2,FALSE)</f>
        <v>Europe</v>
      </c>
      <c r="E1174" s="3" t="s">
        <v>66</v>
      </c>
      <c r="F1174" s="3" t="str">
        <f>VLOOKUP(E1174,Countries!$B$3:$C$140,2,FALSE)</f>
        <v>Europe</v>
      </c>
      <c r="G1174" s="4">
        <v>4</v>
      </c>
      <c r="H1174" s="4">
        <v>129550.17333771</v>
      </c>
    </row>
    <row r="1175" spans="2:8" x14ac:dyDescent="0.2">
      <c r="B1175" s="3" t="s">
        <v>140</v>
      </c>
      <c r="C1175" s="3" t="s">
        <v>54</v>
      </c>
      <c r="D1175" s="3" t="str">
        <f>VLOOKUP(C1175,Countries!$B$3:$C$140,2,FALSE)</f>
        <v>Europe</v>
      </c>
      <c r="E1175" s="3" t="s">
        <v>52</v>
      </c>
      <c r="F1175" s="3" t="str">
        <f>VLOOKUP(E1175,Countries!$B$3:$C$140,2,FALSE)</f>
        <v>Europe</v>
      </c>
      <c r="G1175" s="4">
        <v>6</v>
      </c>
      <c r="H1175" s="4">
        <v>0</v>
      </c>
    </row>
    <row r="1176" spans="2:8" x14ac:dyDescent="0.2">
      <c r="B1176" s="3" t="s">
        <v>140</v>
      </c>
      <c r="C1176" s="3" t="s">
        <v>54</v>
      </c>
      <c r="D1176" s="3" t="str">
        <f>VLOOKUP(C1176,Countries!$B$3:$C$140,2,FALSE)</f>
        <v>Europe</v>
      </c>
      <c r="E1176" s="3" t="s">
        <v>94</v>
      </c>
      <c r="F1176" s="3" t="str">
        <f>VLOOKUP(E1176,Countries!$B$3:$C$140,2,FALSE)</f>
        <v>North America</v>
      </c>
      <c r="G1176" s="4">
        <v>2</v>
      </c>
      <c r="H1176" s="4">
        <v>0</v>
      </c>
    </row>
    <row r="1177" spans="2:8" x14ac:dyDescent="0.2">
      <c r="B1177" s="3" t="s">
        <v>140</v>
      </c>
      <c r="C1177" s="3" t="s">
        <v>54</v>
      </c>
      <c r="D1177" s="3" t="str">
        <f>VLOOKUP(C1177,Countries!$B$3:$C$140,2,FALSE)</f>
        <v>Europe</v>
      </c>
      <c r="E1177" s="3" t="s">
        <v>21</v>
      </c>
      <c r="F1177" s="3" t="str">
        <f>VLOOKUP(E1177,Countries!$B$3:$C$140,2,FALSE)</f>
        <v>Europe</v>
      </c>
      <c r="G1177" s="4">
        <v>2</v>
      </c>
      <c r="H1177" s="4">
        <v>0</v>
      </c>
    </row>
    <row r="1178" spans="2:8" x14ac:dyDescent="0.2">
      <c r="B1178" s="3" t="s">
        <v>140</v>
      </c>
      <c r="C1178" s="3" t="s">
        <v>54</v>
      </c>
      <c r="D1178" s="3" t="str">
        <f>VLOOKUP(C1178,Countries!$B$3:$C$140,2,FALSE)</f>
        <v>Europe</v>
      </c>
      <c r="E1178" s="3" t="s">
        <v>22</v>
      </c>
      <c r="F1178" s="3" t="str">
        <f>VLOOKUP(E1178,Countries!$B$3:$C$140,2,FALSE)</f>
        <v>Europe</v>
      </c>
      <c r="G1178" s="4">
        <v>2</v>
      </c>
      <c r="H1178" s="4">
        <v>161433.237804</v>
      </c>
    </row>
    <row r="1179" spans="2:8" x14ac:dyDescent="0.2">
      <c r="B1179" s="3" t="s">
        <v>140</v>
      </c>
      <c r="C1179" s="3" t="s">
        <v>54</v>
      </c>
      <c r="D1179" s="3" t="str">
        <f>VLOOKUP(C1179,Countries!$B$3:$C$140,2,FALSE)</f>
        <v>Europe</v>
      </c>
      <c r="E1179" s="3" t="s">
        <v>23</v>
      </c>
      <c r="F1179" s="3" t="str">
        <f>VLOOKUP(E1179,Countries!$B$3:$C$140,2,FALSE)</f>
        <v>Europe</v>
      </c>
      <c r="G1179" s="4">
        <v>8</v>
      </c>
      <c r="H1179" s="4">
        <v>524658.02286299993</v>
      </c>
    </row>
    <row r="1180" spans="2:8" x14ac:dyDescent="0.2">
      <c r="B1180" s="3" t="s">
        <v>140</v>
      </c>
      <c r="C1180" s="3" t="s">
        <v>54</v>
      </c>
      <c r="D1180" s="3" t="str">
        <f>VLOOKUP(C1180,Countries!$B$3:$C$140,2,FALSE)</f>
        <v>Europe</v>
      </c>
      <c r="E1180" s="3" t="s">
        <v>53</v>
      </c>
      <c r="F1180" s="3" t="str">
        <f>VLOOKUP(E1180,Countries!$B$3:$C$140,2,FALSE)</f>
        <v>Europe</v>
      </c>
      <c r="G1180" s="4">
        <v>6</v>
      </c>
      <c r="H1180" s="4">
        <v>1004210.20383</v>
      </c>
    </row>
    <row r="1181" spans="2:8" x14ac:dyDescent="0.2">
      <c r="B1181" s="3" t="s">
        <v>140</v>
      </c>
      <c r="C1181" s="3" t="s">
        <v>54</v>
      </c>
      <c r="D1181" s="3" t="str">
        <f>VLOOKUP(C1181,Countries!$B$3:$C$140,2,FALSE)</f>
        <v>Europe</v>
      </c>
      <c r="E1181" s="3" t="s">
        <v>44</v>
      </c>
      <c r="F1181" s="3" t="str">
        <f>VLOOKUP(E1181,Countries!$B$3:$C$140,2,FALSE)</f>
        <v>Europe</v>
      </c>
      <c r="G1181" s="4">
        <v>2</v>
      </c>
      <c r="H1181" s="4">
        <v>0</v>
      </c>
    </row>
    <row r="1182" spans="2:8" x14ac:dyDescent="0.2">
      <c r="B1182" s="3" t="s">
        <v>140</v>
      </c>
      <c r="C1182" s="3" t="s">
        <v>54</v>
      </c>
      <c r="D1182" s="3" t="str">
        <f>VLOOKUP(C1182,Countries!$B$3:$C$140,2,FALSE)</f>
        <v>Europe</v>
      </c>
      <c r="E1182" s="3" t="s">
        <v>126</v>
      </c>
      <c r="F1182" s="3" t="str">
        <f>VLOOKUP(E1182,Countries!$B$3:$C$140,2,FALSE)</f>
        <v>North America</v>
      </c>
      <c r="G1182" s="4">
        <v>2</v>
      </c>
      <c r="H1182" s="4">
        <v>0</v>
      </c>
    </row>
    <row r="1183" spans="2:8" x14ac:dyDescent="0.2">
      <c r="B1183" s="3" t="s">
        <v>140</v>
      </c>
      <c r="C1183" s="3" t="s">
        <v>54</v>
      </c>
      <c r="D1183" s="3" t="str">
        <f>VLOOKUP(C1183,Countries!$B$3:$C$140,2,FALSE)</f>
        <v>Europe</v>
      </c>
      <c r="E1183" s="3" t="s">
        <v>26</v>
      </c>
      <c r="F1183" s="3" t="str">
        <f>VLOOKUP(E1183,Countries!$B$3:$C$140,2,FALSE)</f>
        <v>Europe</v>
      </c>
      <c r="G1183" s="4">
        <v>2</v>
      </c>
      <c r="H1183" s="4">
        <v>0</v>
      </c>
    </row>
    <row r="1184" spans="2:8" x14ac:dyDescent="0.2">
      <c r="B1184" s="3" t="s">
        <v>140</v>
      </c>
      <c r="C1184" s="3" t="s">
        <v>54</v>
      </c>
      <c r="D1184" s="3" t="str">
        <f>VLOOKUP(C1184,Countries!$B$3:$C$140,2,FALSE)</f>
        <v>Europe</v>
      </c>
      <c r="E1184" s="3" t="s">
        <v>82</v>
      </c>
      <c r="F1184" s="3" t="e">
        <f>VLOOKUP(E1184,Countries!$B$3:$C$140,2,FALSE)</f>
        <v>#N/A</v>
      </c>
      <c r="G1184" s="4">
        <v>2</v>
      </c>
      <c r="H1184" s="4">
        <v>0</v>
      </c>
    </row>
    <row r="1185" spans="2:8" x14ac:dyDescent="0.2">
      <c r="B1185" s="3" t="s">
        <v>140</v>
      </c>
      <c r="C1185" s="3" t="s">
        <v>54</v>
      </c>
      <c r="D1185" s="3" t="str">
        <f>VLOOKUP(C1185,Countries!$B$3:$C$140,2,FALSE)</f>
        <v>Europe</v>
      </c>
      <c r="E1185" s="3" t="s">
        <v>46</v>
      </c>
      <c r="F1185" s="3" t="str">
        <f>VLOOKUP(E1185,Countries!$B$3:$C$140,2,FALSE)</f>
        <v>Europe/Asia</v>
      </c>
      <c r="G1185" s="4">
        <v>10</v>
      </c>
      <c r="H1185" s="4">
        <v>80716.618902000002</v>
      </c>
    </row>
    <row r="1186" spans="2:8" x14ac:dyDescent="0.2">
      <c r="B1186" s="3" t="s">
        <v>140</v>
      </c>
      <c r="C1186" s="3" t="s">
        <v>54</v>
      </c>
      <c r="D1186" s="3" t="str">
        <f>VLOOKUP(C1186,Countries!$B$3:$C$140,2,FALSE)</f>
        <v>Europe</v>
      </c>
      <c r="E1186" s="3" t="s">
        <v>55</v>
      </c>
      <c r="F1186" s="3" t="str">
        <f>VLOOKUP(E1186,Countries!$B$3:$C$140,2,FALSE)</f>
        <v>Europe</v>
      </c>
      <c r="G1186" s="4">
        <v>2</v>
      </c>
      <c r="H1186" s="4">
        <v>0</v>
      </c>
    </row>
    <row r="1187" spans="2:8" x14ac:dyDescent="0.2">
      <c r="B1187" s="3" t="s">
        <v>140</v>
      </c>
      <c r="C1187" s="3" t="s">
        <v>54</v>
      </c>
      <c r="D1187" s="3" t="str">
        <f>VLOOKUP(C1187,Countries!$B$3:$C$140,2,FALSE)</f>
        <v>Europe</v>
      </c>
      <c r="E1187" s="3" t="s">
        <v>28</v>
      </c>
      <c r="F1187" s="3" t="str">
        <f>VLOOKUP(E1187,Countries!$B$3:$C$140,2,FALSE)</f>
        <v>Europe</v>
      </c>
      <c r="G1187" s="4">
        <v>6</v>
      </c>
      <c r="H1187" s="4">
        <v>1816123.925295</v>
      </c>
    </row>
    <row r="1188" spans="2:8" x14ac:dyDescent="0.2">
      <c r="B1188" s="3" t="s">
        <v>140</v>
      </c>
      <c r="C1188" s="3" t="s">
        <v>54</v>
      </c>
      <c r="D1188" s="3" t="str">
        <f>VLOOKUP(C1188,Countries!$B$3:$C$140,2,FALSE)</f>
        <v>Europe</v>
      </c>
      <c r="E1188" s="3" t="s">
        <v>56</v>
      </c>
      <c r="F1188" s="3" t="str">
        <f>VLOOKUP(E1188,Countries!$B$3:$C$140,2,FALSE)</f>
        <v>Europe</v>
      </c>
      <c r="G1188" s="4">
        <v>30</v>
      </c>
      <c r="H1188" s="4">
        <v>923177.08276499994</v>
      </c>
    </row>
    <row r="1189" spans="2:8" x14ac:dyDescent="0.2">
      <c r="B1189" s="3" t="s">
        <v>140</v>
      </c>
      <c r="C1189" s="3" t="s">
        <v>54</v>
      </c>
      <c r="D1189" s="3" t="str">
        <f>VLOOKUP(C1189,Countries!$B$3:$C$140,2,FALSE)</f>
        <v>Europe</v>
      </c>
      <c r="E1189" s="3" t="s">
        <v>30</v>
      </c>
      <c r="F1189" s="3" t="str">
        <f>VLOOKUP(E1189,Countries!$B$3:$C$140,2,FALSE)</f>
        <v>Europe</v>
      </c>
      <c r="G1189" s="4">
        <v>2</v>
      </c>
      <c r="H1189" s="4">
        <v>0</v>
      </c>
    </row>
    <row r="1190" spans="2:8" x14ac:dyDescent="0.2">
      <c r="B1190" s="3" t="s">
        <v>140</v>
      </c>
      <c r="C1190" s="3" t="s">
        <v>54</v>
      </c>
      <c r="D1190" s="3" t="str">
        <f>VLOOKUP(C1190,Countries!$B$3:$C$140,2,FALSE)</f>
        <v>Europe</v>
      </c>
      <c r="E1190" s="3" t="s">
        <v>31</v>
      </c>
      <c r="F1190" s="3" t="str">
        <f>VLOOKUP(E1190,Countries!$B$3:$C$140,2,FALSE)</f>
        <v>Europe</v>
      </c>
      <c r="G1190" s="4">
        <v>2</v>
      </c>
      <c r="H1190" s="4">
        <v>0</v>
      </c>
    </row>
    <row r="1191" spans="2:8" x14ac:dyDescent="0.2">
      <c r="B1191" s="3" t="s">
        <v>140</v>
      </c>
      <c r="C1191" s="3" t="s">
        <v>54</v>
      </c>
      <c r="D1191" s="3" t="str">
        <f>VLOOKUP(C1191,Countries!$B$3:$C$140,2,FALSE)</f>
        <v>Europe</v>
      </c>
      <c r="E1191" s="3" t="s">
        <v>84</v>
      </c>
      <c r="F1191" s="3" t="str">
        <f>VLOOKUP(E1191,Countries!$B$3:$C$140,2,FALSE)</f>
        <v>North America</v>
      </c>
      <c r="G1191" s="4">
        <v>2</v>
      </c>
      <c r="H1191" s="4">
        <v>20019.7498485</v>
      </c>
    </row>
    <row r="1192" spans="2:8" x14ac:dyDescent="0.2">
      <c r="B1192" s="3" t="s">
        <v>140</v>
      </c>
      <c r="C1192" s="3" t="s">
        <v>54</v>
      </c>
      <c r="D1192" s="3" t="str">
        <f>VLOOKUP(C1192,Countries!$B$3:$C$140,2,FALSE)</f>
        <v>Europe</v>
      </c>
      <c r="E1192" s="3" t="s">
        <v>104</v>
      </c>
      <c r="F1192" s="3" t="str">
        <f>VLOOKUP(E1192,Countries!$B$3:$C$140,2,FALSE)</f>
        <v>Africa</v>
      </c>
      <c r="G1192" s="4">
        <v>4</v>
      </c>
      <c r="H1192" s="4">
        <v>0</v>
      </c>
    </row>
    <row r="1193" spans="2:8" x14ac:dyDescent="0.2">
      <c r="B1193" s="3" t="s">
        <v>140</v>
      </c>
      <c r="C1193" s="3" t="s">
        <v>54</v>
      </c>
      <c r="D1193" s="3" t="str">
        <f>VLOOKUP(C1193,Countries!$B$3:$C$140,2,FALSE)</f>
        <v>Europe</v>
      </c>
      <c r="E1193" s="3" t="s">
        <v>57</v>
      </c>
      <c r="F1193" s="3" t="str">
        <f>VLOOKUP(E1193,Countries!$B$3:$C$140,2,FALSE)</f>
        <v>Europe/Asia</v>
      </c>
      <c r="G1193" s="4">
        <v>6</v>
      </c>
      <c r="H1193" s="4">
        <v>0</v>
      </c>
    </row>
    <row r="1194" spans="2:8" x14ac:dyDescent="0.2">
      <c r="B1194" s="3" t="s">
        <v>140</v>
      </c>
      <c r="C1194" s="3" t="s">
        <v>54</v>
      </c>
      <c r="D1194" s="3" t="str">
        <f>VLOOKUP(C1194,Countries!$B$3:$C$140,2,FALSE)</f>
        <v>Europe</v>
      </c>
      <c r="E1194" s="3" t="s">
        <v>32</v>
      </c>
      <c r="F1194" s="3" t="str">
        <f>VLOOKUP(E1194,Countries!$B$3:$C$140,2,FALSE)</f>
        <v>Europe</v>
      </c>
      <c r="G1194" s="4">
        <v>28</v>
      </c>
      <c r="H1194" s="4">
        <v>0</v>
      </c>
    </row>
    <row r="1195" spans="2:8" x14ac:dyDescent="0.2">
      <c r="B1195" s="3" t="s">
        <v>140</v>
      </c>
      <c r="C1195" s="3" t="s">
        <v>54</v>
      </c>
      <c r="D1195" s="3" t="str">
        <f>VLOOKUP(C1195,Countries!$B$3:$C$140,2,FALSE)</f>
        <v>Europe</v>
      </c>
      <c r="E1195" s="3" t="s">
        <v>33</v>
      </c>
      <c r="F1195" s="3" t="str">
        <f>VLOOKUP(E1195,Countries!$B$3:$C$140,2,FALSE)</f>
        <v>North America</v>
      </c>
      <c r="G1195" s="4">
        <v>4</v>
      </c>
      <c r="H1195" s="4">
        <v>0</v>
      </c>
    </row>
    <row r="1196" spans="2:8" x14ac:dyDescent="0.2">
      <c r="B1196" s="3" t="s">
        <v>140</v>
      </c>
      <c r="C1196" s="3" t="s">
        <v>25</v>
      </c>
      <c r="D1196" s="3" t="str">
        <f>VLOOKUP(C1196,Countries!$B$3:$C$140,2,FALSE)</f>
        <v>Europe</v>
      </c>
      <c r="E1196" s="3" t="s">
        <v>113</v>
      </c>
      <c r="F1196" s="3" t="str">
        <f>VLOOKUP(E1196,Countries!$B$3:$C$140,2,FALSE)</f>
        <v>Africa</v>
      </c>
      <c r="G1196" s="4">
        <v>2</v>
      </c>
      <c r="H1196" s="4">
        <v>2421498.5670600003</v>
      </c>
    </row>
    <row r="1197" spans="2:8" x14ac:dyDescent="0.2">
      <c r="B1197" s="3" t="s">
        <v>140</v>
      </c>
      <c r="C1197" s="3" t="s">
        <v>25</v>
      </c>
      <c r="D1197" s="3" t="str">
        <f>VLOOKUP(C1197,Countries!$B$3:$C$140,2,FALSE)</f>
        <v>Europe</v>
      </c>
      <c r="E1197" s="3" t="s">
        <v>68</v>
      </c>
      <c r="F1197" s="3" t="str">
        <f>VLOOKUP(E1197,Countries!$B$3:$C$140,2,FALSE)</f>
        <v>Africa</v>
      </c>
      <c r="G1197" s="4">
        <v>2</v>
      </c>
      <c r="H1197" s="4">
        <v>0</v>
      </c>
    </row>
    <row r="1198" spans="2:8" x14ac:dyDescent="0.2">
      <c r="B1198" s="3" t="s">
        <v>140</v>
      </c>
      <c r="C1198" s="3" t="s">
        <v>25</v>
      </c>
      <c r="D1198" s="3" t="str">
        <f>VLOOKUP(C1198,Countries!$B$3:$C$140,2,FALSE)</f>
        <v>Europe</v>
      </c>
      <c r="E1198" s="3" t="s">
        <v>69</v>
      </c>
      <c r="F1198" s="3" t="str">
        <f>VLOOKUP(E1198,Countries!$B$3:$C$140,2,FALSE)</f>
        <v>South America</v>
      </c>
      <c r="G1198" s="4">
        <v>6</v>
      </c>
      <c r="H1198" s="4">
        <v>9087884.1221761815</v>
      </c>
    </row>
    <row r="1199" spans="2:8" x14ac:dyDescent="0.2">
      <c r="B1199" s="3" t="s">
        <v>140</v>
      </c>
      <c r="C1199" s="3" t="s">
        <v>25</v>
      </c>
      <c r="D1199" s="3" t="str">
        <f>VLOOKUP(C1199,Countries!$B$3:$C$140,2,FALSE)</f>
        <v>Europe</v>
      </c>
      <c r="E1199" s="3" t="s">
        <v>35</v>
      </c>
      <c r="F1199" s="3" t="str">
        <f>VLOOKUP(E1199,Countries!$B$3:$C$140,2,FALSE)</f>
        <v>Europe</v>
      </c>
      <c r="G1199" s="4">
        <v>14</v>
      </c>
      <c r="H1199" s="4">
        <v>89808437.857830003</v>
      </c>
    </row>
    <row r="1200" spans="2:8" x14ac:dyDescent="0.2">
      <c r="B1200" s="3" t="s">
        <v>140</v>
      </c>
      <c r="C1200" s="3" t="s">
        <v>25</v>
      </c>
      <c r="D1200" s="3" t="str">
        <f>VLOOKUP(C1200,Countries!$B$3:$C$140,2,FALSE)</f>
        <v>Europe</v>
      </c>
      <c r="E1200" s="3" t="s">
        <v>70</v>
      </c>
      <c r="F1200" s="3" t="str">
        <f>VLOOKUP(E1200,Countries!$B$3:$C$140,2,FALSE)</f>
        <v>Africa</v>
      </c>
      <c r="G1200" s="4">
        <v>2</v>
      </c>
      <c r="H1200" s="4">
        <v>0</v>
      </c>
    </row>
    <row r="1201" spans="2:8" x14ac:dyDescent="0.2">
      <c r="B1201" s="3" t="s">
        <v>140</v>
      </c>
      <c r="C1201" s="3" t="s">
        <v>25</v>
      </c>
      <c r="D1201" s="3" t="str">
        <f>VLOOKUP(C1201,Countries!$B$3:$C$140,2,FALSE)</f>
        <v>Europe</v>
      </c>
      <c r="E1201" s="3" t="s">
        <v>60</v>
      </c>
      <c r="F1201" s="3" t="str">
        <f>VLOOKUP(E1201,Countries!$B$3:$C$140,2,FALSE)</f>
        <v>South America</v>
      </c>
      <c r="G1201" s="4">
        <v>2</v>
      </c>
      <c r="H1201" s="4">
        <v>0</v>
      </c>
    </row>
    <row r="1202" spans="2:8" x14ac:dyDescent="0.2">
      <c r="B1202" s="3" t="s">
        <v>140</v>
      </c>
      <c r="C1202" s="3" t="s">
        <v>25</v>
      </c>
      <c r="D1202" s="3" t="str">
        <f>VLOOKUP(C1202,Countries!$B$3:$C$140,2,FALSE)</f>
        <v>Europe</v>
      </c>
      <c r="E1202" s="3" t="s">
        <v>7</v>
      </c>
      <c r="F1202" s="3" t="str">
        <f>VLOOKUP(E1202,Countries!$B$3:$C$140,2,FALSE)</f>
        <v>South America</v>
      </c>
      <c r="G1202" s="4">
        <v>216</v>
      </c>
      <c r="H1202" s="4">
        <v>101935146.7823517</v>
      </c>
    </row>
    <row r="1203" spans="2:8" x14ac:dyDescent="0.2">
      <c r="B1203" s="3" t="s">
        <v>140</v>
      </c>
      <c r="C1203" s="3" t="s">
        <v>25</v>
      </c>
      <c r="D1203" s="3" t="str">
        <f>VLOOKUP(C1203,Countries!$B$3:$C$140,2,FALSE)</f>
        <v>Europe</v>
      </c>
      <c r="E1203" s="3" t="s">
        <v>36</v>
      </c>
      <c r="F1203" s="3" t="str">
        <f>VLOOKUP(E1203,Countries!$B$3:$C$140,2,FALSE)</f>
        <v>Europe</v>
      </c>
      <c r="G1203" s="4">
        <v>6</v>
      </c>
      <c r="H1203" s="4">
        <v>0</v>
      </c>
    </row>
    <row r="1204" spans="2:8" x14ac:dyDescent="0.2">
      <c r="B1204" s="3" t="s">
        <v>140</v>
      </c>
      <c r="C1204" s="3" t="s">
        <v>25</v>
      </c>
      <c r="D1204" s="3" t="str">
        <f>VLOOKUP(C1204,Countries!$B$3:$C$140,2,FALSE)</f>
        <v>Europe</v>
      </c>
      <c r="E1204" s="3" t="s">
        <v>88</v>
      </c>
      <c r="F1204" s="3" t="str">
        <f>VLOOKUP(E1204,Countries!$B$3:$C$140,2,FALSE)</f>
        <v>South America</v>
      </c>
      <c r="G1204" s="4">
        <v>8</v>
      </c>
      <c r="H1204" s="4">
        <v>3300000</v>
      </c>
    </row>
    <row r="1205" spans="2:8" x14ac:dyDescent="0.2">
      <c r="B1205" s="3" t="s">
        <v>140</v>
      </c>
      <c r="C1205" s="3" t="s">
        <v>25</v>
      </c>
      <c r="D1205" s="3" t="str">
        <f>VLOOKUP(C1205,Countries!$B$3:$C$140,2,FALSE)</f>
        <v>Europe</v>
      </c>
      <c r="E1205" s="3" t="s">
        <v>89</v>
      </c>
      <c r="F1205" s="3" t="str">
        <f>VLOOKUP(E1205,Countries!$B$3:$C$140,2,FALSE)</f>
        <v>Asia</v>
      </c>
      <c r="G1205" s="4">
        <v>8</v>
      </c>
      <c r="H1205" s="4">
        <v>0</v>
      </c>
    </row>
    <row r="1206" spans="2:8" x14ac:dyDescent="0.2">
      <c r="B1206" s="3" t="s">
        <v>140</v>
      </c>
      <c r="C1206" s="3" t="s">
        <v>25</v>
      </c>
      <c r="D1206" s="3" t="str">
        <f>VLOOKUP(C1206,Countries!$B$3:$C$140,2,FALSE)</f>
        <v>Europe</v>
      </c>
      <c r="E1206" s="3" t="s">
        <v>37</v>
      </c>
      <c r="F1206" s="3" t="str">
        <f>VLOOKUP(E1206,Countries!$B$3:$C$140,2,FALSE)</f>
        <v>Africa</v>
      </c>
      <c r="G1206" s="4">
        <v>2</v>
      </c>
      <c r="H1206" s="4">
        <v>0</v>
      </c>
    </row>
    <row r="1207" spans="2:8" x14ac:dyDescent="0.2">
      <c r="B1207" s="3" t="s">
        <v>140</v>
      </c>
      <c r="C1207" s="3" t="s">
        <v>25</v>
      </c>
      <c r="D1207" s="3" t="str">
        <f>VLOOKUP(C1207,Countries!$B$3:$C$140,2,FALSE)</f>
        <v>Europe</v>
      </c>
      <c r="E1207" s="3" t="s">
        <v>106</v>
      </c>
      <c r="F1207" s="3" t="str">
        <f>VLOOKUP(E1207,Countries!$B$3:$C$140,2,FALSE)</f>
        <v>Africa</v>
      </c>
      <c r="G1207" s="4">
        <v>6</v>
      </c>
      <c r="H1207" s="4">
        <v>0</v>
      </c>
    </row>
    <row r="1208" spans="2:8" x14ac:dyDescent="0.2">
      <c r="B1208" s="3" t="s">
        <v>140</v>
      </c>
      <c r="C1208" s="3" t="s">
        <v>25</v>
      </c>
      <c r="D1208" s="3" t="str">
        <f>VLOOKUP(C1208,Countries!$B$3:$C$140,2,FALSE)</f>
        <v>Europe</v>
      </c>
      <c r="E1208" s="3" t="s">
        <v>71</v>
      </c>
      <c r="F1208" s="3" t="str">
        <f>VLOOKUP(E1208,Countries!$B$3:$C$140,2,FALSE)</f>
        <v>Africa</v>
      </c>
      <c r="G1208" s="4">
        <v>2</v>
      </c>
      <c r="H1208" s="4">
        <v>0</v>
      </c>
    </row>
    <row r="1209" spans="2:8" x14ac:dyDescent="0.2">
      <c r="B1209" s="3" t="s">
        <v>140</v>
      </c>
      <c r="C1209" s="3" t="s">
        <v>25</v>
      </c>
      <c r="D1209" s="3" t="str">
        <f>VLOOKUP(C1209,Countries!$B$3:$C$140,2,FALSE)</f>
        <v>Europe</v>
      </c>
      <c r="E1209" s="3" t="s">
        <v>72</v>
      </c>
      <c r="F1209" s="3" t="str">
        <f>VLOOKUP(E1209,Countries!$B$3:$C$140,2,FALSE)</f>
        <v>South America</v>
      </c>
      <c r="G1209" s="4">
        <v>4</v>
      </c>
      <c r="H1209" s="4">
        <v>0</v>
      </c>
    </row>
    <row r="1210" spans="2:8" x14ac:dyDescent="0.2">
      <c r="B1210" s="3" t="s">
        <v>140</v>
      </c>
      <c r="C1210" s="3" t="s">
        <v>25</v>
      </c>
      <c r="D1210" s="3" t="str">
        <f>VLOOKUP(C1210,Countries!$B$3:$C$140,2,FALSE)</f>
        <v>Europe</v>
      </c>
      <c r="E1210" s="3" t="s">
        <v>62</v>
      </c>
      <c r="F1210" s="3" t="str">
        <f>VLOOKUP(E1210,Countries!$B$3:$C$140,2,FALSE)</f>
        <v>Asia</v>
      </c>
      <c r="G1210" s="4">
        <v>22</v>
      </c>
      <c r="H1210" s="4">
        <v>0</v>
      </c>
    </row>
    <row r="1211" spans="2:8" x14ac:dyDescent="0.2">
      <c r="B1211" s="3" t="s">
        <v>140</v>
      </c>
      <c r="C1211" s="3" t="s">
        <v>25</v>
      </c>
      <c r="D1211" s="3" t="str">
        <f>VLOOKUP(C1211,Countries!$B$3:$C$140,2,FALSE)</f>
        <v>Europe</v>
      </c>
      <c r="E1211" s="3" t="s">
        <v>10</v>
      </c>
      <c r="F1211" s="3" t="str">
        <f>VLOOKUP(E1211,Countries!$B$3:$C$140,2,FALSE)</f>
        <v>Europe</v>
      </c>
      <c r="G1211" s="4">
        <v>2</v>
      </c>
      <c r="H1211" s="4">
        <v>0</v>
      </c>
    </row>
    <row r="1212" spans="2:8" x14ac:dyDescent="0.2">
      <c r="B1212" s="3" t="s">
        <v>140</v>
      </c>
      <c r="C1212" s="3" t="s">
        <v>25</v>
      </c>
      <c r="D1212" s="3" t="str">
        <f>VLOOKUP(C1212,Countries!$B$3:$C$140,2,FALSE)</f>
        <v>Europe</v>
      </c>
      <c r="E1212" s="3" t="s">
        <v>50</v>
      </c>
      <c r="F1212" s="3" t="str">
        <f>VLOOKUP(E1212,Countries!$B$3:$C$140,2,FALSE)</f>
        <v>Europe</v>
      </c>
      <c r="G1212" s="4">
        <v>18</v>
      </c>
      <c r="H1212" s="4">
        <v>0</v>
      </c>
    </row>
    <row r="1213" spans="2:8" x14ac:dyDescent="0.2">
      <c r="B1213" s="3" t="s">
        <v>140</v>
      </c>
      <c r="C1213" s="3" t="s">
        <v>25</v>
      </c>
      <c r="D1213" s="3" t="str">
        <f>VLOOKUP(C1213,Countries!$B$3:$C$140,2,FALSE)</f>
        <v>Europe</v>
      </c>
      <c r="E1213" s="3" t="s">
        <v>11</v>
      </c>
      <c r="F1213" s="3" t="str">
        <f>VLOOKUP(E1213,Countries!$B$3:$C$140,2,FALSE)</f>
        <v>Europe</v>
      </c>
      <c r="G1213" s="4">
        <v>56</v>
      </c>
      <c r="H1213" s="4">
        <v>120915334.34601149</v>
      </c>
    </row>
    <row r="1214" spans="2:8" x14ac:dyDescent="0.2">
      <c r="B1214" s="3" t="s">
        <v>140</v>
      </c>
      <c r="C1214" s="3" t="s">
        <v>25</v>
      </c>
      <c r="D1214" s="3" t="str">
        <f>VLOOKUP(C1214,Countries!$B$3:$C$140,2,FALSE)</f>
        <v>Europe</v>
      </c>
      <c r="E1214" s="3" t="s">
        <v>12</v>
      </c>
      <c r="F1214" s="3" t="str">
        <f>VLOOKUP(E1214,Countries!$B$3:$C$140,2,FALSE)</f>
        <v>Europe</v>
      </c>
      <c r="G1214" s="4">
        <v>32</v>
      </c>
      <c r="H1214" s="4">
        <v>8071661.8901999993</v>
      </c>
    </row>
    <row r="1215" spans="2:8" x14ac:dyDescent="0.2">
      <c r="B1215" s="3" t="s">
        <v>140</v>
      </c>
      <c r="C1215" s="3" t="s">
        <v>25</v>
      </c>
      <c r="D1215" s="3" t="str">
        <f>VLOOKUP(C1215,Countries!$B$3:$C$140,2,FALSE)</f>
        <v>Europe</v>
      </c>
      <c r="E1215" s="3" t="s">
        <v>13</v>
      </c>
      <c r="F1215" s="3" t="str">
        <f>VLOOKUP(E1215,Countries!$B$3:$C$140,2,FALSE)</f>
        <v>Europe</v>
      </c>
      <c r="G1215" s="4">
        <v>6</v>
      </c>
      <c r="H1215" s="4">
        <v>0</v>
      </c>
    </row>
    <row r="1216" spans="2:8" x14ac:dyDescent="0.2">
      <c r="B1216" s="3" t="s">
        <v>140</v>
      </c>
      <c r="C1216" s="3" t="s">
        <v>25</v>
      </c>
      <c r="D1216" s="3" t="str">
        <f>VLOOKUP(C1216,Countries!$B$3:$C$140,2,FALSE)</f>
        <v>Europe</v>
      </c>
      <c r="E1216" s="3" t="s">
        <v>127</v>
      </c>
      <c r="F1216" s="3" t="str">
        <f>VLOOKUP(E1216,Countries!$B$3:$C$140,2,FALSE)</f>
        <v>Africa</v>
      </c>
      <c r="G1216" s="4">
        <v>2</v>
      </c>
      <c r="H1216" s="4">
        <v>0</v>
      </c>
    </row>
    <row r="1217" spans="2:8" x14ac:dyDescent="0.2">
      <c r="B1217" s="3" t="s">
        <v>140</v>
      </c>
      <c r="C1217" s="3" t="s">
        <v>25</v>
      </c>
      <c r="D1217" s="3" t="str">
        <f>VLOOKUP(C1217,Countries!$B$3:$C$140,2,FALSE)</f>
        <v>Europe</v>
      </c>
      <c r="E1217" s="3" t="s">
        <v>14</v>
      </c>
      <c r="F1217" s="3" t="str">
        <f>VLOOKUP(E1217,Countries!$B$3:$C$140,2,FALSE)</f>
        <v>Europe</v>
      </c>
      <c r="G1217" s="4">
        <v>12</v>
      </c>
      <c r="H1217" s="4">
        <v>0</v>
      </c>
    </row>
    <row r="1218" spans="2:8" x14ac:dyDescent="0.2">
      <c r="B1218" s="3" t="s">
        <v>140</v>
      </c>
      <c r="C1218" s="3" t="s">
        <v>25</v>
      </c>
      <c r="D1218" s="3" t="str">
        <f>VLOOKUP(C1218,Countries!$B$3:$C$140,2,FALSE)</f>
        <v>Europe</v>
      </c>
      <c r="E1218" s="3" t="s">
        <v>16</v>
      </c>
      <c r="F1218" s="3" t="str">
        <f>VLOOKUP(E1218,Countries!$B$3:$C$140,2,FALSE)</f>
        <v>Asia</v>
      </c>
      <c r="G1218" s="4">
        <v>2</v>
      </c>
      <c r="H1218" s="4">
        <v>0</v>
      </c>
    </row>
    <row r="1219" spans="2:8" x14ac:dyDescent="0.2">
      <c r="B1219" s="3" t="s">
        <v>140</v>
      </c>
      <c r="C1219" s="3" t="s">
        <v>25</v>
      </c>
      <c r="D1219" s="3" t="str">
        <f>VLOOKUP(C1219,Countries!$B$3:$C$140,2,FALSE)</f>
        <v>Europe</v>
      </c>
      <c r="E1219" s="3" t="s">
        <v>51</v>
      </c>
      <c r="F1219" s="3" t="str">
        <f>VLOOKUP(E1219,Countries!$B$3:$C$140,2,FALSE)</f>
        <v>Asia</v>
      </c>
      <c r="G1219" s="4">
        <v>2</v>
      </c>
      <c r="H1219" s="4">
        <v>0</v>
      </c>
    </row>
    <row r="1220" spans="2:8" x14ac:dyDescent="0.2">
      <c r="B1220" s="3" t="s">
        <v>140</v>
      </c>
      <c r="C1220" s="3" t="s">
        <v>25</v>
      </c>
      <c r="D1220" s="3" t="str">
        <f>VLOOKUP(C1220,Countries!$B$3:$C$140,2,FALSE)</f>
        <v>Europe</v>
      </c>
      <c r="E1220" s="3" t="s">
        <v>17</v>
      </c>
      <c r="F1220" s="3" t="str">
        <f>VLOOKUP(E1220,Countries!$B$3:$C$140,2,FALSE)</f>
        <v>Europe</v>
      </c>
      <c r="G1220" s="4">
        <v>16</v>
      </c>
      <c r="H1220" s="4">
        <v>13665859.0383</v>
      </c>
    </row>
    <row r="1221" spans="2:8" x14ac:dyDescent="0.2">
      <c r="B1221" s="3" t="s">
        <v>140</v>
      </c>
      <c r="C1221" s="3" t="s">
        <v>25</v>
      </c>
      <c r="D1221" s="3" t="str">
        <f>VLOOKUP(C1221,Countries!$B$3:$C$140,2,FALSE)</f>
        <v>Europe</v>
      </c>
      <c r="E1221" s="3" t="s">
        <v>92</v>
      </c>
      <c r="F1221" s="3" t="str">
        <f>VLOOKUP(E1221,Countries!$B$3:$C$140,2,FALSE)</f>
        <v>Asia</v>
      </c>
      <c r="G1221" s="4">
        <v>8</v>
      </c>
      <c r="H1221" s="4">
        <v>403583.09450999997</v>
      </c>
    </row>
    <row r="1222" spans="2:8" x14ac:dyDescent="0.2">
      <c r="B1222" s="3" t="s">
        <v>140</v>
      </c>
      <c r="C1222" s="3" t="s">
        <v>25</v>
      </c>
      <c r="D1222" s="3" t="str">
        <f>VLOOKUP(C1222,Countries!$B$3:$C$140,2,FALSE)</f>
        <v>Europe</v>
      </c>
      <c r="E1222" s="3" t="s">
        <v>93</v>
      </c>
      <c r="F1222" s="3" t="str">
        <f>VLOOKUP(E1222,Countries!$B$3:$C$140,2,FALSE)</f>
        <v>Asia</v>
      </c>
      <c r="G1222" s="4">
        <v>2</v>
      </c>
      <c r="H1222" s="4">
        <v>0</v>
      </c>
    </row>
    <row r="1223" spans="2:8" x14ac:dyDescent="0.2">
      <c r="B1223" s="3" t="s">
        <v>140</v>
      </c>
      <c r="C1223" s="3" t="s">
        <v>25</v>
      </c>
      <c r="D1223" s="3" t="str">
        <f>VLOOKUP(C1223,Countries!$B$3:$C$140,2,FALSE)</f>
        <v>Europe</v>
      </c>
      <c r="E1223" s="3" t="s">
        <v>19</v>
      </c>
      <c r="F1223" s="3" t="str">
        <f>VLOOKUP(E1223,Countries!$B$3:$C$140,2,FALSE)</f>
        <v>Asia</v>
      </c>
      <c r="G1223" s="4">
        <v>6</v>
      </c>
      <c r="H1223" s="4">
        <v>0</v>
      </c>
    </row>
    <row r="1224" spans="2:8" x14ac:dyDescent="0.2">
      <c r="B1224" s="3" t="s">
        <v>140</v>
      </c>
      <c r="C1224" s="3" t="s">
        <v>25</v>
      </c>
      <c r="D1224" s="3" t="str">
        <f>VLOOKUP(C1224,Countries!$B$3:$C$140,2,FALSE)</f>
        <v>Europe</v>
      </c>
      <c r="E1224" s="3" t="s">
        <v>117</v>
      </c>
      <c r="F1224" s="3" t="str">
        <f>VLOOKUP(E1224,Countries!$B$3:$C$140,2,FALSE)</f>
        <v>Asia</v>
      </c>
      <c r="G1224" s="4">
        <v>2</v>
      </c>
      <c r="H1224" s="4">
        <v>0</v>
      </c>
    </row>
    <row r="1225" spans="2:8" x14ac:dyDescent="0.2">
      <c r="B1225" s="3" t="s">
        <v>140</v>
      </c>
      <c r="C1225" s="3" t="s">
        <v>25</v>
      </c>
      <c r="D1225" s="3" t="str">
        <f>VLOOKUP(C1225,Countries!$B$3:$C$140,2,FALSE)</f>
        <v>Europe</v>
      </c>
      <c r="E1225" s="3" t="s">
        <v>43</v>
      </c>
      <c r="F1225" s="3" t="str">
        <f>VLOOKUP(E1225,Countries!$B$3:$C$140,2,FALSE)</f>
        <v>Europe</v>
      </c>
      <c r="G1225" s="4">
        <v>2</v>
      </c>
      <c r="H1225" s="4">
        <v>0</v>
      </c>
    </row>
    <row r="1226" spans="2:8" x14ac:dyDescent="0.2">
      <c r="B1226" s="3" t="s">
        <v>140</v>
      </c>
      <c r="C1226" s="3" t="s">
        <v>25</v>
      </c>
      <c r="D1226" s="3" t="str">
        <f>VLOOKUP(C1226,Countries!$B$3:$C$140,2,FALSE)</f>
        <v>Europe</v>
      </c>
      <c r="E1226" s="3" t="s">
        <v>94</v>
      </c>
      <c r="F1226" s="3" t="str">
        <f>VLOOKUP(E1226,Countries!$B$3:$C$140,2,FALSE)</f>
        <v>North America</v>
      </c>
      <c r="G1226" s="4">
        <v>2</v>
      </c>
      <c r="H1226" s="4">
        <v>0</v>
      </c>
    </row>
    <row r="1227" spans="2:8" x14ac:dyDescent="0.2">
      <c r="B1227" s="3" t="s">
        <v>140</v>
      </c>
      <c r="C1227" s="3" t="s">
        <v>25</v>
      </c>
      <c r="D1227" s="3" t="str">
        <f>VLOOKUP(C1227,Countries!$B$3:$C$140,2,FALSE)</f>
        <v>Europe</v>
      </c>
      <c r="E1227" s="3" t="s">
        <v>21</v>
      </c>
      <c r="F1227" s="3" t="str">
        <f>VLOOKUP(E1227,Countries!$B$3:$C$140,2,FALSE)</f>
        <v>Europe</v>
      </c>
      <c r="G1227" s="4">
        <v>2</v>
      </c>
      <c r="H1227" s="4">
        <v>0</v>
      </c>
    </row>
    <row r="1228" spans="2:8" x14ac:dyDescent="0.2">
      <c r="B1228" s="3" t="s">
        <v>140</v>
      </c>
      <c r="C1228" s="3" t="s">
        <v>25</v>
      </c>
      <c r="D1228" s="3" t="str">
        <f>VLOOKUP(C1228,Countries!$B$3:$C$140,2,FALSE)</f>
        <v>Europe</v>
      </c>
      <c r="E1228" s="3" t="s">
        <v>128</v>
      </c>
      <c r="F1228" s="3" t="str">
        <f>VLOOKUP(E1228,Countries!$B$3:$C$140,2,FALSE)</f>
        <v>Africa</v>
      </c>
      <c r="G1228" s="4">
        <v>2</v>
      </c>
      <c r="H1228" s="4">
        <v>0</v>
      </c>
    </row>
    <row r="1229" spans="2:8" x14ac:dyDescent="0.2">
      <c r="B1229" s="3" t="s">
        <v>140</v>
      </c>
      <c r="C1229" s="3" t="s">
        <v>25</v>
      </c>
      <c r="D1229" s="3" t="str">
        <f>VLOOKUP(C1229,Countries!$B$3:$C$140,2,FALSE)</f>
        <v>Europe</v>
      </c>
      <c r="E1229" s="3" t="s">
        <v>53</v>
      </c>
      <c r="F1229" s="3" t="str">
        <f>VLOOKUP(E1229,Countries!$B$3:$C$140,2,FALSE)</f>
        <v>Europe</v>
      </c>
      <c r="G1229" s="4">
        <v>14</v>
      </c>
      <c r="H1229" s="4">
        <v>36019791.185017496</v>
      </c>
    </row>
    <row r="1230" spans="2:8" x14ac:dyDescent="0.2">
      <c r="B1230" s="3" t="s">
        <v>140</v>
      </c>
      <c r="C1230" s="3" t="s">
        <v>25</v>
      </c>
      <c r="D1230" s="3" t="str">
        <f>VLOOKUP(C1230,Countries!$B$3:$C$140,2,FALSE)</f>
        <v>Europe</v>
      </c>
      <c r="E1230" s="3" t="s">
        <v>24</v>
      </c>
      <c r="F1230" s="3" t="str">
        <f>VLOOKUP(E1230,Countries!$B$3:$C$140,2,FALSE)</f>
        <v>Africa</v>
      </c>
      <c r="G1230" s="4">
        <v>6</v>
      </c>
      <c r="H1230" s="4">
        <v>786987.03429450002</v>
      </c>
    </row>
    <row r="1231" spans="2:8" x14ac:dyDescent="0.2">
      <c r="B1231" s="3" t="s">
        <v>140</v>
      </c>
      <c r="C1231" s="3" t="s">
        <v>25</v>
      </c>
      <c r="D1231" s="3" t="str">
        <f>VLOOKUP(C1231,Countries!$B$3:$C$140,2,FALSE)</f>
        <v>Europe</v>
      </c>
      <c r="E1231" s="3" t="s">
        <v>79</v>
      </c>
      <c r="F1231" s="3" t="str">
        <f>VLOOKUP(E1231,Countries!$B$3:$C$140,2,FALSE)</f>
        <v>South America</v>
      </c>
      <c r="G1231" s="4">
        <v>6</v>
      </c>
      <c r="H1231" s="4">
        <v>4035830.9450999997</v>
      </c>
    </row>
    <row r="1232" spans="2:8" x14ac:dyDescent="0.2">
      <c r="B1232" s="3" t="s">
        <v>140</v>
      </c>
      <c r="C1232" s="3" t="s">
        <v>25</v>
      </c>
      <c r="D1232" s="3" t="str">
        <f>VLOOKUP(C1232,Countries!$B$3:$C$140,2,FALSE)</f>
        <v>Europe</v>
      </c>
      <c r="E1232" s="3" t="s">
        <v>80</v>
      </c>
      <c r="F1232" s="3" t="str">
        <f>VLOOKUP(E1232,Countries!$B$3:$C$140,2,FALSE)</f>
        <v>South America</v>
      </c>
      <c r="G1232" s="4">
        <v>2</v>
      </c>
      <c r="H1232" s="4">
        <v>3000000</v>
      </c>
    </row>
    <row r="1233" spans="2:8" x14ac:dyDescent="0.2">
      <c r="B1233" s="3" t="s">
        <v>140</v>
      </c>
      <c r="C1233" s="3" t="s">
        <v>25</v>
      </c>
      <c r="D1233" s="3" t="str">
        <f>VLOOKUP(C1233,Countries!$B$3:$C$140,2,FALSE)</f>
        <v>Europe</v>
      </c>
      <c r="E1233" s="3" t="s">
        <v>54</v>
      </c>
      <c r="F1233" s="3" t="str">
        <f>VLOOKUP(E1233,Countries!$B$3:$C$140,2,FALSE)</f>
        <v>Europe</v>
      </c>
      <c r="G1233" s="4">
        <v>2</v>
      </c>
      <c r="H1233" s="4">
        <v>0</v>
      </c>
    </row>
    <row r="1234" spans="2:8" x14ac:dyDescent="0.2">
      <c r="B1234" s="3" t="s">
        <v>140</v>
      </c>
      <c r="C1234" s="3" t="s">
        <v>25</v>
      </c>
      <c r="D1234" s="3" t="str">
        <f>VLOOKUP(C1234,Countries!$B$3:$C$140,2,FALSE)</f>
        <v>Europe</v>
      </c>
      <c r="E1234" s="3" t="s">
        <v>26</v>
      </c>
      <c r="F1234" s="3" t="str">
        <f>VLOOKUP(E1234,Countries!$B$3:$C$140,2,FALSE)</f>
        <v>Europe</v>
      </c>
      <c r="G1234" s="4">
        <v>22</v>
      </c>
      <c r="H1234" s="4">
        <v>0</v>
      </c>
    </row>
    <row r="1235" spans="2:8" x14ac:dyDescent="0.2">
      <c r="B1235" s="3" t="s">
        <v>140</v>
      </c>
      <c r="C1235" s="3" t="s">
        <v>25</v>
      </c>
      <c r="D1235" s="3" t="str">
        <f>VLOOKUP(C1235,Countries!$B$3:$C$140,2,FALSE)</f>
        <v>Europe</v>
      </c>
      <c r="E1235" s="3" t="s">
        <v>82</v>
      </c>
      <c r="F1235" s="3" t="e">
        <f>VLOOKUP(E1235,Countries!$B$3:$C$140,2,FALSE)</f>
        <v>#N/A</v>
      </c>
      <c r="G1235" s="4">
        <v>2</v>
      </c>
      <c r="H1235" s="4">
        <v>0</v>
      </c>
    </row>
    <row r="1236" spans="2:8" x14ac:dyDescent="0.2">
      <c r="B1236" s="3" t="s">
        <v>140</v>
      </c>
      <c r="C1236" s="3" t="s">
        <v>25</v>
      </c>
      <c r="D1236" s="3" t="str">
        <f>VLOOKUP(C1236,Countries!$B$3:$C$140,2,FALSE)</f>
        <v>Europe</v>
      </c>
      <c r="E1236" s="3" t="s">
        <v>46</v>
      </c>
      <c r="F1236" s="3" t="str">
        <f>VLOOKUP(E1236,Countries!$B$3:$C$140,2,FALSE)</f>
        <v>Europe/Asia</v>
      </c>
      <c r="G1236" s="4">
        <v>4</v>
      </c>
      <c r="H1236" s="4">
        <v>0</v>
      </c>
    </row>
    <row r="1237" spans="2:8" x14ac:dyDescent="0.2">
      <c r="B1237" s="3" t="s">
        <v>140</v>
      </c>
      <c r="C1237" s="3" t="s">
        <v>25</v>
      </c>
      <c r="D1237" s="3" t="str">
        <f>VLOOKUP(C1237,Countries!$B$3:$C$140,2,FALSE)</f>
        <v>Europe</v>
      </c>
      <c r="E1237" s="3" t="s">
        <v>55</v>
      </c>
      <c r="F1237" s="3" t="str">
        <f>VLOOKUP(E1237,Countries!$B$3:$C$140,2,FALSE)</f>
        <v>Europe</v>
      </c>
      <c r="G1237" s="4">
        <v>2</v>
      </c>
      <c r="H1237" s="4">
        <v>0</v>
      </c>
    </row>
    <row r="1238" spans="2:8" x14ac:dyDescent="0.2">
      <c r="B1238" s="3" t="s">
        <v>140</v>
      </c>
      <c r="C1238" s="3" t="s">
        <v>25</v>
      </c>
      <c r="D1238" s="3" t="str">
        <f>VLOOKUP(C1238,Countries!$B$3:$C$140,2,FALSE)</f>
        <v>Europe</v>
      </c>
      <c r="E1238" s="3" t="s">
        <v>47</v>
      </c>
      <c r="F1238" s="3" t="str">
        <f>VLOOKUP(E1238,Countries!$B$3:$C$140,2,FALSE)</f>
        <v>Africa</v>
      </c>
      <c r="G1238" s="4">
        <v>4</v>
      </c>
      <c r="H1238" s="4">
        <v>2017915.4725499998</v>
      </c>
    </row>
    <row r="1239" spans="2:8" x14ac:dyDescent="0.2">
      <c r="B1239" s="3" t="s">
        <v>140</v>
      </c>
      <c r="C1239" s="3" t="s">
        <v>25</v>
      </c>
      <c r="D1239" s="3" t="str">
        <f>VLOOKUP(C1239,Countries!$B$3:$C$140,2,FALSE)</f>
        <v>Europe</v>
      </c>
      <c r="E1239" s="3" t="s">
        <v>28</v>
      </c>
      <c r="F1239" s="3" t="str">
        <f>VLOOKUP(E1239,Countries!$B$3:$C$140,2,FALSE)</f>
        <v>Europe</v>
      </c>
      <c r="G1239" s="4">
        <v>6</v>
      </c>
      <c r="H1239" s="4">
        <v>1412540.830785</v>
      </c>
    </row>
    <row r="1240" spans="2:8" x14ac:dyDescent="0.2">
      <c r="B1240" s="3" t="s">
        <v>140</v>
      </c>
      <c r="C1240" s="3" t="s">
        <v>25</v>
      </c>
      <c r="D1240" s="3" t="str">
        <f>VLOOKUP(C1240,Countries!$B$3:$C$140,2,FALSE)</f>
        <v>Europe</v>
      </c>
      <c r="E1240" s="3" t="s">
        <v>29</v>
      </c>
      <c r="F1240" s="3" t="str">
        <f>VLOOKUP(E1240,Countries!$B$3:$C$140,2,FALSE)</f>
        <v>Europe</v>
      </c>
      <c r="G1240" s="4">
        <v>10</v>
      </c>
      <c r="H1240" s="4">
        <v>0</v>
      </c>
    </row>
    <row r="1241" spans="2:8" x14ac:dyDescent="0.2">
      <c r="B1241" s="3" t="s">
        <v>140</v>
      </c>
      <c r="C1241" s="3" t="s">
        <v>25</v>
      </c>
      <c r="D1241" s="3" t="str">
        <f>VLOOKUP(C1241,Countries!$B$3:$C$140,2,FALSE)</f>
        <v>Europe</v>
      </c>
      <c r="E1241" s="3" t="s">
        <v>31</v>
      </c>
      <c r="F1241" s="3" t="str">
        <f>VLOOKUP(E1241,Countries!$B$3:$C$140,2,FALSE)</f>
        <v>Europe</v>
      </c>
      <c r="G1241" s="4">
        <v>8</v>
      </c>
      <c r="H1241" s="4">
        <v>0</v>
      </c>
    </row>
    <row r="1242" spans="2:8" x14ac:dyDescent="0.2">
      <c r="B1242" s="3" t="s">
        <v>140</v>
      </c>
      <c r="C1242" s="3" t="s">
        <v>25</v>
      </c>
      <c r="D1242" s="3" t="str">
        <f>VLOOKUP(C1242,Countries!$B$3:$C$140,2,FALSE)</f>
        <v>Europe</v>
      </c>
      <c r="E1242" s="3" t="s">
        <v>57</v>
      </c>
      <c r="F1242" s="3" t="str">
        <f>VLOOKUP(E1242,Countries!$B$3:$C$140,2,FALSE)</f>
        <v>Europe/Asia</v>
      </c>
      <c r="G1242" s="4">
        <v>4</v>
      </c>
      <c r="H1242" s="4">
        <v>0</v>
      </c>
    </row>
    <row r="1243" spans="2:8" x14ac:dyDescent="0.2">
      <c r="B1243" s="3" t="s">
        <v>140</v>
      </c>
      <c r="C1243" s="3" t="s">
        <v>25</v>
      </c>
      <c r="D1243" s="3" t="str">
        <f>VLOOKUP(C1243,Countries!$B$3:$C$140,2,FALSE)</f>
        <v>Europe</v>
      </c>
      <c r="E1243" s="3" t="s">
        <v>105</v>
      </c>
      <c r="F1243" s="3" t="str">
        <f>VLOOKUP(E1243,Countries!$B$3:$C$140,2,FALSE)</f>
        <v>Asia</v>
      </c>
      <c r="G1243" s="4">
        <v>2</v>
      </c>
      <c r="H1243" s="4">
        <v>0</v>
      </c>
    </row>
    <row r="1244" spans="2:8" x14ac:dyDescent="0.2">
      <c r="B1244" s="3" t="s">
        <v>140</v>
      </c>
      <c r="C1244" s="3" t="s">
        <v>25</v>
      </c>
      <c r="D1244" s="3" t="str">
        <f>VLOOKUP(C1244,Countries!$B$3:$C$140,2,FALSE)</f>
        <v>Europe</v>
      </c>
      <c r="E1244" s="3" t="s">
        <v>58</v>
      </c>
      <c r="F1244" s="3" t="str">
        <f>VLOOKUP(E1244,Countries!$B$3:$C$140,2,FALSE)</f>
        <v>South America</v>
      </c>
      <c r="G1244" s="4">
        <v>10</v>
      </c>
      <c r="H1244" s="4">
        <v>41547724.509570003</v>
      </c>
    </row>
    <row r="1245" spans="2:8" x14ac:dyDescent="0.2">
      <c r="B1245" s="3" t="s">
        <v>140</v>
      </c>
      <c r="C1245" s="3" t="s">
        <v>25</v>
      </c>
      <c r="D1245" s="3" t="str">
        <f>VLOOKUP(C1245,Countries!$B$3:$C$140,2,FALSE)</f>
        <v>Europe</v>
      </c>
      <c r="E1245" s="3" t="s">
        <v>33</v>
      </c>
      <c r="F1245" s="3" t="str">
        <f>VLOOKUP(E1245,Countries!$B$3:$C$140,2,FALSE)</f>
        <v>North America</v>
      </c>
      <c r="G1245" s="4">
        <v>4</v>
      </c>
      <c r="H1245" s="4">
        <v>0</v>
      </c>
    </row>
    <row r="1246" spans="2:8" x14ac:dyDescent="0.2">
      <c r="B1246" s="3" t="s">
        <v>140</v>
      </c>
      <c r="C1246" s="3" t="s">
        <v>26</v>
      </c>
      <c r="D1246" s="3" t="str">
        <f>VLOOKUP(C1246,Countries!$B$3:$C$140,2,FALSE)</f>
        <v>Europe</v>
      </c>
      <c r="E1246" s="3" t="s">
        <v>69</v>
      </c>
      <c r="F1246" s="3" t="str">
        <f>VLOOKUP(E1246,Countries!$B$3:$C$140,2,FALSE)</f>
        <v>South America</v>
      </c>
      <c r="G1246" s="4">
        <v>8</v>
      </c>
      <c r="H1246" s="4">
        <v>0</v>
      </c>
    </row>
    <row r="1247" spans="2:8" x14ac:dyDescent="0.2">
      <c r="B1247" s="3" t="s">
        <v>140</v>
      </c>
      <c r="C1247" s="3" t="s">
        <v>26</v>
      </c>
      <c r="D1247" s="3" t="str">
        <f>VLOOKUP(C1247,Countries!$B$3:$C$140,2,FALSE)</f>
        <v>Europe</v>
      </c>
      <c r="E1247" s="3" t="s">
        <v>34</v>
      </c>
      <c r="F1247" s="3" t="str">
        <f>VLOOKUP(E1247,Countries!$B$3:$C$140,2,FALSE)</f>
        <v>Asia</v>
      </c>
      <c r="G1247" s="4">
        <v>2</v>
      </c>
      <c r="H1247" s="4">
        <v>0</v>
      </c>
    </row>
    <row r="1248" spans="2:8" x14ac:dyDescent="0.2">
      <c r="B1248" s="3" t="s">
        <v>140</v>
      </c>
      <c r="C1248" s="3" t="s">
        <v>26</v>
      </c>
      <c r="D1248" s="3" t="str">
        <f>VLOOKUP(C1248,Countries!$B$3:$C$140,2,FALSE)</f>
        <v>Europe</v>
      </c>
      <c r="E1248" s="3" t="s">
        <v>3</v>
      </c>
      <c r="F1248" s="3" t="str">
        <f>VLOOKUP(E1248,Countries!$B$3:$C$140,2,FALSE)</f>
        <v>Europe</v>
      </c>
      <c r="G1248" s="4">
        <v>2</v>
      </c>
      <c r="H1248" s="4">
        <v>0</v>
      </c>
    </row>
    <row r="1249" spans="2:8" x14ac:dyDescent="0.2">
      <c r="B1249" s="3" t="s">
        <v>140</v>
      </c>
      <c r="C1249" s="3" t="s">
        <v>26</v>
      </c>
      <c r="D1249" s="3" t="str">
        <f>VLOOKUP(C1249,Countries!$B$3:$C$140,2,FALSE)</f>
        <v>Europe</v>
      </c>
      <c r="E1249" s="3" t="s">
        <v>4</v>
      </c>
      <c r="F1249" s="3" t="str">
        <f>VLOOKUP(E1249,Countries!$B$3:$C$140,2,FALSE)</f>
        <v>Asia</v>
      </c>
      <c r="G1249" s="4">
        <v>18</v>
      </c>
      <c r="H1249" s="4">
        <v>0</v>
      </c>
    </row>
    <row r="1250" spans="2:8" x14ac:dyDescent="0.2">
      <c r="B1250" s="3" t="s">
        <v>140</v>
      </c>
      <c r="C1250" s="3" t="s">
        <v>26</v>
      </c>
      <c r="D1250" s="3" t="str">
        <f>VLOOKUP(C1250,Countries!$B$3:$C$140,2,FALSE)</f>
        <v>Europe</v>
      </c>
      <c r="E1250" s="3" t="s">
        <v>35</v>
      </c>
      <c r="F1250" s="3" t="str">
        <f>VLOOKUP(E1250,Countries!$B$3:$C$140,2,FALSE)</f>
        <v>Europe</v>
      </c>
      <c r="G1250" s="4">
        <v>4</v>
      </c>
      <c r="H1250" s="4">
        <v>0</v>
      </c>
    </row>
    <row r="1251" spans="2:8" x14ac:dyDescent="0.2">
      <c r="B1251" s="3" t="s">
        <v>140</v>
      </c>
      <c r="C1251" s="3" t="s">
        <v>26</v>
      </c>
      <c r="D1251" s="3" t="str">
        <f>VLOOKUP(C1251,Countries!$B$3:$C$140,2,FALSE)</f>
        <v>Europe</v>
      </c>
      <c r="E1251" s="3" t="s">
        <v>6</v>
      </c>
      <c r="F1251" s="3" t="str">
        <f>VLOOKUP(E1251,Countries!$B$3:$C$140,2,FALSE)</f>
        <v>Europe</v>
      </c>
      <c r="G1251" s="4">
        <v>8</v>
      </c>
      <c r="H1251" s="4">
        <v>0</v>
      </c>
    </row>
    <row r="1252" spans="2:8" x14ac:dyDescent="0.2">
      <c r="B1252" s="3" t="s">
        <v>140</v>
      </c>
      <c r="C1252" s="3" t="s">
        <v>26</v>
      </c>
      <c r="D1252" s="3" t="str">
        <f>VLOOKUP(C1252,Countries!$B$3:$C$140,2,FALSE)</f>
        <v>Europe</v>
      </c>
      <c r="E1252" s="3" t="s">
        <v>7</v>
      </c>
      <c r="F1252" s="3" t="str">
        <f>VLOOKUP(E1252,Countries!$B$3:$C$140,2,FALSE)</f>
        <v>South America</v>
      </c>
      <c r="G1252" s="4">
        <v>22</v>
      </c>
      <c r="H1252" s="4">
        <v>72644.957011799997</v>
      </c>
    </row>
    <row r="1253" spans="2:8" x14ac:dyDescent="0.2">
      <c r="B1253" s="3" t="s">
        <v>140</v>
      </c>
      <c r="C1253" s="3" t="s">
        <v>26</v>
      </c>
      <c r="D1253" s="3" t="str">
        <f>VLOOKUP(C1253,Countries!$B$3:$C$140,2,FALSE)</f>
        <v>Europe</v>
      </c>
      <c r="E1253" s="3" t="s">
        <v>36</v>
      </c>
      <c r="F1253" s="3" t="str">
        <f>VLOOKUP(E1253,Countries!$B$3:$C$140,2,FALSE)</f>
        <v>Europe</v>
      </c>
      <c r="G1253" s="4">
        <v>12</v>
      </c>
      <c r="H1253" s="4">
        <v>42376.224923550006</v>
      </c>
    </row>
    <row r="1254" spans="2:8" x14ac:dyDescent="0.2">
      <c r="B1254" s="3" t="s">
        <v>140</v>
      </c>
      <c r="C1254" s="3" t="s">
        <v>26</v>
      </c>
      <c r="D1254" s="3" t="str">
        <f>VLOOKUP(C1254,Countries!$B$3:$C$140,2,FALSE)</f>
        <v>Europe</v>
      </c>
      <c r="E1254" s="3" t="s">
        <v>88</v>
      </c>
      <c r="F1254" s="3" t="str">
        <f>VLOOKUP(E1254,Countries!$B$3:$C$140,2,FALSE)</f>
        <v>South America</v>
      </c>
      <c r="G1254" s="4">
        <v>6</v>
      </c>
      <c r="H1254" s="4">
        <v>0</v>
      </c>
    </row>
    <row r="1255" spans="2:8" x14ac:dyDescent="0.2">
      <c r="B1255" s="3" t="s">
        <v>140</v>
      </c>
      <c r="C1255" s="3" t="s">
        <v>26</v>
      </c>
      <c r="D1255" s="3" t="str">
        <f>VLOOKUP(C1255,Countries!$B$3:$C$140,2,FALSE)</f>
        <v>Europe</v>
      </c>
      <c r="E1255" s="3" t="s">
        <v>89</v>
      </c>
      <c r="F1255" s="3" t="str">
        <f>VLOOKUP(E1255,Countries!$B$3:$C$140,2,FALSE)</f>
        <v>Asia</v>
      </c>
      <c r="G1255" s="4">
        <v>2</v>
      </c>
      <c r="H1255" s="4">
        <v>0</v>
      </c>
    </row>
    <row r="1256" spans="2:8" x14ac:dyDescent="0.2">
      <c r="B1256" s="3" t="s">
        <v>140</v>
      </c>
      <c r="C1256" s="3" t="s">
        <v>26</v>
      </c>
      <c r="D1256" s="3" t="str">
        <f>VLOOKUP(C1256,Countries!$B$3:$C$140,2,FALSE)</f>
        <v>Europe</v>
      </c>
      <c r="E1256" s="3" t="s">
        <v>37</v>
      </c>
      <c r="F1256" s="3" t="str">
        <f>VLOOKUP(E1256,Countries!$B$3:$C$140,2,FALSE)</f>
        <v>Africa</v>
      </c>
      <c r="G1256" s="4">
        <v>12</v>
      </c>
      <c r="H1256" s="4">
        <v>0</v>
      </c>
    </row>
    <row r="1257" spans="2:8" x14ac:dyDescent="0.2">
      <c r="B1257" s="3" t="s">
        <v>140</v>
      </c>
      <c r="C1257" s="3" t="s">
        <v>26</v>
      </c>
      <c r="D1257" s="3" t="str">
        <f>VLOOKUP(C1257,Countries!$B$3:$C$140,2,FALSE)</f>
        <v>Europe</v>
      </c>
      <c r="E1257" s="3" t="s">
        <v>106</v>
      </c>
      <c r="F1257" s="3" t="str">
        <f>VLOOKUP(E1257,Countries!$B$3:$C$140,2,FALSE)</f>
        <v>Africa</v>
      </c>
      <c r="G1257" s="4">
        <v>6</v>
      </c>
      <c r="H1257" s="4">
        <v>0</v>
      </c>
    </row>
    <row r="1258" spans="2:8" x14ac:dyDescent="0.2">
      <c r="B1258" s="3" t="s">
        <v>140</v>
      </c>
      <c r="C1258" s="3" t="s">
        <v>26</v>
      </c>
      <c r="D1258" s="3" t="str">
        <f>VLOOKUP(C1258,Countries!$B$3:$C$140,2,FALSE)</f>
        <v>Europe</v>
      </c>
      <c r="E1258" s="3" t="s">
        <v>9</v>
      </c>
      <c r="F1258" s="3" t="str">
        <f>VLOOKUP(E1258,Countries!$B$3:$C$140,2,FALSE)</f>
        <v>Europe</v>
      </c>
      <c r="G1258" s="4">
        <v>4</v>
      </c>
      <c r="H1258" s="4">
        <v>178854.72731437499</v>
      </c>
    </row>
    <row r="1259" spans="2:8" x14ac:dyDescent="0.2">
      <c r="B1259" s="3" t="s">
        <v>140</v>
      </c>
      <c r="C1259" s="3" t="s">
        <v>26</v>
      </c>
      <c r="D1259" s="3" t="str">
        <f>VLOOKUP(C1259,Countries!$B$3:$C$140,2,FALSE)</f>
        <v>Europe</v>
      </c>
      <c r="E1259" s="3" t="s">
        <v>62</v>
      </c>
      <c r="F1259" s="3" t="str">
        <f>VLOOKUP(E1259,Countries!$B$3:$C$140,2,FALSE)</f>
        <v>Asia</v>
      </c>
      <c r="G1259" s="4">
        <v>6</v>
      </c>
      <c r="H1259" s="4">
        <v>0</v>
      </c>
    </row>
    <row r="1260" spans="2:8" x14ac:dyDescent="0.2">
      <c r="B1260" s="3" t="s">
        <v>140</v>
      </c>
      <c r="C1260" s="3" t="s">
        <v>26</v>
      </c>
      <c r="D1260" s="3" t="str">
        <f>VLOOKUP(C1260,Countries!$B$3:$C$140,2,FALSE)</f>
        <v>Europe</v>
      </c>
      <c r="E1260" s="3" t="s">
        <v>50</v>
      </c>
      <c r="F1260" s="3" t="str">
        <f>VLOOKUP(E1260,Countries!$B$3:$C$140,2,FALSE)</f>
        <v>Europe</v>
      </c>
      <c r="G1260" s="4">
        <v>8</v>
      </c>
      <c r="H1260" s="4">
        <v>0</v>
      </c>
    </row>
    <row r="1261" spans="2:8" x14ac:dyDescent="0.2">
      <c r="B1261" s="3" t="s">
        <v>140</v>
      </c>
      <c r="C1261" s="3" t="s">
        <v>26</v>
      </c>
      <c r="D1261" s="3" t="str">
        <f>VLOOKUP(C1261,Countries!$B$3:$C$140,2,FALSE)</f>
        <v>Europe</v>
      </c>
      <c r="E1261" s="3" t="s">
        <v>11</v>
      </c>
      <c r="F1261" s="3" t="str">
        <f>VLOOKUP(E1261,Countries!$B$3:$C$140,2,FALSE)</f>
        <v>Europe</v>
      </c>
      <c r="G1261" s="4">
        <v>14</v>
      </c>
      <c r="H1261" s="4">
        <v>0</v>
      </c>
    </row>
    <row r="1262" spans="2:8" x14ac:dyDescent="0.2">
      <c r="B1262" s="3" t="s">
        <v>140</v>
      </c>
      <c r="C1262" s="3" t="s">
        <v>26</v>
      </c>
      <c r="D1262" s="3" t="str">
        <f>VLOOKUP(C1262,Countries!$B$3:$C$140,2,FALSE)</f>
        <v>Europe</v>
      </c>
      <c r="E1262" s="3" t="s">
        <v>12</v>
      </c>
      <c r="F1262" s="3" t="str">
        <f>VLOOKUP(E1262,Countries!$B$3:$C$140,2,FALSE)</f>
        <v>Europe</v>
      </c>
      <c r="G1262" s="4">
        <v>8</v>
      </c>
      <c r="H1262" s="4">
        <v>0</v>
      </c>
    </row>
    <row r="1263" spans="2:8" x14ac:dyDescent="0.2">
      <c r="B1263" s="3" t="s">
        <v>140</v>
      </c>
      <c r="C1263" s="3" t="s">
        <v>26</v>
      </c>
      <c r="D1263" s="3" t="str">
        <f>VLOOKUP(C1263,Countries!$B$3:$C$140,2,FALSE)</f>
        <v>Europe</v>
      </c>
      <c r="E1263" s="3" t="s">
        <v>13</v>
      </c>
      <c r="F1263" s="3" t="str">
        <f>VLOOKUP(E1263,Countries!$B$3:$C$140,2,FALSE)</f>
        <v>Europe</v>
      </c>
      <c r="G1263" s="4">
        <v>12</v>
      </c>
      <c r="H1263" s="4">
        <v>0</v>
      </c>
    </row>
    <row r="1264" spans="2:8" x14ac:dyDescent="0.2">
      <c r="B1264" s="3" t="s">
        <v>140</v>
      </c>
      <c r="C1264" s="3" t="s">
        <v>26</v>
      </c>
      <c r="D1264" s="3" t="str">
        <f>VLOOKUP(C1264,Countries!$B$3:$C$140,2,FALSE)</f>
        <v>Europe</v>
      </c>
      <c r="E1264" s="3" t="s">
        <v>14</v>
      </c>
      <c r="F1264" s="3" t="str">
        <f>VLOOKUP(E1264,Countries!$B$3:$C$140,2,FALSE)</f>
        <v>Europe</v>
      </c>
      <c r="G1264" s="4">
        <v>20</v>
      </c>
      <c r="H1264" s="4">
        <v>0</v>
      </c>
    </row>
    <row r="1265" spans="2:8" x14ac:dyDescent="0.2">
      <c r="B1265" s="3" t="s">
        <v>140</v>
      </c>
      <c r="C1265" s="3" t="s">
        <v>26</v>
      </c>
      <c r="D1265" s="3" t="str">
        <f>VLOOKUP(C1265,Countries!$B$3:$C$140,2,FALSE)</f>
        <v>Europe</v>
      </c>
      <c r="E1265" s="3" t="s">
        <v>124</v>
      </c>
      <c r="F1265" s="3" t="str">
        <f>VLOOKUP(E1265,Countries!$B$3:$C$140,2,FALSE)</f>
        <v>North America</v>
      </c>
      <c r="G1265" s="4">
        <v>2</v>
      </c>
      <c r="H1265" s="4">
        <v>0</v>
      </c>
    </row>
    <row r="1266" spans="2:8" x14ac:dyDescent="0.2">
      <c r="B1266" s="3" t="s">
        <v>140</v>
      </c>
      <c r="C1266" s="3" t="s">
        <v>26</v>
      </c>
      <c r="D1266" s="3" t="str">
        <f>VLOOKUP(C1266,Countries!$B$3:$C$140,2,FALSE)</f>
        <v>Europe</v>
      </c>
      <c r="E1266" s="3" t="s">
        <v>15</v>
      </c>
      <c r="F1266" s="3" t="str">
        <f>VLOOKUP(E1266,Countries!$B$3:$C$140,2,FALSE)</f>
        <v>Europe</v>
      </c>
      <c r="G1266" s="4">
        <v>12</v>
      </c>
      <c r="H1266" s="4">
        <v>0</v>
      </c>
    </row>
    <row r="1267" spans="2:8" x14ac:dyDescent="0.2">
      <c r="B1267" s="3" t="s">
        <v>140</v>
      </c>
      <c r="C1267" s="3" t="s">
        <v>26</v>
      </c>
      <c r="D1267" s="3" t="str">
        <f>VLOOKUP(C1267,Countries!$B$3:$C$140,2,FALSE)</f>
        <v>Europe</v>
      </c>
      <c r="E1267" s="3" t="s">
        <v>100</v>
      </c>
      <c r="F1267" s="3" t="str">
        <f>VLOOKUP(E1267,Countries!$B$3:$C$140,2,FALSE)</f>
        <v>Asia</v>
      </c>
      <c r="G1267" s="4">
        <v>2</v>
      </c>
      <c r="H1267" s="4">
        <v>0</v>
      </c>
    </row>
    <row r="1268" spans="2:8" x14ac:dyDescent="0.2">
      <c r="B1268" s="3" t="s">
        <v>140</v>
      </c>
      <c r="C1268" s="3" t="s">
        <v>26</v>
      </c>
      <c r="D1268" s="3" t="str">
        <f>VLOOKUP(C1268,Countries!$B$3:$C$140,2,FALSE)</f>
        <v>Europe</v>
      </c>
      <c r="E1268" s="3" t="s">
        <v>74</v>
      </c>
      <c r="F1268" s="3" t="str">
        <f>VLOOKUP(E1268,Countries!$B$3:$C$140,2,FALSE)</f>
        <v>Asia</v>
      </c>
      <c r="G1268" s="4">
        <v>2</v>
      </c>
      <c r="H1268" s="4">
        <v>0</v>
      </c>
    </row>
    <row r="1269" spans="2:8" x14ac:dyDescent="0.2">
      <c r="B1269" s="3" t="s">
        <v>140</v>
      </c>
      <c r="C1269" s="3" t="s">
        <v>26</v>
      </c>
      <c r="D1269" s="3" t="str">
        <f>VLOOKUP(C1269,Countries!$B$3:$C$140,2,FALSE)</f>
        <v>Europe</v>
      </c>
      <c r="E1269" s="3" t="s">
        <v>101</v>
      </c>
      <c r="F1269" s="3" t="str">
        <f>VLOOKUP(E1269,Countries!$B$3:$C$140,2,FALSE)</f>
        <v>Europe</v>
      </c>
      <c r="G1269" s="4">
        <v>2</v>
      </c>
      <c r="H1269" s="4">
        <v>0</v>
      </c>
    </row>
    <row r="1270" spans="2:8" x14ac:dyDescent="0.2">
      <c r="B1270" s="3" t="s">
        <v>140</v>
      </c>
      <c r="C1270" s="3" t="s">
        <v>26</v>
      </c>
      <c r="D1270" s="3" t="str">
        <f>VLOOKUP(C1270,Countries!$B$3:$C$140,2,FALSE)</f>
        <v>Europe</v>
      </c>
      <c r="E1270" s="3" t="s">
        <v>75</v>
      </c>
      <c r="F1270" s="3" t="str">
        <f>VLOOKUP(E1270,Countries!$B$3:$C$140,2,FALSE)</f>
        <v>Europe</v>
      </c>
      <c r="G1270" s="4">
        <v>2</v>
      </c>
      <c r="H1270" s="4">
        <v>0</v>
      </c>
    </row>
    <row r="1271" spans="2:8" x14ac:dyDescent="0.2">
      <c r="B1271" s="3" t="s">
        <v>140</v>
      </c>
      <c r="C1271" s="3" t="s">
        <v>26</v>
      </c>
      <c r="D1271" s="3" t="str">
        <f>VLOOKUP(C1271,Countries!$B$3:$C$140,2,FALSE)</f>
        <v>Europe</v>
      </c>
      <c r="E1271" s="3" t="s">
        <v>51</v>
      </c>
      <c r="F1271" s="3" t="str">
        <f>VLOOKUP(E1271,Countries!$B$3:$C$140,2,FALSE)</f>
        <v>Asia</v>
      </c>
      <c r="G1271" s="4">
        <v>2</v>
      </c>
      <c r="H1271" s="4">
        <v>0</v>
      </c>
    </row>
    <row r="1272" spans="2:8" x14ac:dyDescent="0.2">
      <c r="B1272" s="3" t="s">
        <v>140</v>
      </c>
      <c r="C1272" s="3" t="s">
        <v>26</v>
      </c>
      <c r="D1272" s="3" t="str">
        <f>VLOOKUP(C1272,Countries!$B$3:$C$140,2,FALSE)</f>
        <v>Europe</v>
      </c>
      <c r="E1272" s="3" t="s">
        <v>17</v>
      </c>
      <c r="F1272" s="3" t="str">
        <f>VLOOKUP(E1272,Countries!$B$3:$C$140,2,FALSE)</f>
        <v>Europe</v>
      </c>
      <c r="G1272" s="4">
        <v>34</v>
      </c>
      <c r="H1272" s="4">
        <v>211881.12461775</v>
      </c>
    </row>
    <row r="1273" spans="2:8" x14ac:dyDescent="0.2">
      <c r="B1273" s="3" t="s">
        <v>140</v>
      </c>
      <c r="C1273" s="3" t="s">
        <v>26</v>
      </c>
      <c r="D1273" s="3" t="str">
        <f>VLOOKUP(C1273,Countries!$B$3:$C$140,2,FALSE)</f>
        <v>Europe</v>
      </c>
      <c r="E1273" s="3" t="s">
        <v>129</v>
      </c>
      <c r="F1273" s="3" t="str">
        <f>VLOOKUP(E1273,Countries!$B$3:$C$140,2,FALSE)</f>
        <v>Asia</v>
      </c>
      <c r="G1273" s="4">
        <v>2</v>
      </c>
      <c r="H1273" s="4">
        <v>0</v>
      </c>
    </row>
    <row r="1274" spans="2:8" x14ac:dyDescent="0.2">
      <c r="B1274" s="3" t="s">
        <v>140</v>
      </c>
      <c r="C1274" s="3" t="s">
        <v>26</v>
      </c>
      <c r="D1274" s="3" t="str">
        <f>VLOOKUP(C1274,Countries!$B$3:$C$140,2,FALSE)</f>
        <v>Europe</v>
      </c>
      <c r="E1274" s="3" t="s">
        <v>40</v>
      </c>
      <c r="F1274" s="3" t="str">
        <f>VLOOKUP(E1274,Countries!$B$3:$C$140,2,FALSE)</f>
        <v>Asia</v>
      </c>
      <c r="G1274" s="4">
        <v>2</v>
      </c>
      <c r="H1274" s="4">
        <v>0</v>
      </c>
    </row>
    <row r="1275" spans="2:8" x14ac:dyDescent="0.2">
      <c r="B1275" s="3" t="s">
        <v>140</v>
      </c>
      <c r="C1275" s="3" t="s">
        <v>26</v>
      </c>
      <c r="D1275" s="3" t="str">
        <f>VLOOKUP(C1275,Countries!$B$3:$C$140,2,FALSE)</f>
        <v>Europe</v>
      </c>
      <c r="E1275" s="3" t="s">
        <v>117</v>
      </c>
      <c r="F1275" s="3" t="str">
        <f>VLOOKUP(E1275,Countries!$B$3:$C$140,2,FALSE)</f>
        <v>Asia</v>
      </c>
      <c r="G1275" s="4">
        <v>2</v>
      </c>
      <c r="H1275" s="4">
        <v>0</v>
      </c>
    </row>
    <row r="1276" spans="2:8" x14ac:dyDescent="0.2">
      <c r="B1276" s="3" t="s">
        <v>140</v>
      </c>
      <c r="C1276" s="3" t="s">
        <v>26</v>
      </c>
      <c r="D1276" s="3" t="str">
        <f>VLOOKUP(C1276,Countries!$B$3:$C$140,2,FALSE)</f>
        <v>Europe</v>
      </c>
      <c r="E1276" s="3" t="s">
        <v>76</v>
      </c>
      <c r="F1276" s="3" t="str">
        <f>VLOOKUP(E1276,Countries!$B$3:$C$140,2,FALSE)</f>
        <v>Africa</v>
      </c>
      <c r="G1276" s="4">
        <v>2</v>
      </c>
      <c r="H1276" s="4">
        <v>0</v>
      </c>
    </row>
    <row r="1277" spans="2:8" x14ac:dyDescent="0.2">
      <c r="B1277" s="3" t="s">
        <v>140</v>
      </c>
      <c r="C1277" s="3" t="s">
        <v>26</v>
      </c>
      <c r="D1277" s="3" t="str">
        <f>VLOOKUP(C1277,Countries!$B$3:$C$140,2,FALSE)</f>
        <v>Europe</v>
      </c>
      <c r="E1277" s="3" t="s">
        <v>66</v>
      </c>
      <c r="F1277" s="3" t="str">
        <f>VLOOKUP(E1277,Countries!$B$3:$C$140,2,FALSE)</f>
        <v>Europe</v>
      </c>
      <c r="G1277" s="4">
        <v>8</v>
      </c>
      <c r="H1277" s="4">
        <v>201791.54725499998</v>
      </c>
    </row>
    <row r="1278" spans="2:8" x14ac:dyDescent="0.2">
      <c r="B1278" s="3" t="s">
        <v>140</v>
      </c>
      <c r="C1278" s="3" t="s">
        <v>26</v>
      </c>
      <c r="D1278" s="3" t="str">
        <f>VLOOKUP(C1278,Countries!$B$3:$C$140,2,FALSE)</f>
        <v>Europe</v>
      </c>
      <c r="E1278" s="3" t="s">
        <v>52</v>
      </c>
      <c r="F1278" s="3" t="str">
        <f>VLOOKUP(E1278,Countries!$B$3:$C$140,2,FALSE)</f>
        <v>Europe</v>
      </c>
      <c r="G1278" s="4">
        <v>2</v>
      </c>
      <c r="H1278" s="4">
        <v>0</v>
      </c>
    </row>
    <row r="1279" spans="2:8" x14ac:dyDescent="0.2">
      <c r="B1279" s="3" t="s">
        <v>140</v>
      </c>
      <c r="C1279" s="3" t="s">
        <v>26</v>
      </c>
      <c r="D1279" s="3" t="str">
        <f>VLOOKUP(C1279,Countries!$B$3:$C$140,2,FALSE)</f>
        <v>Europe</v>
      </c>
      <c r="E1279" s="3" t="s">
        <v>43</v>
      </c>
      <c r="F1279" s="3" t="str">
        <f>VLOOKUP(E1279,Countries!$B$3:$C$140,2,FALSE)</f>
        <v>Europe</v>
      </c>
      <c r="G1279" s="4">
        <v>16</v>
      </c>
      <c r="H1279" s="4">
        <v>0</v>
      </c>
    </row>
    <row r="1280" spans="2:8" x14ac:dyDescent="0.2">
      <c r="B1280" s="3" t="s">
        <v>140</v>
      </c>
      <c r="C1280" s="3" t="s">
        <v>26</v>
      </c>
      <c r="D1280" s="3" t="str">
        <f>VLOOKUP(C1280,Countries!$B$3:$C$140,2,FALSE)</f>
        <v>Europe</v>
      </c>
      <c r="E1280" s="3" t="s">
        <v>21</v>
      </c>
      <c r="F1280" s="3" t="str">
        <f>VLOOKUP(E1280,Countries!$B$3:$C$140,2,FALSE)</f>
        <v>Europe</v>
      </c>
      <c r="G1280" s="4">
        <v>4</v>
      </c>
      <c r="H1280" s="4">
        <v>0</v>
      </c>
    </row>
    <row r="1281" spans="2:8" x14ac:dyDescent="0.2">
      <c r="B1281" s="3" t="s">
        <v>140</v>
      </c>
      <c r="C1281" s="3" t="s">
        <v>26</v>
      </c>
      <c r="D1281" s="3" t="str">
        <f>VLOOKUP(C1281,Countries!$B$3:$C$140,2,FALSE)</f>
        <v>Europe</v>
      </c>
      <c r="E1281" s="3" t="s">
        <v>128</v>
      </c>
      <c r="F1281" s="3" t="str">
        <f>VLOOKUP(E1281,Countries!$B$3:$C$140,2,FALSE)</f>
        <v>Africa</v>
      </c>
      <c r="G1281" s="4">
        <v>2</v>
      </c>
      <c r="H1281" s="4">
        <v>0</v>
      </c>
    </row>
    <row r="1282" spans="2:8" x14ac:dyDescent="0.2">
      <c r="B1282" s="3" t="s">
        <v>140</v>
      </c>
      <c r="C1282" s="3" t="s">
        <v>26</v>
      </c>
      <c r="D1282" s="3" t="str">
        <f>VLOOKUP(C1282,Countries!$B$3:$C$140,2,FALSE)</f>
        <v>Europe</v>
      </c>
      <c r="E1282" s="3" t="s">
        <v>53</v>
      </c>
      <c r="F1282" s="3" t="str">
        <f>VLOOKUP(E1282,Countries!$B$3:$C$140,2,FALSE)</f>
        <v>Europe</v>
      </c>
      <c r="G1282" s="4">
        <v>2</v>
      </c>
      <c r="H1282" s="4">
        <v>0</v>
      </c>
    </row>
    <row r="1283" spans="2:8" x14ac:dyDescent="0.2">
      <c r="B1283" s="3" t="s">
        <v>140</v>
      </c>
      <c r="C1283" s="3" t="s">
        <v>26</v>
      </c>
      <c r="D1283" s="3" t="str">
        <f>VLOOKUP(C1283,Countries!$B$3:$C$140,2,FALSE)</f>
        <v>Europe</v>
      </c>
      <c r="E1283" s="3" t="s">
        <v>24</v>
      </c>
      <c r="F1283" s="3" t="str">
        <f>VLOOKUP(E1283,Countries!$B$3:$C$140,2,FALSE)</f>
        <v>Africa</v>
      </c>
      <c r="G1283" s="4">
        <v>2</v>
      </c>
      <c r="H1283" s="4">
        <v>0</v>
      </c>
    </row>
    <row r="1284" spans="2:8" x14ac:dyDescent="0.2">
      <c r="B1284" s="3" t="s">
        <v>140</v>
      </c>
      <c r="C1284" s="3" t="s">
        <v>26</v>
      </c>
      <c r="D1284" s="3" t="str">
        <f>VLOOKUP(C1284,Countries!$B$3:$C$140,2,FALSE)</f>
        <v>Europe</v>
      </c>
      <c r="E1284" s="3" t="s">
        <v>54</v>
      </c>
      <c r="F1284" s="3" t="str">
        <f>VLOOKUP(E1284,Countries!$B$3:$C$140,2,FALSE)</f>
        <v>Europe</v>
      </c>
      <c r="G1284" s="4">
        <v>4</v>
      </c>
      <c r="H1284" s="4">
        <v>0</v>
      </c>
    </row>
    <row r="1285" spans="2:8" x14ac:dyDescent="0.2">
      <c r="B1285" s="3" t="s">
        <v>140</v>
      </c>
      <c r="C1285" s="3" t="s">
        <v>26</v>
      </c>
      <c r="D1285" s="3" t="str">
        <f>VLOOKUP(C1285,Countries!$B$3:$C$140,2,FALSE)</f>
        <v>Europe</v>
      </c>
      <c r="E1285" s="3" t="s">
        <v>25</v>
      </c>
      <c r="F1285" s="3" t="str">
        <f>VLOOKUP(E1285,Countries!$B$3:$C$140,2,FALSE)</f>
        <v>Europe</v>
      </c>
      <c r="G1285" s="4">
        <v>48</v>
      </c>
      <c r="H1285" s="4">
        <v>2149794.601989327</v>
      </c>
    </row>
    <row r="1286" spans="2:8" x14ac:dyDescent="0.2">
      <c r="B1286" s="3" t="s">
        <v>140</v>
      </c>
      <c r="C1286" s="3" t="s">
        <v>26</v>
      </c>
      <c r="D1286" s="3" t="str">
        <f>VLOOKUP(C1286,Countries!$B$3:$C$140,2,FALSE)</f>
        <v>Europe</v>
      </c>
      <c r="E1286" s="3" t="s">
        <v>81</v>
      </c>
      <c r="F1286" s="3" t="str">
        <f>VLOOKUP(E1286,Countries!$B$3:$C$140,2,FALSE)</f>
        <v>Asia</v>
      </c>
      <c r="G1286" s="4">
        <v>2</v>
      </c>
      <c r="H1286" s="4">
        <v>0</v>
      </c>
    </row>
    <row r="1287" spans="2:8" x14ac:dyDescent="0.2">
      <c r="B1287" s="3" t="s">
        <v>140</v>
      </c>
      <c r="C1287" s="3" t="s">
        <v>26</v>
      </c>
      <c r="D1287" s="3" t="str">
        <f>VLOOKUP(C1287,Countries!$B$3:$C$140,2,FALSE)</f>
        <v>Europe</v>
      </c>
      <c r="E1287" s="3" t="s">
        <v>82</v>
      </c>
      <c r="F1287" s="3" t="e">
        <f>VLOOKUP(E1287,Countries!$B$3:$C$140,2,FALSE)</f>
        <v>#N/A</v>
      </c>
      <c r="G1287" s="4">
        <v>2</v>
      </c>
      <c r="H1287" s="4">
        <v>0</v>
      </c>
    </row>
    <row r="1288" spans="2:8" x14ac:dyDescent="0.2">
      <c r="B1288" s="3" t="s">
        <v>140</v>
      </c>
      <c r="C1288" s="3" t="s">
        <v>26</v>
      </c>
      <c r="D1288" s="3" t="str">
        <f>VLOOKUP(C1288,Countries!$B$3:$C$140,2,FALSE)</f>
        <v>Europe</v>
      </c>
      <c r="E1288" s="3" t="s">
        <v>46</v>
      </c>
      <c r="F1288" s="3" t="str">
        <f>VLOOKUP(E1288,Countries!$B$3:$C$140,2,FALSE)</f>
        <v>Europe/Asia</v>
      </c>
      <c r="G1288" s="4">
        <v>10</v>
      </c>
      <c r="H1288" s="4">
        <v>0</v>
      </c>
    </row>
    <row r="1289" spans="2:8" x14ac:dyDescent="0.2">
      <c r="B1289" s="3" t="s">
        <v>140</v>
      </c>
      <c r="C1289" s="3" t="s">
        <v>26</v>
      </c>
      <c r="D1289" s="3" t="str">
        <f>VLOOKUP(C1289,Countries!$B$3:$C$140,2,FALSE)</f>
        <v>Europe</v>
      </c>
      <c r="E1289" s="3" t="s">
        <v>55</v>
      </c>
      <c r="F1289" s="3" t="str">
        <f>VLOOKUP(E1289,Countries!$B$3:$C$140,2,FALSE)</f>
        <v>Europe</v>
      </c>
      <c r="G1289" s="4">
        <v>2</v>
      </c>
      <c r="H1289" s="4">
        <v>0</v>
      </c>
    </row>
    <row r="1290" spans="2:8" x14ac:dyDescent="0.2">
      <c r="B1290" s="3" t="s">
        <v>140</v>
      </c>
      <c r="C1290" s="3" t="s">
        <v>26</v>
      </c>
      <c r="D1290" s="3" t="str">
        <f>VLOOKUP(C1290,Countries!$B$3:$C$140,2,FALSE)</f>
        <v>Europe</v>
      </c>
      <c r="E1290" s="3" t="s">
        <v>90</v>
      </c>
      <c r="F1290" s="3" t="str">
        <f>VLOOKUP(E1290,Countries!$B$3:$C$140,2,FALSE)</f>
        <v>Asia</v>
      </c>
      <c r="G1290" s="4">
        <v>2</v>
      </c>
      <c r="H1290" s="4">
        <v>0</v>
      </c>
    </row>
    <row r="1291" spans="2:8" x14ac:dyDescent="0.2">
      <c r="B1291" s="3" t="s">
        <v>140</v>
      </c>
      <c r="C1291" s="3" t="s">
        <v>26</v>
      </c>
      <c r="D1291" s="3" t="str">
        <f>VLOOKUP(C1291,Countries!$B$3:$C$140,2,FALSE)</f>
        <v>Europe</v>
      </c>
      <c r="E1291" s="3" t="s">
        <v>28</v>
      </c>
      <c r="F1291" s="3" t="str">
        <f>VLOOKUP(E1291,Countries!$B$3:$C$140,2,FALSE)</f>
        <v>Europe</v>
      </c>
      <c r="G1291" s="4">
        <v>12</v>
      </c>
      <c r="H1291" s="4">
        <v>0</v>
      </c>
    </row>
    <row r="1292" spans="2:8" x14ac:dyDescent="0.2">
      <c r="B1292" s="3" t="s">
        <v>140</v>
      </c>
      <c r="C1292" s="3" t="s">
        <v>26</v>
      </c>
      <c r="D1292" s="3" t="str">
        <f>VLOOKUP(C1292,Countries!$B$3:$C$140,2,FALSE)</f>
        <v>Europe</v>
      </c>
      <c r="E1292" s="3" t="s">
        <v>29</v>
      </c>
      <c r="F1292" s="3" t="str">
        <f>VLOOKUP(E1292,Countries!$B$3:$C$140,2,FALSE)</f>
        <v>Europe</v>
      </c>
      <c r="G1292" s="4">
        <v>6</v>
      </c>
      <c r="H1292" s="4">
        <v>0</v>
      </c>
    </row>
    <row r="1293" spans="2:8" x14ac:dyDescent="0.2">
      <c r="B1293" s="3" t="s">
        <v>140</v>
      </c>
      <c r="C1293" s="3" t="s">
        <v>26</v>
      </c>
      <c r="D1293" s="3" t="str">
        <f>VLOOKUP(C1293,Countries!$B$3:$C$140,2,FALSE)</f>
        <v>Europe</v>
      </c>
      <c r="E1293" s="3" t="s">
        <v>56</v>
      </c>
      <c r="F1293" s="3" t="str">
        <f>VLOOKUP(E1293,Countries!$B$3:$C$140,2,FALSE)</f>
        <v>Europe</v>
      </c>
      <c r="G1293" s="4">
        <v>2</v>
      </c>
      <c r="H1293" s="4">
        <v>0</v>
      </c>
    </row>
    <row r="1294" spans="2:8" x14ac:dyDescent="0.2">
      <c r="B1294" s="3" t="s">
        <v>140</v>
      </c>
      <c r="C1294" s="3" t="s">
        <v>26</v>
      </c>
      <c r="D1294" s="3" t="str">
        <f>VLOOKUP(C1294,Countries!$B$3:$C$140,2,FALSE)</f>
        <v>Europe</v>
      </c>
      <c r="E1294" s="3" t="s">
        <v>30</v>
      </c>
      <c r="F1294" s="3" t="str">
        <f>VLOOKUP(E1294,Countries!$B$3:$C$140,2,FALSE)</f>
        <v>Europe</v>
      </c>
      <c r="G1294" s="4">
        <v>2</v>
      </c>
      <c r="H1294" s="4">
        <v>0</v>
      </c>
    </row>
    <row r="1295" spans="2:8" x14ac:dyDescent="0.2">
      <c r="B1295" s="3" t="s">
        <v>140</v>
      </c>
      <c r="C1295" s="3" t="s">
        <v>26</v>
      </c>
      <c r="D1295" s="3" t="str">
        <f>VLOOKUP(C1295,Countries!$B$3:$C$140,2,FALSE)</f>
        <v>Europe</v>
      </c>
      <c r="E1295" s="3" t="s">
        <v>31</v>
      </c>
      <c r="F1295" s="3" t="str">
        <f>VLOOKUP(E1295,Countries!$B$3:$C$140,2,FALSE)</f>
        <v>Europe</v>
      </c>
      <c r="G1295" s="4">
        <v>4</v>
      </c>
      <c r="H1295" s="4">
        <v>0</v>
      </c>
    </row>
    <row r="1296" spans="2:8" x14ac:dyDescent="0.2">
      <c r="B1296" s="3" t="s">
        <v>140</v>
      </c>
      <c r="C1296" s="3" t="s">
        <v>26</v>
      </c>
      <c r="D1296" s="3" t="str">
        <f>VLOOKUP(C1296,Countries!$B$3:$C$140,2,FALSE)</f>
        <v>Europe</v>
      </c>
      <c r="E1296" s="3" t="s">
        <v>104</v>
      </c>
      <c r="F1296" s="3" t="str">
        <f>VLOOKUP(E1296,Countries!$B$3:$C$140,2,FALSE)</f>
        <v>Africa</v>
      </c>
      <c r="G1296" s="4">
        <v>2</v>
      </c>
      <c r="H1296" s="4">
        <v>0</v>
      </c>
    </row>
    <row r="1297" spans="2:8" x14ac:dyDescent="0.2">
      <c r="B1297" s="3" t="s">
        <v>140</v>
      </c>
      <c r="C1297" s="3" t="s">
        <v>26</v>
      </c>
      <c r="D1297" s="3" t="str">
        <f>VLOOKUP(C1297,Countries!$B$3:$C$140,2,FALSE)</f>
        <v>Europe</v>
      </c>
      <c r="E1297" s="3" t="s">
        <v>57</v>
      </c>
      <c r="F1297" s="3" t="str">
        <f>VLOOKUP(E1297,Countries!$B$3:$C$140,2,FALSE)</f>
        <v>Europe/Asia</v>
      </c>
      <c r="G1297" s="4">
        <v>6</v>
      </c>
      <c r="H1297" s="4">
        <v>423762.2492355</v>
      </c>
    </row>
    <row r="1298" spans="2:8" x14ac:dyDescent="0.2">
      <c r="B1298" s="3" t="s">
        <v>140</v>
      </c>
      <c r="C1298" s="3" t="s">
        <v>26</v>
      </c>
      <c r="D1298" s="3" t="str">
        <f>VLOOKUP(C1298,Countries!$B$3:$C$140,2,FALSE)</f>
        <v>Europe</v>
      </c>
      <c r="E1298" s="3" t="s">
        <v>105</v>
      </c>
      <c r="F1298" s="3" t="str">
        <f>VLOOKUP(E1298,Countries!$B$3:$C$140,2,FALSE)</f>
        <v>Asia</v>
      </c>
      <c r="G1298" s="4">
        <v>2</v>
      </c>
      <c r="H1298" s="4">
        <v>0</v>
      </c>
    </row>
    <row r="1299" spans="2:8" x14ac:dyDescent="0.2">
      <c r="B1299" s="3" t="s">
        <v>140</v>
      </c>
      <c r="C1299" s="3" t="s">
        <v>26</v>
      </c>
      <c r="D1299" s="3" t="str">
        <f>VLOOKUP(C1299,Countries!$B$3:$C$140,2,FALSE)</f>
        <v>Europe</v>
      </c>
      <c r="E1299" s="3" t="s">
        <v>32</v>
      </c>
      <c r="F1299" s="3" t="str">
        <f>VLOOKUP(E1299,Countries!$B$3:$C$140,2,FALSE)</f>
        <v>Europe</v>
      </c>
      <c r="G1299" s="4">
        <v>6</v>
      </c>
      <c r="H1299" s="4">
        <v>0</v>
      </c>
    </row>
    <row r="1300" spans="2:8" x14ac:dyDescent="0.2">
      <c r="B1300" s="3" t="s">
        <v>140</v>
      </c>
      <c r="C1300" s="3" t="s">
        <v>26</v>
      </c>
      <c r="D1300" s="3" t="str">
        <f>VLOOKUP(C1300,Countries!$B$3:$C$140,2,FALSE)</f>
        <v>Europe</v>
      </c>
      <c r="E1300" s="3" t="s">
        <v>58</v>
      </c>
      <c r="F1300" s="3" t="str">
        <f>VLOOKUP(E1300,Countries!$B$3:$C$140,2,FALSE)</f>
        <v>South America</v>
      </c>
      <c r="G1300" s="4">
        <v>4</v>
      </c>
      <c r="H1300" s="4">
        <v>0</v>
      </c>
    </row>
    <row r="1301" spans="2:8" x14ac:dyDescent="0.2">
      <c r="B1301" s="3" t="s">
        <v>140</v>
      </c>
      <c r="C1301" s="3" t="s">
        <v>26</v>
      </c>
      <c r="D1301" s="3" t="str">
        <f>VLOOKUP(C1301,Countries!$B$3:$C$140,2,FALSE)</f>
        <v>Europe</v>
      </c>
      <c r="E1301" s="3" t="s">
        <v>33</v>
      </c>
      <c r="F1301" s="3" t="str">
        <f>VLOOKUP(E1301,Countries!$B$3:$C$140,2,FALSE)</f>
        <v>North America</v>
      </c>
      <c r="G1301" s="4">
        <v>2</v>
      </c>
      <c r="H1301" s="4">
        <v>0</v>
      </c>
    </row>
    <row r="1302" spans="2:8" x14ac:dyDescent="0.2">
      <c r="B1302" s="3" t="s">
        <v>140</v>
      </c>
      <c r="C1302" s="3" t="s">
        <v>46</v>
      </c>
      <c r="D1302" s="3" t="str">
        <f>VLOOKUP(C1302,Countries!$B$3:$C$140,2,FALSE)</f>
        <v>Europe/Asia</v>
      </c>
      <c r="E1302" s="3" t="s">
        <v>34</v>
      </c>
      <c r="F1302" s="3" t="str">
        <f>VLOOKUP(E1302,Countries!$B$3:$C$140,2,FALSE)</f>
        <v>Asia</v>
      </c>
      <c r="G1302" s="4">
        <v>10</v>
      </c>
      <c r="H1302" s="4">
        <v>0</v>
      </c>
    </row>
    <row r="1303" spans="2:8" x14ac:dyDescent="0.2">
      <c r="B1303" s="3" t="s">
        <v>140</v>
      </c>
      <c r="C1303" s="3" t="s">
        <v>46</v>
      </c>
      <c r="D1303" s="3" t="str">
        <f>VLOOKUP(C1303,Countries!$B$3:$C$140,2,FALSE)</f>
        <v>Europe/Asia</v>
      </c>
      <c r="E1303" s="3" t="s">
        <v>48</v>
      </c>
      <c r="F1303" s="3" t="str">
        <f>VLOOKUP(E1303,Countries!$B$3:$C$140,2,FALSE)</f>
        <v>Oceania</v>
      </c>
      <c r="G1303" s="4">
        <v>2</v>
      </c>
      <c r="H1303" s="4">
        <v>1050000</v>
      </c>
    </row>
    <row r="1304" spans="2:8" x14ac:dyDescent="0.2">
      <c r="B1304" s="3" t="s">
        <v>140</v>
      </c>
      <c r="C1304" s="3" t="s">
        <v>46</v>
      </c>
      <c r="D1304" s="3" t="str">
        <f>VLOOKUP(C1304,Countries!$B$3:$C$140,2,FALSE)</f>
        <v>Europe/Asia</v>
      </c>
      <c r="E1304" s="3" t="s">
        <v>4</v>
      </c>
      <c r="F1304" s="3" t="str">
        <f>VLOOKUP(E1304,Countries!$B$3:$C$140,2,FALSE)</f>
        <v>Asia</v>
      </c>
      <c r="G1304" s="4">
        <v>4</v>
      </c>
      <c r="H1304" s="4">
        <v>0</v>
      </c>
    </row>
    <row r="1305" spans="2:8" x14ac:dyDescent="0.2">
      <c r="B1305" s="3" t="s">
        <v>140</v>
      </c>
      <c r="C1305" s="3" t="s">
        <v>46</v>
      </c>
      <c r="D1305" s="3" t="str">
        <f>VLOOKUP(C1305,Countries!$B$3:$C$140,2,FALSE)</f>
        <v>Europe/Asia</v>
      </c>
      <c r="E1305" s="3" t="s">
        <v>35</v>
      </c>
      <c r="F1305" s="3" t="str">
        <f>VLOOKUP(E1305,Countries!$B$3:$C$140,2,FALSE)</f>
        <v>Europe</v>
      </c>
      <c r="G1305" s="4">
        <v>6</v>
      </c>
      <c r="H1305" s="4">
        <v>44595931.943355002</v>
      </c>
    </row>
    <row r="1306" spans="2:8" x14ac:dyDescent="0.2">
      <c r="B1306" s="3" t="s">
        <v>140</v>
      </c>
      <c r="C1306" s="3" t="s">
        <v>46</v>
      </c>
      <c r="D1306" s="3" t="str">
        <f>VLOOKUP(C1306,Countries!$B$3:$C$140,2,FALSE)</f>
        <v>Europe/Asia</v>
      </c>
      <c r="E1306" s="3" t="s">
        <v>6</v>
      </c>
      <c r="F1306" s="3" t="str">
        <f>VLOOKUP(E1306,Countries!$B$3:$C$140,2,FALSE)</f>
        <v>Europe</v>
      </c>
      <c r="G1306" s="4">
        <v>2</v>
      </c>
      <c r="H1306" s="4">
        <v>0</v>
      </c>
    </row>
    <row r="1307" spans="2:8" x14ac:dyDescent="0.2">
      <c r="B1307" s="3" t="s">
        <v>140</v>
      </c>
      <c r="C1307" s="3" t="s">
        <v>46</v>
      </c>
      <c r="D1307" s="3" t="str">
        <f>VLOOKUP(C1307,Countries!$B$3:$C$140,2,FALSE)</f>
        <v>Europe/Asia</v>
      </c>
      <c r="E1307" s="3" t="s">
        <v>59</v>
      </c>
      <c r="F1307" s="3" t="str">
        <f>VLOOKUP(E1307,Countries!$B$3:$C$140,2,FALSE)</f>
        <v>Europe</v>
      </c>
      <c r="G1307" s="4">
        <v>16</v>
      </c>
      <c r="H1307" s="4">
        <v>18549484.769395232</v>
      </c>
    </row>
    <row r="1308" spans="2:8" x14ac:dyDescent="0.2">
      <c r="B1308" s="3" t="s">
        <v>140</v>
      </c>
      <c r="C1308" s="3" t="s">
        <v>46</v>
      </c>
      <c r="D1308" s="3" t="str">
        <f>VLOOKUP(C1308,Countries!$B$3:$C$140,2,FALSE)</f>
        <v>Europe/Asia</v>
      </c>
      <c r="E1308" s="3" t="s">
        <v>7</v>
      </c>
      <c r="F1308" s="3" t="str">
        <f>VLOOKUP(E1308,Countries!$B$3:$C$140,2,FALSE)</f>
        <v>South America</v>
      </c>
      <c r="G1308" s="4">
        <v>10</v>
      </c>
      <c r="H1308" s="4">
        <v>8071661.8901999993</v>
      </c>
    </row>
    <row r="1309" spans="2:8" x14ac:dyDescent="0.2">
      <c r="B1309" s="3" t="s">
        <v>140</v>
      </c>
      <c r="C1309" s="3" t="s">
        <v>46</v>
      </c>
      <c r="D1309" s="3" t="str">
        <f>VLOOKUP(C1309,Countries!$B$3:$C$140,2,FALSE)</f>
        <v>Europe/Asia</v>
      </c>
      <c r="E1309" s="3" t="s">
        <v>36</v>
      </c>
      <c r="F1309" s="3" t="str">
        <f>VLOOKUP(E1309,Countries!$B$3:$C$140,2,FALSE)</f>
        <v>Europe</v>
      </c>
      <c r="G1309" s="4">
        <v>4</v>
      </c>
      <c r="H1309" s="4">
        <v>0</v>
      </c>
    </row>
    <row r="1310" spans="2:8" x14ac:dyDescent="0.2">
      <c r="B1310" s="3" t="s">
        <v>140</v>
      </c>
      <c r="C1310" s="3" t="s">
        <v>46</v>
      </c>
      <c r="D1310" s="3" t="str">
        <f>VLOOKUP(C1310,Countries!$B$3:$C$140,2,FALSE)</f>
        <v>Europe/Asia</v>
      </c>
      <c r="E1310" s="3" t="s">
        <v>8</v>
      </c>
      <c r="F1310" s="3" t="str">
        <f>VLOOKUP(E1310,Countries!$B$3:$C$140,2,FALSE)</f>
        <v>North America</v>
      </c>
      <c r="G1310" s="4">
        <v>2</v>
      </c>
      <c r="H1310" s="4">
        <v>0</v>
      </c>
    </row>
    <row r="1311" spans="2:8" x14ac:dyDescent="0.2">
      <c r="B1311" s="3" t="s">
        <v>140</v>
      </c>
      <c r="C1311" s="3" t="s">
        <v>46</v>
      </c>
      <c r="D1311" s="3" t="str">
        <f>VLOOKUP(C1311,Countries!$B$3:$C$140,2,FALSE)</f>
        <v>Europe/Asia</v>
      </c>
      <c r="E1311" s="3" t="s">
        <v>9</v>
      </c>
      <c r="F1311" s="3" t="str">
        <f>VLOOKUP(E1311,Countries!$B$3:$C$140,2,FALSE)</f>
        <v>Europe</v>
      </c>
      <c r="G1311" s="4">
        <v>4</v>
      </c>
      <c r="H1311" s="4">
        <v>300000</v>
      </c>
    </row>
    <row r="1312" spans="2:8" x14ac:dyDescent="0.2">
      <c r="B1312" s="3" t="s">
        <v>140</v>
      </c>
      <c r="C1312" s="3" t="s">
        <v>46</v>
      </c>
      <c r="D1312" s="3" t="str">
        <f>VLOOKUP(C1312,Countries!$B$3:$C$140,2,FALSE)</f>
        <v>Europe/Asia</v>
      </c>
      <c r="E1312" s="3" t="s">
        <v>49</v>
      </c>
      <c r="F1312" s="3" t="str">
        <f>VLOOKUP(E1312,Countries!$B$3:$C$140,2,FALSE)</f>
        <v>Europe</v>
      </c>
      <c r="G1312" s="4">
        <v>4</v>
      </c>
      <c r="H1312" s="4">
        <v>161433.237804</v>
      </c>
    </row>
    <row r="1313" spans="2:8" x14ac:dyDescent="0.2">
      <c r="B1313" s="3" t="s">
        <v>140</v>
      </c>
      <c r="C1313" s="3" t="s">
        <v>46</v>
      </c>
      <c r="D1313" s="3" t="str">
        <f>VLOOKUP(C1313,Countries!$B$3:$C$140,2,FALSE)</f>
        <v>Europe/Asia</v>
      </c>
      <c r="E1313" s="3" t="s">
        <v>10</v>
      </c>
      <c r="F1313" s="3" t="str">
        <f>VLOOKUP(E1313,Countries!$B$3:$C$140,2,FALSE)</f>
        <v>Europe</v>
      </c>
      <c r="G1313" s="4">
        <v>4</v>
      </c>
      <c r="H1313" s="4">
        <v>0</v>
      </c>
    </row>
    <row r="1314" spans="2:8" x14ac:dyDescent="0.2">
      <c r="B1314" s="3" t="s">
        <v>140</v>
      </c>
      <c r="C1314" s="3" t="s">
        <v>46</v>
      </c>
      <c r="D1314" s="3" t="str">
        <f>VLOOKUP(C1314,Countries!$B$3:$C$140,2,FALSE)</f>
        <v>Europe/Asia</v>
      </c>
      <c r="E1314" s="3" t="s">
        <v>50</v>
      </c>
      <c r="F1314" s="3" t="str">
        <f>VLOOKUP(E1314,Countries!$B$3:$C$140,2,FALSE)</f>
        <v>Europe</v>
      </c>
      <c r="G1314" s="4">
        <v>26</v>
      </c>
      <c r="H1314" s="4">
        <v>247756795.86017132</v>
      </c>
    </row>
    <row r="1315" spans="2:8" x14ac:dyDescent="0.2">
      <c r="B1315" s="3" t="s">
        <v>140</v>
      </c>
      <c r="C1315" s="3" t="s">
        <v>46</v>
      </c>
      <c r="D1315" s="3" t="str">
        <f>VLOOKUP(C1315,Countries!$B$3:$C$140,2,FALSE)</f>
        <v>Europe/Asia</v>
      </c>
      <c r="E1315" s="3" t="s">
        <v>11</v>
      </c>
      <c r="F1315" s="3" t="str">
        <f>VLOOKUP(E1315,Countries!$B$3:$C$140,2,FALSE)</f>
        <v>Europe</v>
      </c>
      <c r="G1315" s="4">
        <v>12</v>
      </c>
      <c r="H1315" s="4">
        <v>44394140.3961</v>
      </c>
    </row>
    <row r="1316" spans="2:8" x14ac:dyDescent="0.2">
      <c r="B1316" s="3" t="s">
        <v>140</v>
      </c>
      <c r="C1316" s="3" t="s">
        <v>46</v>
      </c>
      <c r="D1316" s="3" t="str">
        <f>VLOOKUP(C1316,Countries!$B$3:$C$140,2,FALSE)</f>
        <v>Europe/Asia</v>
      </c>
      <c r="E1316" s="3" t="s">
        <v>38</v>
      </c>
      <c r="F1316" s="3" t="str">
        <f>VLOOKUP(E1316,Countries!$B$3:$C$140,2,FALSE)</f>
        <v>Europe</v>
      </c>
      <c r="G1316" s="4">
        <v>6</v>
      </c>
      <c r="H1316" s="4">
        <v>0</v>
      </c>
    </row>
    <row r="1317" spans="2:8" x14ac:dyDescent="0.2">
      <c r="B1317" s="3" t="s">
        <v>140</v>
      </c>
      <c r="C1317" s="3" t="s">
        <v>46</v>
      </c>
      <c r="D1317" s="3" t="str">
        <f>VLOOKUP(C1317,Countries!$B$3:$C$140,2,FALSE)</f>
        <v>Europe/Asia</v>
      </c>
      <c r="E1317" s="3" t="s">
        <v>73</v>
      </c>
      <c r="F1317" s="3" t="str">
        <f>VLOOKUP(E1317,Countries!$B$3:$C$140,2,FALSE)</f>
        <v>Europe</v>
      </c>
      <c r="G1317" s="4">
        <v>2</v>
      </c>
      <c r="H1317" s="4">
        <v>0</v>
      </c>
    </row>
    <row r="1318" spans="2:8" x14ac:dyDescent="0.2">
      <c r="B1318" s="3" t="s">
        <v>140</v>
      </c>
      <c r="C1318" s="3" t="s">
        <v>46</v>
      </c>
      <c r="D1318" s="3" t="str">
        <f>VLOOKUP(C1318,Countries!$B$3:$C$140,2,FALSE)</f>
        <v>Europe/Asia</v>
      </c>
      <c r="E1318" s="3" t="s">
        <v>12</v>
      </c>
      <c r="F1318" s="3" t="str">
        <f>VLOOKUP(E1318,Countries!$B$3:$C$140,2,FALSE)</f>
        <v>Europe</v>
      </c>
      <c r="G1318" s="4">
        <v>10</v>
      </c>
      <c r="H1318" s="4">
        <v>0</v>
      </c>
    </row>
    <row r="1319" spans="2:8" x14ac:dyDescent="0.2">
      <c r="B1319" s="3" t="s">
        <v>140</v>
      </c>
      <c r="C1319" s="3" t="s">
        <v>46</v>
      </c>
      <c r="D1319" s="3" t="str">
        <f>VLOOKUP(C1319,Countries!$B$3:$C$140,2,FALSE)</f>
        <v>Europe/Asia</v>
      </c>
      <c r="E1319" s="3" t="s">
        <v>39</v>
      </c>
      <c r="F1319" s="3" t="str">
        <f>VLOOKUP(E1319,Countries!$B$3:$C$140,2,FALSE)</f>
        <v>Europe/Asia</v>
      </c>
      <c r="G1319" s="4">
        <v>4</v>
      </c>
      <c r="H1319" s="4">
        <v>0</v>
      </c>
    </row>
    <row r="1320" spans="2:8" x14ac:dyDescent="0.2">
      <c r="B1320" s="3" t="s">
        <v>140</v>
      </c>
      <c r="C1320" s="3" t="s">
        <v>46</v>
      </c>
      <c r="D1320" s="3" t="str">
        <f>VLOOKUP(C1320,Countries!$B$3:$C$140,2,FALSE)</f>
        <v>Europe/Asia</v>
      </c>
      <c r="E1320" s="3" t="s">
        <v>13</v>
      </c>
      <c r="F1320" s="3" t="str">
        <f>VLOOKUP(E1320,Countries!$B$3:$C$140,2,FALSE)</f>
        <v>Europe</v>
      </c>
      <c r="G1320" s="4">
        <v>4</v>
      </c>
      <c r="H1320" s="4">
        <v>0</v>
      </c>
    </row>
    <row r="1321" spans="2:8" x14ac:dyDescent="0.2">
      <c r="B1321" s="3" t="s">
        <v>140</v>
      </c>
      <c r="C1321" s="3" t="s">
        <v>46</v>
      </c>
      <c r="D1321" s="3" t="str">
        <f>VLOOKUP(C1321,Countries!$B$3:$C$140,2,FALSE)</f>
        <v>Europe/Asia</v>
      </c>
      <c r="E1321" s="3" t="s">
        <v>14</v>
      </c>
      <c r="F1321" s="3" t="str">
        <f>VLOOKUP(E1321,Countries!$B$3:$C$140,2,FALSE)</f>
        <v>Europe</v>
      </c>
      <c r="G1321" s="4">
        <v>4</v>
      </c>
      <c r="H1321" s="4">
        <v>403583.09450999997</v>
      </c>
    </row>
    <row r="1322" spans="2:8" x14ac:dyDescent="0.2">
      <c r="B1322" s="3" t="s">
        <v>140</v>
      </c>
      <c r="C1322" s="3" t="s">
        <v>46</v>
      </c>
      <c r="D1322" s="3" t="str">
        <f>VLOOKUP(C1322,Countries!$B$3:$C$140,2,FALSE)</f>
        <v>Europe/Asia</v>
      </c>
      <c r="E1322" s="3" t="s">
        <v>16</v>
      </c>
      <c r="F1322" s="3" t="str">
        <f>VLOOKUP(E1322,Countries!$B$3:$C$140,2,FALSE)</f>
        <v>Asia</v>
      </c>
      <c r="G1322" s="4">
        <v>2</v>
      </c>
      <c r="H1322" s="4">
        <v>4200000</v>
      </c>
    </row>
    <row r="1323" spans="2:8" x14ac:dyDescent="0.2">
      <c r="B1323" s="3" t="s">
        <v>140</v>
      </c>
      <c r="C1323" s="3" t="s">
        <v>46</v>
      </c>
      <c r="D1323" s="3" t="str">
        <f>VLOOKUP(C1323,Countries!$B$3:$C$140,2,FALSE)</f>
        <v>Europe/Asia</v>
      </c>
      <c r="E1323" s="3" t="s">
        <v>75</v>
      </c>
      <c r="F1323" s="3" t="str">
        <f>VLOOKUP(E1323,Countries!$B$3:$C$140,2,FALSE)</f>
        <v>Europe</v>
      </c>
      <c r="G1323" s="4">
        <v>2</v>
      </c>
      <c r="H1323" s="4">
        <v>0</v>
      </c>
    </row>
    <row r="1324" spans="2:8" x14ac:dyDescent="0.2">
      <c r="B1324" s="3" t="s">
        <v>140</v>
      </c>
      <c r="C1324" s="3" t="s">
        <v>46</v>
      </c>
      <c r="D1324" s="3" t="str">
        <f>VLOOKUP(C1324,Countries!$B$3:$C$140,2,FALSE)</f>
        <v>Europe/Asia</v>
      </c>
      <c r="E1324" s="3" t="s">
        <v>51</v>
      </c>
      <c r="F1324" s="3" t="str">
        <f>VLOOKUP(E1324,Countries!$B$3:$C$140,2,FALSE)</f>
        <v>Asia</v>
      </c>
      <c r="G1324" s="4">
        <v>8</v>
      </c>
      <c r="H1324" s="4">
        <v>1210749.2835300001</v>
      </c>
    </row>
    <row r="1325" spans="2:8" x14ac:dyDescent="0.2">
      <c r="B1325" s="3" t="s">
        <v>140</v>
      </c>
      <c r="C1325" s="3" t="s">
        <v>46</v>
      </c>
      <c r="D1325" s="3" t="str">
        <f>VLOOKUP(C1325,Countries!$B$3:$C$140,2,FALSE)</f>
        <v>Europe/Asia</v>
      </c>
      <c r="E1325" s="3" t="s">
        <v>17</v>
      </c>
      <c r="F1325" s="3" t="str">
        <f>VLOOKUP(E1325,Countries!$B$3:$C$140,2,FALSE)</f>
        <v>Europe</v>
      </c>
      <c r="G1325" s="4">
        <v>6</v>
      </c>
      <c r="H1325" s="4">
        <v>129146590.24319999</v>
      </c>
    </row>
    <row r="1326" spans="2:8" x14ac:dyDescent="0.2">
      <c r="B1326" s="3" t="s">
        <v>140</v>
      </c>
      <c r="C1326" s="3" t="s">
        <v>46</v>
      </c>
      <c r="D1326" s="3" t="str">
        <f>VLOOKUP(C1326,Countries!$B$3:$C$140,2,FALSE)</f>
        <v>Europe/Asia</v>
      </c>
      <c r="E1326" s="3" t="s">
        <v>129</v>
      </c>
      <c r="F1326" s="3" t="str">
        <f>VLOOKUP(E1326,Countries!$B$3:$C$140,2,FALSE)</f>
        <v>Asia</v>
      </c>
      <c r="G1326" s="4">
        <v>4</v>
      </c>
      <c r="H1326" s="4">
        <v>0</v>
      </c>
    </row>
    <row r="1327" spans="2:8" x14ac:dyDescent="0.2">
      <c r="B1327" s="3" t="s">
        <v>140</v>
      </c>
      <c r="C1327" s="3" t="s">
        <v>46</v>
      </c>
      <c r="D1327" s="3" t="str">
        <f>VLOOKUP(C1327,Countries!$B$3:$C$140,2,FALSE)</f>
        <v>Europe/Asia</v>
      </c>
      <c r="E1327" s="3" t="s">
        <v>40</v>
      </c>
      <c r="F1327" s="3" t="str">
        <f>VLOOKUP(E1327,Countries!$B$3:$C$140,2,FALSE)</f>
        <v>Asia</v>
      </c>
      <c r="G1327" s="4">
        <v>2</v>
      </c>
      <c r="H1327" s="4">
        <v>0</v>
      </c>
    </row>
    <row r="1328" spans="2:8" x14ac:dyDescent="0.2">
      <c r="B1328" s="3" t="s">
        <v>140</v>
      </c>
      <c r="C1328" s="3" t="s">
        <v>46</v>
      </c>
      <c r="D1328" s="3" t="str">
        <f>VLOOKUP(C1328,Countries!$B$3:$C$140,2,FALSE)</f>
        <v>Europe/Asia</v>
      </c>
      <c r="E1328" s="3" t="s">
        <v>121</v>
      </c>
      <c r="F1328" s="3" t="str">
        <f>VLOOKUP(E1328,Countries!$B$3:$C$140,2,FALSE)</f>
        <v>Asia</v>
      </c>
      <c r="G1328" s="4">
        <v>4</v>
      </c>
      <c r="H1328" s="4">
        <v>0</v>
      </c>
    </row>
    <row r="1329" spans="2:8" x14ac:dyDescent="0.2">
      <c r="B1329" s="3" t="s">
        <v>140</v>
      </c>
      <c r="C1329" s="3" t="s">
        <v>46</v>
      </c>
      <c r="D1329" s="3" t="str">
        <f>VLOOKUP(C1329,Countries!$B$3:$C$140,2,FALSE)</f>
        <v>Europe/Asia</v>
      </c>
      <c r="E1329" s="3" t="s">
        <v>93</v>
      </c>
      <c r="F1329" s="3" t="str">
        <f>VLOOKUP(E1329,Countries!$B$3:$C$140,2,FALSE)</f>
        <v>Asia</v>
      </c>
      <c r="G1329" s="4">
        <v>2</v>
      </c>
      <c r="H1329" s="4">
        <v>0</v>
      </c>
    </row>
    <row r="1330" spans="2:8" x14ac:dyDescent="0.2">
      <c r="B1330" s="3" t="s">
        <v>140</v>
      </c>
      <c r="C1330" s="3" t="s">
        <v>46</v>
      </c>
      <c r="D1330" s="3" t="str">
        <f>VLOOKUP(C1330,Countries!$B$3:$C$140,2,FALSE)</f>
        <v>Europe/Asia</v>
      </c>
      <c r="E1330" s="3" t="s">
        <v>19</v>
      </c>
      <c r="F1330" s="3" t="str">
        <f>VLOOKUP(E1330,Countries!$B$3:$C$140,2,FALSE)</f>
        <v>Asia</v>
      </c>
      <c r="G1330" s="4">
        <v>2</v>
      </c>
      <c r="H1330" s="4">
        <v>0</v>
      </c>
    </row>
    <row r="1331" spans="2:8" x14ac:dyDescent="0.2">
      <c r="B1331" s="3" t="s">
        <v>140</v>
      </c>
      <c r="C1331" s="3" t="s">
        <v>46</v>
      </c>
      <c r="D1331" s="3" t="str">
        <f>VLOOKUP(C1331,Countries!$B$3:$C$140,2,FALSE)</f>
        <v>Europe/Asia</v>
      </c>
      <c r="E1331" s="3" t="s">
        <v>66</v>
      </c>
      <c r="F1331" s="3" t="str">
        <f>VLOOKUP(E1331,Countries!$B$3:$C$140,2,FALSE)</f>
        <v>Europe</v>
      </c>
      <c r="G1331" s="4">
        <v>12</v>
      </c>
      <c r="H1331" s="4">
        <v>142464.83236202999</v>
      </c>
    </row>
    <row r="1332" spans="2:8" x14ac:dyDescent="0.2">
      <c r="B1332" s="3" t="s">
        <v>140</v>
      </c>
      <c r="C1332" s="3" t="s">
        <v>46</v>
      </c>
      <c r="D1332" s="3" t="str">
        <f>VLOOKUP(C1332,Countries!$B$3:$C$140,2,FALSE)</f>
        <v>Europe/Asia</v>
      </c>
      <c r="E1332" s="3" t="s">
        <v>52</v>
      </c>
      <c r="F1332" s="3" t="str">
        <f>VLOOKUP(E1332,Countries!$B$3:$C$140,2,FALSE)</f>
        <v>Europe</v>
      </c>
      <c r="G1332" s="4">
        <v>20</v>
      </c>
      <c r="H1332" s="4">
        <v>1138105.29644247</v>
      </c>
    </row>
    <row r="1333" spans="2:8" x14ac:dyDescent="0.2">
      <c r="B1333" s="3" t="s">
        <v>140</v>
      </c>
      <c r="C1333" s="3" t="s">
        <v>46</v>
      </c>
      <c r="D1333" s="3" t="str">
        <f>VLOOKUP(C1333,Countries!$B$3:$C$140,2,FALSE)</f>
        <v>Europe/Asia</v>
      </c>
      <c r="E1333" s="3" t="s">
        <v>43</v>
      </c>
      <c r="F1333" s="3" t="str">
        <f>VLOOKUP(E1333,Countries!$B$3:$C$140,2,FALSE)</f>
        <v>Europe</v>
      </c>
      <c r="G1333" s="4">
        <v>18</v>
      </c>
      <c r="H1333" s="4">
        <v>4035830.9450999997</v>
      </c>
    </row>
    <row r="1334" spans="2:8" x14ac:dyDescent="0.2">
      <c r="B1334" s="3" t="s">
        <v>140</v>
      </c>
      <c r="C1334" s="3" t="s">
        <v>46</v>
      </c>
      <c r="D1334" s="3" t="str">
        <f>VLOOKUP(C1334,Countries!$B$3:$C$140,2,FALSE)</f>
        <v>Europe/Asia</v>
      </c>
      <c r="E1334" s="3" t="s">
        <v>94</v>
      </c>
      <c r="F1334" s="3" t="str">
        <f>VLOOKUP(E1334,Countries!$B$3:$C$140,2,FALSE)</f>
        <v>North America</v>
      </c>
      <c r="G1334" s="4">
        <v>2</v>
      </c>
      <c r="H1334" s="4">
        <v>0</v>
      </c>
    </row>
    <row r="1335" spans="2:8" x14ac:dyDescent="0.2">
      <c r="B1335" s="3" t="s">
        <v>140</v>
      </c>
      <c r="C1335" s="3" t="s">
        <v>46</v>
      </c>
      <c r="D1335" s="3" t="str">
        <f>VLOOKUP(C1335,Countries!$B$3:$C$140,2,FALSE)</f>
        <v>Europe/Asia</v>
      </c>
      <c r="E1335" s="3" t="s">
        <v>53</v>
      </c>
      <c r="F1335" s="3" t="str">
        <f>VLOOKUP(E1335,Countries!$B$3:$C$140,2,FALSE)</f>
        <v>Europe</v>
      </c>
      <c r="G1335" s="4">
        <v>8</v>
      </c>
      <c r="H1335" s="4">
        <v>122285677.63653001</v>
      </c>
    </row>
    <row r="1336" spans="2:8" x14ac:dyDescent="0.2">
      <c r="B1336" s="3" t="s">
        <v>140</v>
      </c>
      <c r="C1336" s="3" t="s">
        <v>46</v>
      </c>
      <c r="D1336" s="3" t="str">
        <f>VLOOKUP(C1336,Countries!$B$3:$C$140,2,FALSE)</f>
        <v>Europe/Asia</v>
      </c>
      <c r="E1336" s="3" t="s">
        <v>54</v>
      </c>
      <c r="F1336" s="3" t="str">
        <f>VLOOKUP(E1336,Countries!$B$3:$C$140,2,FALSE)</f>
        <v>Europe</v>
      </c>
      <c r="G1336" s="4">
        <v>6</v>
      </c>
      <c r="H1336" s="4">
        <v>14004333.379496999</v>
      </c>
    </row>
    <row r="1337" spans="2:8" x14ac:dyDescent="0.2">
      <c r="B1337" s="3" t="s">
        <v>140</v>
      </c>
      <c r="C1337" s="3" t="s">
        <v>46</v>
      </c>
      <c r="D1337" s="3" t="str">
        <f>VLOOKUP(C1337,Countries!$B$3:$C$140,2,FALSE)</f>
        <v>Europe/Asia</v>
      </c>
      <c r="E1337" s="3" t="s">
        <v>25</v>
      </c>
      <c r="F1337" s="3" t="str">
        <f>VLOOKUP(E1337,Countries!$B$3:$C$140,2,FALSE)</f>
        <v>Europe</v>
      </c>
      <c r="G1337" s="4">
        <v>4</v>
      </c>
      <c r="H1337" s="4">
        <v>3632247.8505899999</v>
      </c>
    </row>
    <row r="1338" spans="2:8" x14ac:dyDescent="0.2">
      <c r="B1338" s="3" t="s">
        <v>140</v>
      </c>
      <c r="C1338" s="3" t="s">
        <v>46</v>
      </c>
      <c r="D1338" s="3" t="str">
        <f>VLOOKUP(C1338,Countries!$B$3:$C$140,2,FALSE)</f>
        <v>Europe/Asia</v>
      </c>
      <c r="E1338" s="3" t="s">
        <v>26</v>
      </c>
      <c r="F1338" s="3" t="str">
        <f>VLOOKUP(E1338,Countries!$B$3:$C$140,2,FALSE)</f>
        <v>Europe</v>
      </c>
      <c r="G1338" s="4">
        <v>10</v>
      </c>
      <c r="H1338" s="4">
        <v>0</v>
      </c>
    </row>
    <row r="1339" spans="2:8" x14ac:dyDescent="0.2">
      <c r="B1339" s="3" t="s">
        <v>140</v>
      </c>
      <c r="C1339" s="3" t="s">
        <v>46</v>
      </c>
      <c r="D1339" s="3" t="str">
        <f>VLOOKUP(C1339,Countries!$B$3:$C$140,2,FALSE)</f>
        <v>Europe/Asia</v>
      </c>
      <c r="E1339" s="3" t="s">
        <v>47</v>
      </c>
      <c r="F1339" s="3" t="str">
        <f>VLOOKUP(E1339,Countries!$B$3:$C$140,2,FALSE)</f>
        <v>Africa</v>
      </c>
      <c r="G1339" s="4">
        <v>2</v>
      </c>
      <c r="H1339" s="4">
        <v>345000</v>
      </c>
    </row>
    <row r="1340" spans="2:8" x14ac:dyDescent="0.2">
      <c r="B1340" s="3" t="s">
        <v>140</v>
      </c>
      <c r="C1340" s="3" t="s">
        <v>46</v>
      </c>
      <c r="D1340" s="3" t="str">
        <f>VLOOKUP(C1340,Countries!$B$3:$C$140,2,FALSE)</f>
        <v>Europe/Asia</v>
      </c>
      <c r="E1340" s="3" t="s">
        <v>98</v>
      </c>
      <c r="F1340" s="3" t="str">
        <f>VLOOKUP(E1340,Countries!$B$3:$C$140,2,FALSE)</f>
        <v>North America</v>
      </c>
      <c r="G1340" s="4">
        <v>2</v>
      </c>
      <c r="H1340" s="4">
        <v>450000</v>
      </c>
    </row>
    <row r="1341" spans="2:8" x14ac:dyDescent="0.2">
      <c r="B1341" s="3" t="s">
        <v>140</v>
      </c>
      <c r="C1341" s="3" t="s">
        <v>46</v>
      </c>
      <c r="D1341" s="3" t="str">
        <f>VLOOKUP(C1341,Countries!$B$3:$C$140,2,FALSE)</f>
        <v>Europe/Asia</v>
      </c>
      <c r="E1341" s="3" t="s">
        <v>28</v>
      </c>
      <c r="F1341" s="3" t="str">
        <f>VLOOKUP(E1341,Countries!$B$3:$C$140,2,FALSE)</f>
        <v>Europe</v>
      </c>
      <c r="G1341" s="4">
        <v>6</v>
      </c>
      <c r="H1341" s="4">
        <v>0</v>
      </c>
    </row>
    <row r="1342" spans="2:8" x14ac:dyDescent="0.2">
      <c r="B1342" s="3" t="s">
        <v>140</v>
      </c>
      <c r="C1342" s="3" t="s">
        <v>46</v>
      </c>
      <c r="D1342" s="3" t="str">
        <f>VLOOKUP(C1342,Countries!$B$3:$C$140,2,FALSE)</f>
        <v>Europe/Asia</v>
      </c>
      <c r="E1342" s="3" t="s">
        <v>29</v>
      </c>
      <c r="F1342" s="3" t="str">
        <f>VLOOKUP(E1342,Countries!$B$3:$C$140,2,FALSE)</f>
        <v>Europe</v>
      </c>
      <c r="G1342" s="4">
        <v>2</v>
      </c>
      <c r="H1342" s="4">
        <v>0</v>
      </c>
    </row>
    <row r="1343" spans="2:8" x14ac:dyDescent="0.2">
      <c r="B1343" s="3" t="s">
        <v>140</v>
      </c>
      <c r="C1343" s="3" t="s">
        <v>46</v>
      </c>
      <c r="D1343" s="3" t="str">
        <f>VLOOKUP(C1343,Countries!$B$3:$C$140,2,FALSE)</f>
        <v>Europe/Asia</v>
      </c>
      <c r="E1343" s="3" t="s">
        <v>56</v>
      </c>
      <c r="F1343" s="3" t="str">
        <f>VLOOKUP(E1343,Countries!$B$3:$C$140,2,FALSE)</f>
        <v>Europe</v>
      </c>
      <c r="G1343" s="4">
        <v>10</v>
      </c>
      <c r="H1343" s="4">
        <v>6672670.5686400002</v>
      </c>
    </row>
    <row r="1344" spans="2:8" x14ac:dyDescent="0.2">
      <c r="B1344" s="3" t="s">
        <v>140</v>
      </c>
      <c r="C1344" s="3" t="s">
        <v>46</v>
      </c>
      <c r="D1344" s="3" t="str">
        <f>VLOOKUP(C1344,Countries!$B$3:$C$140,2,FALSE)</f>
        <v>Europe/Asia</v>
      </c>
      <c r="E1344" s="3" t="s">
        <v>30</v>
      </c>
      <c r="F1344" s="3" t="str">
        <f>VLOOKUP(E1344,Countries!$B$3:$C$140,2,FALSE)</f>
        <v>Europe</v>
      </c>
      <c r="G1344" s="4">
        <v>2</v>
      </c>
      <c r="H1344" s="4">
        <v>972553.38362999994</v>
      </c>
    </row>
    <row r="1345" spans="2:8" x14ac:dyDescent="0.2">
      <c r="B1345" s="3" t="s">
        <v>140</v>
      </c>
      <c r="C1345" s="3" t="s">
        <v>46</v>
      </c>
      <c r="D1345" s="3" t="str">
        <f>VLOOKUP(C1345,Countries!$B$3:$C$140,2,FALSE)</f>
        <v>Europe/Asia</v>
      </c>
      <c r="E1345" s="3" t="s">
        <v>31</v>
      </c>
      <c r="F1345" s="3" t="str">
        <f>VLOOKUP(E1345,Countries!$B$3:$C$140,2,FALSE)</f>
        <v>Europe</v>
      </c>
      <c r="G1345" s="4">
        <v>2</v>
      </c>
      <c r="H1345" s="4">
        <v>0</v>
      </c>
    </row>
    <row r="1346" spans="2:8" x14ac:dyDescent="0.2">
      <c r="B1346" s="3" t="s">
        <v>140</v>
      </c>
      <c r="C1346" s="3" t="s">
        <v>46</v>
      </c>
      <c r="D1346" s="3" t="str">
        <f>VLOOKUP(C1346,Countries!$B$3:$C$140,2,FALSE)</f>
        <v>Europe/Asia</v>
      </c>
      <c r="E1346" s="3" t="s">
        <v>57</v>
      </c>
      <c r="F1346" s="3" t="str">
        <f>VLOOKUP(E1346,Countries!$B$3:$C$140,2,FALSE)</f>
        <v>Europe/Asia</v>
      </c>
      <c r="G1346" s="4">
        <v>4</v>
      </c>
      <c r="H1346" s="4">
        <v>41165475.640019998</v>
      </c>
    </row>
    <row r="1347" spans="2:8" x14ac:dyDescent="0.2">
      <c r="B1347" s="3" t="s">
        <v>140</v>
      </c>
      <c r="C1347" s="3" t="s">
        <v>46</v>
      </c>
      <c r="D1347" s="3" t="str">
        <f>VLOOKUP(C1347,Countries!$B$3:$C$140,2,FALSE)</f>
        <v>Europe/Asia</v>
      </c>
      <c r="E1347" s="3" t="s">
        <v>32</v>
      </c>
      <c r="F1347" s="3" t="str">
        <f>VLOOKUP(E1347,Countries!$B$3:$C$140,2,FALSE)</f>
        <v>Europe</v>
      </c>
      <c r="G1347" s="4">
        <v>26</v>
      </c>
      <c r="H1347" s="4">
        <v>55485660.022575006</v>
      </c>
    </row>
    <row r="1348" spans="2:8" x14ac:dyDescent="0.2">
      <c r="B1348" s="3" t="s">
        <v>140</v>
      </c>
      <c r="C1348" s="3" t="s">
        <v>46</v>
      </c>
      <c r="D1348" s="3" t="str">
        <f>VLOOKUP(C1348,Countries!$B$3:$C$140,2,FALSE)</f>
        <v>Europe/Asia</v>
      </c>
      <c r="E1348" s="3" t="s">
        <v>58</v>
      </c>
      <c r="F1348" s="3" t="str">
        <f>VLOOKUP(E1348,Countries!$B$3:$C$140,2,FALSE)</f>
        <v>South America</v>
      </c>
      <c r="G1348" s="4">
        <v>2</v>
      </c>
      <c r="H1348" s="4">
        <v>0</v>
      </c>
    </row>
    <row r="1349" spans="2:8" x14ac:dyDescent="0.2">
      <c r="B1349" s="3" t="s">
        <v>140</v>
      </c>
      <c r="C1349" s="3" t="s">
        <v>55</v>
      </c>
      <c r="D1349" s="3" t="str">
        <f>VLOOKUP(C1349,Countries!$B$3:$C$140,2,FALSE)</f>
        <v>Europe</v>
      </c>
      <c r="E1349" s="3" t="s">
        <v>48</v>
      </c>
      <c r="F1349" s="3" t="str">
        <f>VLOOKUP(E1349,Countries!$B$3:$C$140,2,FALSE)</f>
        <v>Oceania</v>
      </c>
      <c r="G1349" s="4">
        <v>6</v>
      </c>
      <c r="H1349" s="4">
        <v>1240528.0035599999</v>
      </c>
    </row>
    <row r="1350" spans="2:8" x14ac:dyDescent="0.2">
      <c r="B1350" s="3" t="s">
        <v>140</v>
      </c>
      <c r="C1350" s="3" t="s">
        <v>55</v>
      </c>
      <c r="D1350" s="3" t="str">
        <f>VLOOKUP(C1350,Countries!$B$3:$C$140,2,FALSE)</f>
        <v>Europe</v>
      </c>
      <c r="E1350" s="3" t="s">
        <v>3</v>
      </c>
      <c r="F1350" s="3" t="str">
        <f>VLOOKUP(E1350,Countries!$B$3:$C$140,2,FALSE)</f>
        <v>Europe</v>
      </c>
      <c r="G1350" s="4">
        <v>2</v>
      </c>
      <c r="H1350" s="4">
        <v>0</v>
      </c>
    </row>
    <row r="1351" spans="2:8" x14ac:dyDescent="0.2">
      <c r="B1351" s="3" t="s">
        <v>140</v>
      </c>
      <c r="C1351" s="3" t="s">
        <v>55</v>
      </c>
      <c r="D1351" s="3" t="str">
        <f>VLOOKUP(C1351,Countries!$B$3:$C$140,2,FALSE)</f>
        <v>Europe</v>
      </c>
      <c r="E1351" s="3" t="s">
        <v>35</v>
      </c>
      <c r="F1351" s="3" t="str">
        <f>VLOOKUP(E1351,Countries!$B$3:$C$140,2,FALSE)</f>
        <v>Europe</v>
      </c>
      <c r="G1351" s="4">
        <v>2</v>
      </c>
      <c r="H1351" s="4">
        <v>4249302.6233999999</v>
      </c>
    </row>
    <row r="1352" spans="2:8" x14ac:dyDescent="0.2">
      <c r="B1352" s="3" t="s">
        <v>140</v>
      </c>
      <c r="C1352" s="3" t="s">
        <v>55</v>
      </c>
      <c r="D1352" s="3" t="str">
        <f>VLOOKUP(C1352,Countries!$B$3:$C$140,2,FALSE)</f>
        <v>Europe</v>
      </c>
      <c r="E1352" s="3" t="s">
        <v>36</v>
      </c>
      <c r="F1352" s="3" t="str">
        <f>VLOOKUP(E1352,Countries!$B$3:$C$140,2,FALSE)</f>
        <v>Europe</v>
      </c>
      <c r="G1352" s="4">
        <v>2</v>
      </c>
      <c r="H1352" s="4">
        <v>215244.30361923028</v>
      </c>
    </row>
    <row r="1353" spans="2:8" x14ac:dyDescent="0.2">
      <c r="B1353" s="3" t="s">
        <v>140</v>
      </c>
      <c r="C1353" s="3" t="s">
        <v>55</v>
      </c>
      <c r="D1353" s="3" t="str">
        <f>VLOOKUP(C1353,Countries!$B$3:$C$140,2,FALSE)</f>
        <v>Europe</v>
      </c>
      <c r="E1353" s="3" t="s">
        <v>8</v>
      </c>
      <c r="F1353" s="3" t="str">
        <f>VLOOKUP(E1353,Countries!$B$3:$C$140,2,FALSE)</f>
        <v>North America</v>
      </c>
      <c r="G1353" s="4">
        <v>4</v>
      </c>
      <c r="H1353" s="4">
        <v>0</v>
      </c>
    </row>
    <row r="1354" spans="2:8" x14ac:dyDescent="0.2">
      <c r="B1354" s="3" t="s">
        <v>140</v>
      </c>
      <c r="C1354" s="3" t="s">
        <v>55</v>
      </c>
      <c r="D1354" s="3" t="str">
        <f>VLOOKUP(C1354,Countries!$B$3:$C$140,2,FALSE)</f>
        <v>Europe</v>
      </c>
      <c r="E1354" s="3" t="s">
        <v>89</v>
      </c>
      <c r="F1354" s="3" t="str">
        <f>VLOOKUP(E1354,Countries!$B$3:$C$140,2,FALSE)</f>
        <v>Asia</v>
      </c>
      <c r="G1354" s="4">
        <v>2</v>
      </c>
      <c r="H1354" s="4">
        <v>0</v>
      </c>
    </row>
    <row r="1355" spans="2:8" x14ac:dyDescent="0.2">
      <c r="B1355" s="3" t="s">
        <v>140</v>
      </c>
      <c r="C1355" s="3" t="s">
        <v>55</v>
      </c>
      <c r="D1355" s="3" t="str">
        <f>VLOOKUP(C1355,Countries!$B$3:$C$140,2,FALSE)</f>
        <v>Europe</v>
      </c>
      <c r="E1355" s="3" t="s">
        <v>62</v>
      </c>
      <c r="F1355" s="3" t="str">
        <f>VLOOKUP(E1355,Countries!$B$3:$C$140,2,FALSE)</f>
        <v>Asia</v>
      </c>
      <c r="G1355" s="4">
        <v>6</v>
      </c>
      <c r="H1355" s="4">
        <v>0</v>
      </c>
    </row>
    <row r="1356" spans="2:8" x14ac:dyDescent="0.2">
      <c r="B1356" s="3" t="s">
        <v>140</v>
      </c>
      <c r="C1356" s="3" t="s">
        <v>55</v>
      </c>
      <c r="D1356" s="3" t="str">
        <f>VLOOKUP(C1356,Countries!$B$3:$C$140,2,FALSE)</f>
        <v>Europe</v>
      </c>
      <c r="E1356" s="3" t="s">
        <v>49</v>
      </c>
      <c r="F1356" s="3" t="str">
        <f>VLOOKUP(E1356,Countries!$B$3:$C$140,2,FALSE)</f>
        <v>Europe</v>
      </c>
      <c r="G1356" s="4">
        <v>2</v>
      </c>
      <c r="H1356" s="4">
        <v>100895.77362749999</v>
      </c>
    </row>
    <row r="1357" spans="2:8" x14ac:dyDescent="0.2">
      <c r="B1357" s="3" t="s">
        <v>140</v>
      </c>
      <c r="C1357" s="3" t="s">
        <v>55</v>
      </c>
      <c r="D1357" s="3" t="str">
        <f>VLOOKUP(C1357,Countries!$B$3:$C$140,2,FALSE)</f>
        <v>Europe</v>
      </c>
      <c r="E1357" s="3" t="s">
        <v>10</v>
      </c>
      <c r="F1357" s="3" t="str">
        <f>VLOOKUP(E1357,Countries!$B$3:$C$140,2,FALSE)</f>
        <v>Europe</v>
      </c>
      <c r="G1357" s="4">
        <v>4</v>
      </c>
      <c r="H1357" s="4">
        <v>0</v>
      </c>
    </row>
    <row r="1358" spans="2:8" x14ac:dyDescent="0.2">
      <c r="B1358" s="3" t="s">
        <v>140</v>
      </c>
      <c r="C1358" s="3" t="s">
        <v>55</v>
      </c>
      <c r="D1358" s="3" t="str">
        <f>VLOOKUP(C1358,Countries!$B$3:$C$140,2,FALSE)</f>
        <v>Europe</v>
      </c>
      <c r="E1358" s="3" t="s">
        <v>50</v>
      </c>
      <c r="F1358" s="3" t="str">
        <f>VLOOKUP(E1358,Countries!$B$3:$C$140,2,FALSE)</f>
        <v>Europe</v>
      </c>
      <c r="G1358" s="4">
        <v>222</v>
      </c>
      <c r="H1358" s="4">
        <v>2848481.5018020868</v>
      </c>
    </row>
    <row r="1359" spans="2:8" x14ac:dyDescent="0.2">
      <c r="B1359" s="3" t="s">
        <v>140</v>
      </c>
      <c r="C1359" s="3" t="s">
        <v>55</v>
      </c>
      <c r="D1359" s="3" t="str">
        <f>VLOOKUP(C1359,Countries!$B$3:$C$140,2,FALSE)</f>
        <v>Europe</v>
      </c>
      <c r="E1359" s="3" t="s">
        <v>11</v>
      </c>
      <c r="F1359" s="3" t="str">
        <f>VLOOKUP(E1359,Countries!$B$3:$C$140,2,FALSE)</f>
        <v>Europe</v>
      </c>
      <c r="G1359" s="4">
        <v>8</v>
      </c>
      <c r="H1359" s="4">
        <v>1410724.4355000001</v>
      </c>
    </row>
    <row r="1360" spans="2:8" x14ac:dyDescent="0.2">
      <c r="B1360" s="3" t="s">
        <v>140</v>
      </c>
      <c r="C1360" s="3" t="s">
        <v>55</v>
      </c>
      <c r="D1360" s="3" t="str">
        <f>VLOOKUP(C1360,Countries!$B$3:$C$140,2,FALSE)</f>
        <v>Europe</v>
      </c>
      <c r="E1360" s="3" t="s">
        <v>73</v>
      </c>
      <c r="F1360" s="3" t="str">
        <f>VLOOKUP(E1360,Countries!$B$3:$C$140,2,FALSE)</f>
        <v>Europe</v>
      </c>
      <c r="G1360" s="4">
        <v>2</v>
      </c>
      <c r="H1360" s="4">
        <v>0</v>
      </c>
    </row>
    <row r="1361" spans="2:8" x14ac:dyDescent="0.2">
      <c r="B1361" s="3" t="s">
        <v>140</v>
      </c>
      <c r="C1361" s="3" t="s">
        <v>55</v>
      </c>
      <c r="D1361" s="3" t="str">
        <f>VLOOKUP(C1361,Countries!$B$3:$C$140,2,FALSE)</f>
        <v>Europe</v>
      </c>
      <c r="E1361" s="3" t="s">
        <v>12</v>
      </c>
      <c r="F1361" s="3" t="str">
        <f>VLOOKUP(E1361,Countries!$B$3:$C$140,2,FALSE)</f>
        <v>Europe</v>
      </c>
      <c r="G1361" s="4">
        <v>4</v>
      </c>
      <c r="H1361" s="4">
        <v>3228664.7560799997</v>
      </c>
    </row>
    <row r="1362" spans="2:8" x14ac:dyDescent="0.2">
      <c r="B1362" s="3" t="s">
        <v>140</v>
      </c>
      <c r="C1362" s="3" t="s">
        <v>55</v>
      </c>
      <c r="D1362" s="3" t="str">
        <f>VLOOKUP(C1362,Countries!$B$3:$C$140,2,FALSE)</f>
        <v>Europe</v>
      </c>
      <c r="E1362" s="3" t="s">
        <v>114</v>
      </c>
      <c r="F1362" s="3" t="str">
        <f>VLOOKUP(E1362,Countries!$B$3:$C$140,2,FALSE)</f>
        <v>Africa</v>
      </c>
      <c r="G1362" s="4">
        <v>2</v>
      </c>
      <c r="H1362" s="4">
        <v>0</v>
      </c>
    </row>
    <row r="1363" spans="2:8" x14ac:dyDescent="0.2">
      <c r="B1363" s="3" t="s">
        <v>140</v>
      </c>
      <c r="C1363" s="3" t="s">
        <v>55</v>
      </c>
      <c r="D1363" s="3" t="str">
        <f>VLOOKUP(C1363,Countries!$B$3:$C$140,2,FALSE)</f>
        <v>Europe</v>
      </c>
      <c r="E1363" s="3" t="s">
        <v>13</v>
      </c>
      <c r="F1363" s="3" t="str">
        <f>VLOOKUP(E1363,Countries!$B$3:$C$140,2,FALSE)</f>
        <v>Europe</v>
      </c>
      <c r="G1363" s="4">
        <v>4</v>
      </c>
      <c r="H1363" s="4">
        <v>0</v>
      </c>
    </row>
    <row r="1364" spans="2:8" x14ac:dyDescent="0.2">
      <c r="B1364" s="3" t="s">
        <v>140</v>
      </c>
      <c r="C1364" s="3" t="s">
        <v>55</v>
      </c>
      <c r="D1364" s="3" t="str">
        <f>VLOOKUP(C1364,Countries!$B$3:$C$140,2,FALSE)</f>
        <v>Europe</v>
      </c>
      <c r="E1364" s="3" t="s">
        <v>14</v>
      </c>
      <c r="F1364" s="3" t="str">
        <f>VLOOKUP(E1364,Countries!$B$3:$C$140,2,FALSE)</f>
        <v>Europe</v>
      </c>
      <c r="G1364" s="4">
        <v>6</v>
      </c>
      <c r="H1364" s="4">
        <v>0</v>
      </c>
    </row>
    <row r="1365" spans="2:8" x14ac:dyDescent="0.2">
      <c r="B1365" s="3" t="s">
        <v>140</v>
      </c>
      <c r="C1365" s="3" t="s">
        <v>55</v>
      </c>
      <c r="D1365" s="3" t="str">
        <f>VLOOKUP(C1365,Countries!$B$3:$C$140,2,FALSE)</f>
        <v>Europe</v>
      </c>
      <c r="E1365" s="3" t="s">
        <v>108</v>
      </c>
      <c r="F1365" s="3" t="str">
        <f>VLOOKUP(E1365,Countries!$B$3:$C$140,2,FALSE)</f>
        <v>North America</v>
      </c>
      <c r="G1365" s="4">
        <v>2</v>
      </c>
      <c r="H1365" s="4">
        <v>0</v>
      </c>
    </row>
    <row r="1366" spans="2:8" x14ac:dyDescent="0.2">
      <c r="B1366" s="3" t="s">
        <v>140</v>
      </c>
      <c r="C1366" s="3" t="s">
        <v>55</v>
      </c>
      <c r="D1366" s="3" t="str">
        <f>VLOOKUP(C1366,Countries!$B$3:$C$140,2,FALSE)</f>
        <v>Europe</v>
      </c>
      <c r="E1366" s="3" t="s">
        <v>15</v>
      </c>
      <c r="F1366" s="3" t="str">
        <f>VLOOKUP(E1366,Countries!$B$3:$C$140,2,FALSE)</f>
        <v>Europe</v>
      </c>
      <c r="G1366" s="4">
        <v>2</v>
      </c>
      <c r="H1366" s="4">
        <v>0</v>
      </c>
    </row>
    <row r="1367" spans="2:8" x14ac:dyDescent="0.2">
      <c r="B1367" s="3" t="s">
        <v>140</v>
      </c>
      <c r="C1367" s="3" t="s">
        <v>55</v>
      </c>
      <c r="D1367" s="3" t="str">
        <f>VLOOKUP(C1367,Countries!$B$3:$C$140,2,FALSE)</f>
        <v>Europe</v>
      </c>
      <c r="E1367" s="3" t="s">
        <v>101</v>
      </c>
      <c r="F1367" s="3" t="str">
        <f>VLOOKUP(E1367,Countries!$B$3:$C$140,2,FALSE)</f>
        <v>Europe</v>
      </c>
      <c r="G1367" s="4">
        <v>10</v>
      </c>
      <c r="H1367" s="4">
        <v>4842.9971341199998</v>
      </c>
    </row>
    <row r="1368" spans="2:8" x14ac:dyDescent="0.2">
      <c r="B1368" s="3" t="s">
        <v>140</v>
      </c>
      <c r="C1368" s="3" t="s">
        <v>55</v>
      </c>
      <c r="D1368" s="3" t="str">
        <f>VLOOKUP(C1368,Countries!$B$3:$C$140,2,FALSE)</f>
        <v>Europe</v>
      </c>
      <c r="E1368" s="3" t="s">
        <v>75</v>
      </c>
      <c r="F1368" s="3" t="str">
        <f>VLOOKUP(E1368,Countries!$B$3:$C$140,2,FALSE)</f>
        <v>Europe</v>
      </c>
      <c r="G1368" s="4">
        <v>8</v>
      </c>
      <c r="H1368" s="4">
        <v>0</v>
      </c>
    </row>
    <row r="1369" spans="2:8" x14ac:dyDescent="0.2">
      <c r="B1369" s="3" t="s">
        <v>140</v>
      </c>
      <c r="C1369" s="3" t="s">
        <v>55</v>
      </c>
      <c r="D1369" s="3" t="str">
        <f>VLOOKUP(C1369,Countries!$B$3:$C$140,2,FALSE)</f>
        <v>Europe</v>
      </c>
      <c r="E1369" s="3" t="s">
        <v>17</v>
      </c>
      <c r="F1369" s="3" t="str">
        <f>VLOOKUP(E1369,Countries!$B$3:$C$140,2,FALSE)</f>
        <v>Europe</v>
      </c>
      <c r="G1369" s="4">
        <v>4</v>
      </c>
      <c r="H1369" s="4">
        <v>2017915.4725499998</v>
      </c>
    </row>
    <row r="1370" spans="2:8" x14ac:dyDescent="0.2">
      <c r="B1370" s="3" t="s">
        <v>140</v>
      </c>
      <c r="C1370" s="3" t="s">
        <v>55</v>
      </c>
      <c r="D1370" s="3" t="str">
        <f>VLOOKUP(C1370,Countries!$B$3:$C$140,2,FALSE)</f>
        <v>Europe</v>
      </c>
      <c r="E1370" s="3" t="s">
        <v>66</v>
      </c>
      <c r="F1370" s="3" t="str">
        <f>VLOOKUP(E1370,Countries!$B$3:$C$140,2,FALSE)</f>
        <v>Europe</v>
      </c>
      <c r="G1370" s="4">
        <v>4</v>
      </c>
      <c r="H1370" s="4">
        <v>0</v>
      </c>
    </row>
    <row r="1371" spans="2:8" x14ac:dyDescent="0.2">
      <c r="B1371" s="3" t="s">
        <v>140</v>
      </c>
      <c r="C1371" s="3" t="s">
        <v>55</v>
      </c>
      <c r="D1371" s="3" t="str">
        <f>VLOOKUP(C1371,Countries!$B$3:$C$140,2,FALSE)</f>
        <v>Europe</v>
      </c>
      <c r="E1371" s="3" t="s">
        <v>22</v>
      </c>
      <c r="F1371" s="3" t="str">
        <f>VLOOKUP(E1371,Countries!$B$3:$C$140,2,FALSE)</f>
        <v>Europe</v>
      </c>
      <c r="G1371" s="4">
        <v>8</v>
      </c>
      <c r="H1371" s="4">
        <v>0</v>
      </c>
    </row>
    <row r="1372" spans="2:8" x14ac:dyDescent="0.2">
      <c r="B1372" s="3" t="s">
        <v>140</v>
      </c>
      <c r="C1372" s="3" t="s">
        <v>55</v>
      </c>
      <c r="D1372" s="3" t="str">
        <f>VLOOKUP(C1372,Countries!$B$3:$C$140,2,FALSE)</f>
        <v>Europe</v>
      </c>
      <c r="E1372" s="3" t="s">
        <v>53</v>
      </c>
      <c r="F1372" s="3" t="str">
        <f>VLOOKUP(E1372,Countries!$B$3:$C$140,2,FALSE)</f>
        <v>Europe</v>
      </c>
      <c r="G1372" s="4">
        <v>10</v>
      </c>
      <c r="H1372" s="4">
        <v>0</v>
      </c>
    </row>
    <row r="1373" spans="2:8" x14ac:dyDescent="0.2">
      <c r="B1373" s="3" t="s">
        <v>140</v>
      </c>
      <c r="C1373" s="3" t="s">
        <v>55</v>
      </c>
      <c r="D1373" s="3" t="str">
        <f>VLOOKUP(C1373,Countries!$B$3:$C$140,2,FALSE)</f>
        <v>Europe</v>
      </c>
      <c r="E1373" s="3" t="s">
        <v>24</v>
      </c>
      <c r="F1373" s="3" t="str">
        <f>VLOOKUP(E1373,Countries!$B$3:$C$140,2,FALSE)</f>
        <v>Africa</v>
      </c>
      <c r="G1373" s="4">
        <v>2</v>
      </c>
      <c r="H1373" s="4">
        <v>235120.73925000001</v>
      </c>
    </row>
    <row r="1374" spans="2:8" x14ac:dyDescent="0.2">
      <c r="B1374" s="3" t="s">
        <v>140</v>
      </c>
      <c r="C1374" s="3" t="s">
        <v>55</v>
      </c>
      <c r="D1374" s="3" t="str">
        <f>VLOOKUP(C1374,Countries!$B$3:$C$140,2,FALSE)</f>
        <v>Europe</v>
      </c>
      <c r="E1374" s="3" t="s">
        <v>78</v>
      </c>
      <c r="F1374" s="3" t="str">
        <f>VLOOKUP(E1374,Countries!$B$3:$C$140,2,FALSE)</f>
        <v>Europe</v>
      </c>
      <c r="G1374" s="4">
        <v>16</v>
      </c>
      <c r="H1374" s="4">
        <v>228102.38518338749</v>
      </c>
    </row>
    <row r="1375" spans="2:8" x14ac:dyDescent="0.2">
      <c r="B1375" s="3" t="s">
        <v>140</v>
      </c>
      <c r="C1375" s="3" t="s">
        <v>55</v>
      </c>
      <c r="D1375" s="3" t="str">
        <f>VLOOKUP(C1375,Countries!$B$3:$C$140,2,FALSE)</f>
        <v>Europe</v>
      </c>
      <c r="E1375" s="3" t="s">
        <v>44</v>
      </c>
      <c r="F1375" s="3" t="str">
        <f>VLOOKUP(E1375,Countries!$B$3:$C$140,2,FALSE)</f>
        <v>Europe</v>
      </c>
      <c r="G1375" s="4">
        <v>2</v>
      </c>
      <c r="H1375" s="4">
        <v>0</v>
      </c>
    </row>
    <row r="1376" spans="2:8" x14ac:dyDescent="0.2">
      <c r="B1376" s="3" t="s">
        <v>140</v>
      </c>
      <c r="C1376" s="3" t="s">
        <v>55</v>
      </c>
      <c r="D1376" s="3" t="str">
        <f>VLOOKUP(C1376,Countries!$B$3:$C$140,2,FALSE)</f>
        <v>Europe</v>
      </c>
      <c r="E1376" s="3" t="s">
        <v>31</v>
      </c>
      <c r="F1376" s="3" t="str">
        <f>VLOOKUP(E1376,Countries!$B$3:$C$140,2,FALSE)</f>
        <v>Europe</v>
      </c>
      <c r="G1376" s="4">
        <v>6</v>
      </c>
      <c r="H1376" s="4">
        <v>13774268.089469999</v>
      </c>
    </row>
    <row r="1377" spans="2:8" x14ac:dyDescent="0.2">
      <c r="B1377" s="3" t="s">
        <v>140</v>
      </c>
      <c r="C1377" s="3" t="s">
        <v>55</v>
      </c>
      <c r="D1377" s="3" t="str">
        <f>VLOOKUP(C1377,Countries!$B$3:$C$140,2,FALSE)</f>
        <v>Europe</v>
      </c>
      <c r="E1377" s="3" t="s">
        <v>112</v>
      </c>
      <c r="F1377" s="3" t="str">
        <f>VLOOKUP(E1377,Countries!$B$3:$C$140,2,FALSE)</f>
        <v>Asia</v>
      </c>
      <c r="G1377" s="4">
        <v>2</v>
      </c>
      <c r="H1377" s="4">
        <v>0</v>
      </c>
    </row>
    <row r="1378" spans="2:8" x14ac:dyDescent="0.2">
      <c r="B1378" s="3" t="s">
        <v>140</v>
      </c>
      <c r="C1378" s="3" t="s">
        <v>55</v>
      </c>
      <c r="D1378" s="3" t="str">
        <f>VLOOKUP(C1378,Countries!$B$3:$C$140,2,FALSE)</f>
        <v>Europe</v>
      </c>
      <c r="E1378" s="3" t="s">
        <v>84</v>
      </c>
      <c r="F1378" s="3" t="str">
        <f>VLOOKUP(E1378,Countries!$B$3:$C$140,2,FALSE)</f>
        <v>North America</v>
      </c>
      <c r="G1378" s="4">
        <v>2</v>
      </c>
      <c r="H1378" s="4">
        <v>0</v>
      </c>
    </row>
    <row r="1379" spans="2:8" x14ac:dyDescent="0.2">
      <c r="B1379" s="3" t="s">
        <v>140</v>
      </c>
      <c r="C1379" s="3" t="s">
        <v>55</v>
      </c>
      <c r="D1379" s="3" t="str">
        <f>VLOOKUP(C1379,Countries!$B$3:$C$140,2,FALSE)</f>
        <v>Europe</v>
      </c>
      <c r="E1379" s="3" t="s">
        <v>57</v>
      </c>
      <c r="F1379" s="3" t="str">
        <f>VLOOKUP(E1379,Countries!$B$3:$C$140,2,FALSE)</f>
        <v>Europe/Asia</v>
      </c>
      <c r="G1379" s="4">
        <v>4</v>
      </c>
      <c r="H1379" s="4">
        <v>0</v>
      </c>
    </row>
    <row r="1380" spans="2:8" x14ac:dyDescent="0.2">
      <c r="B1380" s="3" t="s">
        <v>140</v>
      </c>
      <c r="C1380" s="3" t="s">
        <v>55</v>
      </c>
      <c r="D1380" s="3" t="str">
        <f>VLOOKUP(C1380,Countries!$B$3:$C$140,2,FALSE)</f>
        <v>Europe</v>
      </c>
      <c r="E1380" s="3" t="s">
        <v>32</v>
      </c>
      <c r="F1380" s="3" t="str">
        <f>VLOOKUP(E1380,Countries!$B$3:$C$140,2,FALSE)</f>
        <v>Europe</v>
      </c>
      <c r="G1380" s="4">
        <v>2</v>
      </c>
      <c r="H1380" s="4">
        <v>1410724.4355000001</v>
      </c>
    </row>
    <row r="1381" spans="2:8" x14ac:dyDescent="0.2">
      <c r="B1381" s="3" t="s">
        <v>140</v>
      </c>
      <c r="C1381" s="3" t="s">
        <v>55</v>
      </c>
      <c r="D1381" s="3" t="str">
        <f>VLOOKUP(C1381,Countries!$B$3:$C$140,2,FALSE)</f>
        <v>Europe</v>
      </c>
      <c r="E1381" s="3" t="s">
        <v>85</v>
      </c>
      <c r="F1381" s="3" t="str">
        <f>VLOOKUP(E1381,Countries!$B$3:$C$140,2,FALSE)</f>
        <v>Asia</v>
      </c>
      <c r="G1381" s="4">
        <v>2</v>
      </c>
      <c r="H1381" s="4">
        <v>0</v>
      </c>
    </row>
    <row r="1382" spans="2:8" x14ac:dyDescent="0.2">
      <c r="B1382" s="3" t="s">
        <v>140</v>
      </c>
      <c r="C1382" s="3" t="s">
        <v>55</v>
      </c>
      <c r="D1382" s="3" t="str">
        <f>VLOOKUP(C1382,Countries!$B$3:$C$140,2,FALSE)</f>
        <v>Europe</v>
      </c>
      <c r="E1382" s="3" t="s">
        <v>86</v>
      </c>
      <c r="F1382" s="3" t="str">
        <f>VLOOKUP(E1382,Countries!$B$3:$C$140,2,FALSE)</f>
        <v>Europe</v>
      </c>
      <c r="G1382" s="4">
        <v>8</v>
      </c>
      <c r="H1382" s="4">
        <v>0</v>
      </c>
    </row>
    <row r="1383" spans="2:8" x14ac:dyDescent="0.2">
      <c r="B1383" s="3" t="s">
        <v>140</v>
      </c>
      <c r="C1383" s="3" t="s">
        <v>28</v>
      </c>
      <c r="D1383" s="3" t="str">
        <f>VLOOKUP(C1383,Countries!$B$3:$C$140,2,FALSE)</f>
        <v>Europe</v>
      </c>
      <c r="E1383" s="3" t="s">
        <v>2</v>
      </c>
      <c r="F1383" s="3" t="str">
        <f>VLOOKUP(E1383,Countries!$B$3:$C$140,2,FALSE)</f>
        <v>Europe</v>
      </c>
      <c r="G1383" s="4">
        <v>2</v>
      </c>
      <c r="H1383" s="4">
        <v>0</v>
      </c>
    </row>
    <row r="1384" spans="2:8" x14ac:dyDescent="0.2">
      <c r="B1384" s="3" t="s">
        <v>140</v>
      </c>
      <c r="C1384" s="3" t="s">
        <v>28</v>
      </c>
      <c r="D1384" s="3" t="str">
        <f>VLOOKUP(C1384,Countries!$B$3:$C$140,2,FALSE)</f>
        <v>Europe</v>
      </c>
      <c r="E1384" s="3" t="s">
        <v>3</v>
      </c>
      <c r="F1384" s="3" t="str">
        <f>VLOOKUP(E1384,Countries!$B$3:$C$140,2,FALSE)</f>
        <v>Europe</v>
      </c>
      <c r="G1384" s="4">
        <v>4</v>
      </c>
      <c r="H1384" s="4">
        <v>565016.332314</v>
      </c>
    </row>
    <row r="1385" spans="2:8" x14ac:dyDescent="0.2">
      <c r="B1385" s="3" t="s">
        <v>140</v>
      </c>
      <c r="C1385" s="3" t="s">
        <v>28</v>
      </c>
      <c r="D1385" s="3" t="str">
        <f>VLOOKUP(C1385,Countries!$B$3:$C$140,2,FALSE)</f>
        <v>Europe</v>
      </c>
      <c r="E1385" s="3" t="s">
        <v>4</v>
      </c>
      <c r="F1385" s="3" t="str">
        <f>VLOOKUP(E1385,Countries!$B$3:$C$140,2,FALSE)</f>
        <v>Asia</v>
      </c>
      <c r="G1385" s="4">
        <v>2</v>
      </c>
      <c r="H1385" s="4">
        <v>0</v>
      </c>
    </row>
    <row r="1386" spans="2:8" x14ac:dyDescent="0.2">
      <c r="B1386" s="3" t="s">
        <v>140</v>
      </c>
      <c r="C1386" s="3" t="s">
        <v>28</v>
      </c>
      <c r="D1386" s="3" t="str">
        <f>VLOOKUP(C1386,Countries!$B$3:$C$140,2,FALSE)</f>
        <v>Europe</v>
      </c>
      <c r="E1386" s="3" t="s">
        <v>35</v>
      </c>
      <c r="F1386" s="3" t="str">
        <f>VLOOKUP(E1386,Countries!$B$3:$C$140,2,FALSE)</f>
        <v>Europe</v>
      </c>
      <c r="G1386" s="4">
        <v>8</v>
      </c>
      <c r="H1386" s="4">
        <v>0</v>
      </c>
    </row>
    <row r="1387" spans="2:8" x14ac:dyDescent="0.2">
      <c r="B1387" s="3" t="s">
        <v>140</v>
      </c>
      <c r="C1387" s="3" t="s">
        <v>28</v>
      </c>
      <c r="D1387" s="3" t="str">
        <f>VLOOKUP(C1387,Countries!$B$3:$C$140,2,FALSE)</f>
        <v>Europe</v>
      </c>
      <c r="E1387" s="3" t="s">
        <v>6</v>
      </c>
      <c r="F1387" s="3" t="str">
        <f>VLOOKUP(E1387,Countries!$B$3:$C$140,2,FALSE)</f>
        <v>Europe</v>
      </c>
      <c r="G1387" s="4">
        <v>10</v>
      </c>
      <c r="H1387" s="4">
        <v>40358.309451000001</v>
      </c>
    </row>
    <row r="1388" spans="2:8" x14ac:dyDescent="0.2">
      <c r="B1388" s="3" t="s">
        <v>140</v>
      </c>
      <c r="C1388" s="3" t="s">
        <v>28</v>
      </c>
      <c r="D1388" s="3" t="str">
        <f>VLOOKUP(C1388,Countries!$B$3:$C$140,2,FALSE)</f>
        <v>Europe</v>
      </c>
      <c r="E1388" s="3" t="s">
        <v>7</v>
      </c>
      <c r="F1388" s="3" t="str">
        <f>VLOOKUP(E1388,Countries!$B$3:$C$140,2,FALSE)</f>
        <v>South America</v>
      </c>
      <c r="G1388" s="4">
        <v>8</v>
      </c>
      <c r="H1388" s="4">
        <v>5973029.7987479996</v>
      </c>
    </row>
    <row r="1389" spans="2:8" x14ac:dyDescent="0.2">
      <c r="B1389" s="3" t="s">
        <v>140</v>
      </c>
      <c r="C1389" s="3" t="s">
        <v>28</v>
      </c>
      <c r="D1389" s="3" t="str">
        <f>VLOOKUP(C1389,Countries!$B$3:$C$140,2,FALSE)</f>
        <v>Europe</v>
      </c>
      <c r="E1389" s="3" t="s">
        <v>36</v>
      </c>
      <c r="F1389" s="3" t="str">
        <f>VLOOKUP(E1389,Countries!$B$3:$C$140,2,FALSE)</f>
        <v>Europe</v>
      </c>
      <c r="G1389" s="4">
        <v>2</v>
      </c>
      <c r="H1389" s="4">
        <v>0</v>
      </c>
    </row>
    <row r="1390" spans="2:8" x14ac:dyDescent="0.2">
      <c r="B1390" s="3" t="s">
        <v>140</v>
      </c>
      <c r="C1390" s="3" t="s">
        <v>28</v>
      </c>
      <c r="D1390" s="3" t="str">
        <f>VLOOKUP(C1390,Countries!$B$3:$C$140,2,FALSE)</f>
        <v>Europe</v>
      </c>
      <c r="E1390" s="3" t="s">
        <v>89</v>
      </c>
      <c r="F1390" s="3" t="str">
        <f>VLOOKUP(E1390,Countries!$B$3:$C$140,2,FALSE)</f>
        <v>Asia</v>
      </c>
      <c r="G1390" s="4">
        <v>8</v>
      </c>
      <c r="H1390" s="4">
        <v>0</v>
      </c>
    </row>
    <row r="1391" spans="2:8" x14ac:dyDescent="0.2">
      <c r="B1391" s="3" t="s">
        <v>140</v>
      </c>
      <c r="C1391" s="3" t="s">
        <v>28</v>
      </c>
      <c r="D1391" s="3" t="str">
        <f>VLOOKUP(C1391,Countries!$B$3:$C$140,2,FALSE)</f>
        <v>Europe</v>
      </c>
      <c r="E1391" s="3" t="s">
        <v>62</v>
      </c>
      <c r="F1391" s="3" t="str">
        <f>VLOOKUP(E1391,Countries!$B$3:$C$140,2,FALSE)</f>
        <v>Asia</v>
      </c>
      <c r="G1391" s="4">
        <v>8</v>
      </c>
      <c r="H1391" s="4">
        <v>0</v>
      </c>
    </row>
    <row r="1392" spans="2:8" x14ac:dyDescent="0.2">
      <c r="B1392" s="3" t="s">
        <v>140</v>
      </c>
      <c r="C1392" s="3" t="s">
        <v>28</v>
      </c>
      <c r="D1392" s="3" t="str">
        <f>VLOOKUP(C1392,Countries!$B$3:$C$140,2,FALSE)</f>
        <v>Europe</v>
      </c>
      <c r="E1392" s="3" t="s">
        <v>49</v>
      </c>
      <c r="F1392" s="3" t="str">
        <f>VLOOKUP(E1392,Countries!$B$3:$C$140,2,FALSE)</f>
        <v>Europe</v>
      </c>
      <c r="G1392" s="4">
        <v>4</v>
      </c>
      <c r="H1392" s="4">
        <v>0</v>
      </c>
    </row>
    <row r="1393" spans="2:8" x14ac:dyDescent="0.2">
      <c r="B1393" s="3" t="s">
        <v>140</v>
      </c>
      <c r="C1393" s="3" t="s">
        <v>28</v>
      </c>
      <c r="D1393" s="3" t="str">
        <f>VLOOKUP(C1393,Countries!$B$3:$C$140,2,FALSE)</f>
        <v>Europe</v>
      </c>
      <c r="E1393" s="3" t="s">
        <v>11</v>
      </c>
      <c r="F1393" s="3" t="str">
        <f>VLOOKUP(E1393,Countries!$B$3:$C$140,2,FALSE)</f>
        <v>Europe</v>
      </c>
      <c r="G1393" s="4">
        <v>6</v>
      </c>
      <c r="H1393" s="4">
        <v>0</v>
      </c>
    </row>
    <row r="1394" spans="2:8" x14ac:dyDescent="0.2">
      <c r="B1394" s="3" t="s">
        <v>140</v>
      </c>
      <c r="C1394" s="3" t="s">
        <v>28</v>
      </c>
      <c r="D1394" s="3" t="str">
        <f>VLOOKUP(C1394,Countries!$B$3:$C$140,2,FALSE)</f>
        <v>Europe</v>
      </c>
      <c r="E1394" s="3" t="s">
        <v>12</v>
      </c>
      <c r="F1394" s="3" t="str">
        <f>VLOOKUP(E1394,Countries!$B$3:$C$140,2,FALSE)</f>
        <v>Europe</v>
      </c>
      <c r="G1394" s="4">
        <v>4</v>
      </c>
      <c r="H1394" s="4">
        <v>0</v>
      </c>
    </row>
    <row r="1395" spans="2:8" x14ac:dyDescent="0.2">
      <c r="B1395" s="3" t="s">
        <v>140</v>
      </c>
      <c r="C1395" s="3" t="s">
        <v>28</v>
      </c>
      <c r="D1395" s="3" t="str">
        <f>VLOOKUP(C1395,Countries!$B$3:$C$140,2,FALSE)</f>
        <v>Europe</v>
      </c>
      <c r="E1395" s="3" t="s">
        <v>13</v>
      </c>
      <c r="F1395" s="3" t="str">
        <f>VLOOKUP(E1395,Countries!$B$3:$C$140,2,FALSE)</f>
        <v>Europe</v>
      </c>
      <c r="G1395" s="4">
        <v>6</v>
      </c>
      <c r="H1395" s="4">
        <v>80716.618902000002</v>
      </c>
    </row>
    <row r="1396" spans="2:8" x14ac:dyDescent="0.2">
      <c r="B1396" s="3" t="s">
        <v>140</v>
      </c>
      <c r="C1396" s="3" t="s">
        <v>28</v>
      </c>
      <c r="D1396" s="3" t="str">
        <f>VLOOKUP(C1396,Countries!$B$3:$C$140,2,FALSE)</f>
        <v>Europe</v>
      </c>
      <c r="E1396" s="3" t="s">
        <v>64</v>
      </c>
      <c r="F1396" s="3" t="str">
        <f>VLOOKUP(E1396,Countries!$B$3:$C$140,2,FALSE)</f>
        <v>Africa</v>
      </c>
      <c r="G1396" s="4">
        <v>12</v>
      </c>
      <c r="H1396" s="4">
        <v>3067271.8765854603</v>
      </c>
    </row>
    <row r="1397" spans="2:8" x14ac:dyDescent="0.2">
      <c r="B1397" s="3" t="s">
        <v>140</v>
      </c>
      <c r="C1397" s="3" t="s">
        <v>28</v>
      </c>
      <c r="D1397" s="3" t="str">
        <f>VLOOKUP(C1397,Countries!$B$3:$C$140,2,FALSE)</f>
        <v>Europe</v>
      </c>
      <c r="E1397" s="3" t="s">
        <v>14</v>
      </c>
      <c r="F1397" s="3" t="str">
        <f>VLOOKUP(E1397,Countries!$B$3:$C$140,2,FALSE)</f>
        <v>Europe</v>
      </c>
      <c r="G1397" s="4">
        <v>12</v>
      </c>
      <c r="H1397" s="4">
        <v>0</v>
      </c>
    </row>
    <row r="1398" spans="2:8" x14ac:dyDescent="0.2">
      <c r="B1398" s="3" t="s">
        <v>140</v>
      </c>
      <c r="C1398" s="3" t="s">
        <v>28</v>
      </c>
      <c r="D1398" s="3" t="str">
        <f>VLOOKUP(C1398,Countries!$B$3:$C$140,2,FALSE)</f>
        <v>Europe</v>
      </c>
      <c r="E1398" s="3" t="s">
        <v>15</v>
      </c>
      <c r="F1398" s="3" t="str">
        <f>VLOOKUP(E1398,Countries!$B$3:$C$140,2,FALSE)</f>
        <v>Europe</v>
      </c>
      <c r="G1398" s="4">
        <v>4</v>
      </c>
      <c r="H1398" s="4">
        <v>0</v>
      </c>
    </row>
    <row r="1399" spans="2:8" x14ac:dyDescent="0.2">
      <c r="B1399" s="3" t="s">
        <v>140</v>
      </c>
      <c r="C1399" s="3" t="s">
        <v>28</v>
      </c>
      <c r="D1399" s="3" t="str">
        <f>VLOOKUP(C1399,Countries!$B$3:$C$140,2,FALSE)</f>
        <v>Europe</v>
      </c>
      <c r="E1399" s="3" t="s">
        <v>16</v>
      </c>
      <c r="F1399" s="3" t="str">
        <f>VLOOKUP(E1399,Countries!$B$3:$C$140,2,FALSE)</f>
        <v>Asia</v>
      </c>
      <c r="G1399" s="4">
        <v>6</v>
      </c>
      <c r="H1399" s="4">
        <v>0</v>
      </c>
    </row>
    <row r="1400" spans="2:8" x14ac:dyDescent="0.2">
      <c r="B1400" s="3" t="s">
        <v>140</v>
      </c>
      <c r="C1400" s="3" t="s">
        <v>28</v>
      </c>
      <c r="D1400" s="3" t="str">
        <f>VLOOKUP(C1400,Countries!$B$3:$C$140,2,FALSE)</f>
        <v>Europe</v>
      </c>
      <c r="E1400" s="3" t="s">
        <v>51</v>
      </c>
      <c r="F1400" s="3" t="str">
        <f>VLOOKUP(E1400,Countries!$B$3:$C$140,2,FALSE)</f>
        <v>Asia</v>
      </c>
      <c r="G1400" s="4">
        <v>2</v>
      </c>
      <c r="H1400" s="4">
        <v>0</v>
      </c>
    </row>
    <row r="1401" spans="2:8" x14ac:dyDescent="0.2">
      <c r="B1401" s="3" t="s">
        <v>140</v>
      </c>
      <c r="C1401" s="3" t="s">
        <v>28</v>
      </c>
      <c r="D1401" s="3" t="str">
        <f>VLOOKUP(C1401,Countries!$B$3:$C$140,2,FALSE)</f>
        <v>Europe</v>
      </c>
      <c r="E1401" s="3" t="s">
        <v>17</v>
      </c>
      <c r="F1401" s="3" t="str">
        <f>VLOOKUP(E1401,Countries!$B$3:$C$140,2,FALSE)</f>
        <v>Europe</v>
      </c>
      <c r="G1401" s="4">
        <v>6</v>
      </c>
      <c r="H1401" s="4">
        <v>0</v>
      </c>
    </row>
    <row r="1402" spans="2:8" x14ac:dyDescent="0.2">
      <c r="B1402" s="3" t="s">
        <v>140</v>
      </c>
      <c r="C1402" s="3" t="s">
        <v>28</v>
      </c>
      <c r="D1402" s="3" t="str">
        <f>VLOOKUP(C1402,Countries!$B$3:$C$140,2,FALSE)</f>
        <v>Europe</v>
      </c>
      <c r="E1402" s="3" t="s">
        <v>40</v>
      </c>
      <c r="F1402" s="3" t="str">
        <f>VLOOKUP(E1402,Countries!$B$3:$C$140,2,FALSE)</f>
        <v>Asia</v>
      </c>
      <c r="G1402" s="4">
        <v>2</v>
      </c>
      <c r="H1402" s="4">
        <v>0</v>
      </c>
    </row>
    <row r="1403" spans="2:8" x14ac:dyDescent="0.2">
      <c r="B1403" s="3" t="s">
        <v>140</v>
      </c>
      <c r="C1403" s="3" t="s">
        <v>28</v>
      </c>
      <c r="D1403" s="3" t="str">
        <f>VLOOKUP(C1403,Countries!$B$3:$C$140,2,FALSE)</f>
        <v>Europe</v>
      </c>
      <c r="E1403" s="3" t="s">
        <v>43</v>
      </c>
      <c r="F1403" s="3" t="str">
        <f>VLOOKUP(E1403,Countries!$B$3:$C$140,2,FALSE)</f>
        <v>Europe</v>
      </c>
      <c r="G1403" s="4">
        <v>6</v>
      </c>
      <c r="H1403" s="4">
        <v>755374.64176500007</v>
      </c>
    </row>
    <row r="1404" spans="2:8" x14ac:dyDescent="0.2">
      <c r="B1404" s="3" t="s">
        <v>140</v>
      </c>
      <c r="C1404" s="3" t="s">
        <v>28</v>
      </c>
      <c r="D1404" s="3" t="str">
        <f>VLOOKUP(C1404,Countries!$B$3:$C$140,2,FALSE)</f>
        <v>Europe</v>
      </c>
      <c r="E1404" s="3" t="s">
        <v>21</v>
      </c>
      <c r="F1404" s="3" t="str">
        <f>VLOOKUP(E1404,Countries!$B$3:$C$140,2,FALSE)</f>
        <v>Europe</v>
      </c>
      <c r="G1404" s="4">
        <v>12</v>
      </c>
      <c r="H1404" s="4">
        <v>31479.481371780003</v>
      </c>
    </row>
    <row r="1405" spans="2:8" x14ac:dyDescent="0.2">
      <c r="B1405" s="3" t="s">
        <v>140</v>
      </c>
      <c r="C1405" s="3" t="s">
        <v>28</v>
      </c>
      <c r="D1405" s="3" t="str">
        <f>VLOOKUP(C1405,Countries!$B$3:$C$140,2,FALSE)</f>
        <v>Europe</v>
      </c>
      <c r="E1405" s="3" t="s">
        <v>23</v>
      </c>
      <c r="F1405" s="3" t="str">
        <f>VLOOKUP(E1405,Countries!$B$3:$C$140,2,FALSE)</f>
        <v>Europe</v>
      </c>
      <c r="G1405" s="4">
        <v>18</v>
      </c>
      <c r="H1405" s="4">
        <v>0</v>
      </c>
    </row>
    <row r="1406" spans="2:8" x14ac:dyDescent="0.2">
      <c r="B1406" s="3" t="s">
        <v>140</v>
      </c>
      <c r="C1406" s="3" t="s">
        <v>28</v>
      </c>
      <c r="D1406" s="3" t="str">
        <f>VLOOKUP(C1406,Countries!$B$3:$C$140,2,FALSE)</f>
        <v>Europe</v>
      </c>
      <c r="E1406" s="3" t="s">
        <v>53</v>
      </c>
      <c r="F1406" s="3" t="str">
        <f>VLOOKUP(E1406,Countries!$B$3:$C$140,2,FALSE)</f>
        <v>Europe</v>
      </c>
      <c r="G1406" s="4">
        <v>4</v>
      </c>
      <c r="H1406" s="4">
        <v>0</v>
      </c>
    </row>
    <row r="1407" spans="2:8" x14ac:dyDescent="0.2">
      <c r="B1407" s="3" t="s">
        <v>140</v>
      </c>
      <c r="C1407" s="3" t="s">
        <v>28</v>
      </c>
      <c r="D1407" s="3" t="str">
        <f>VLOOKUP(C1407,Countries!$B$3:$C$140,2,FALSE)</f>
        <v>Europe</v>
      </c>
      <c r="E1407" s="3" t="s">
        <v>54</v>
      </c>
      <c r="F1407" s="3" t="str">
        <f>VLOOKUP(E1407,Countries!$B$3:$C$140,2,FALSE)</f>
        <v>Europe</v>
      </c>
      <c r="G1407" s="4">
        <v>4</v>
      </c>
      <c r="H1407" s="4">
        <v>0</v>
      </c>
    </row>
    <row r="1408" spans="2:8" x14ac:dyDescent="0.2">
      <c r="B1408" s="3" t="s">
        <v>140</v>
      </c>
      <c r="C1408" s="3" t="s">
        <v>28</v>
      </c>
      <c r="D1408" s="3" t="str">
        <f>VLOOKUP(C1408,Countries!$B$3:$C$140,2,FALSE)</f>
        <v>Europe</v>
      </c>
      <c r="E1408" s="3" t="s">
        <v>26</v>
      </c>
      <c r="F1408" s="3" t="str">
        <f>VLOOKUP(E1408,Countries!$B$3:$C$140,2,FALSE)</f>
        <v>Europe</v>
      </c>
      <c r="G1408" s="4">
        <v>10</v>
      </c>
      <c r="H1408" s="4">
        <v>0</v>
      </c>
    </row>
    <row r="1409" spans="2:8" x14ac:dyDescent="0.2">
      <c r="B1409" s="3" t="s">
        <v>140</v>
      </c>
      <c r="C1409" s="3" t="s">
        <v>28</v>
      </c>
      <c r="D1409" s="3" t="str">
        <f>VLOOKUP(C1409,Countries!$B$3:$C$140,2,FALSE)</f>
        <v>Europe</v>
      </c>
      <c r="E1409" s="3" t="s">
        <v>46</v>
      </c>
      <c r="F1409" s="3" t="str">
        <f>VLOOKUP(E1409,Countries!$B$3:$C$140,2,FALSE)</f>
        <v>Europe/Asia</v>
      </c>
      <c r="G1409" s="4">
        <v>2</v>
      </c>
      <c r="H1409" s="4">
        <v>1614332.3780399999</v>
      </c>
    </row>
    <row r="1410" spans="2:8" x14ac:dyDescent="0.2">
      <c r="B1410" s="3" t="s">
        <v>140</v>
      </c>
      <c r="C1410" s="3" t="s">
        <v>28</v>
      </c>
      <c r="D1410" s="3" t="str">
        <f>VLOOKUP(C1410,Countries!$B$3:$C$140,2,FALSE)</f>
        <v>Europe</v>
      </c>
      <c r="E1410" s="3" t="s">
        <v>30</v>
      </c>
      <c r="F1410" s="3" t="str">
        <f>VLOOKUP(E1410,Countries!$B$3:$C$140,2,FALSE)</f>
        <v>Europe</v>
      </c>
      <c r="G1410" s="4">
        <v>2</v>
      </c>
      <c r="H1410" s="4">
        <v>0</v>
      </c>
    </row>
    <row r="1411" spans="2:8" x14ac:dyDescent="0.2">
      <c r="B1411" s="3" t="s">
        <v>140</v>
      </c>
      <c r="C1411" s="3" t="s">
        <v>28</v>
      </c>
      <c r="D1411" s="3" t="str">
        <f>VLOOKUP(C1411,Countries!$B$3:$C$140,2,FALSE)</f>
        <v>Europe</v>
      </c>
      <c r="E1411" s="3" t="s">
        <v>31</v>
      </c>
      <c r="F1411" s="3" t="str">
        <f>VLOOKUP(E1411,Countries!$B$3:$C$140,2,FALSE)</f>
        <v>Europe</v>
      </c>
      <c r="G1411" s="4">
        <v>6</v>
      </c>
      <c r="H1411" s="4">
        <v>54483.717758849998</v>
      </c>
    </row>
    <row r="1412" spans="2:8" x14ac:dyDescent="0.2">
      <c r="B1412" s="3" t="s">
        <v>140</v>
      </c>
      <c r="C1412" s="3" t="s">
        <v>28</v>
      </c>
      <c r="D1412" s="3" t="str">
        <f>VLOOKUP(C1412,Countries!$B$3:$C$140,2,FALSE)</f>
        <v>Europe</v>
      </c>
      <c r="E1412" s="3" t="s">
        <v>105</v>
      </c>
      <c r="F1412" s="3" t="str">
        <f>VLOOKUP(E1412,Countries!$B$3:$C$140,2,FALSE)</f>
        <v>Asia</v>
      </c>
      <c r="G1412" s="4">
        <v>2</v>
      </c>
      <c r="H1412" s="4">
        <v>0</v>
      </c>
    </row>
    <row r="1413" spans="2:8" x14ac:dyDescent="0.2">
      <c r="B1413" s="3" t="s">
        <v>140</v>
      </c>
      <c r="C1413" s="3" t="s">
        <v>28</v>
      </c>
      <c r="D1413" s="3" t="str">
        <f>VLOOKUP(C1413,Countries!$B$3:$C$140,2,FALSE)</f>
        <v>Europe</v>
      </c>
      <c r="E1413" s="3" t="s">
        <v>33</v>
      </c>
      <c r="F1413" s="3" t="str">
        <f>VLOOKUP(E1413,Countries!$B$3:$C$140,2,FALSE)</f>
        <v>North America</v>
      </c>
      <c r="G1413" s="4">
        <v>2</v>
      </c>
      <c r="H1413" s="4">
        <v>0</v>
      </c>
    </row>
    <row r="1414" spans="2:8" x14ac:dyDescent="0.2">
      <c r="B1414" s="3" t="s">
        <v>140</v>
      </c>
      <c r="C1414" s="3" t="s">
        <v>28</v>
      </c>
      <c r="D1414" s="3" t="str">
        <f>VLOOKUP(C1414,Countries!$B$3:$C$140,2,FALSE)</f>
        <v>Europe</v>
      </c>
      <c r="E1414" s="3" t="s">
        <v>87</v>
      </c>
      <c r="F1414" s="3" t="str">
        <f>VLOOKUP(E1414,Countries!$B$3:$C$140,2,FALSE)</f>
        <v>Asia</v>
      </c>
      <c r="G1414" s="4">
        <v>2</v>
      </c>
      <c r="H1414" s="4">
        <v>0</v>
      </c>
    </row>
    <row r="1415" spans="2:8" x14ac:dyDescent="0.2">
      <c r="B1415" s="3" t="s">
        <v>140</v>
      </c>
      <c r="C1415" s="3" t="s">
        <v>29</v>
      </c>
      <c r="D1415" s="3" t="str">
        <f>VLOOKUP(C1415,Countries!$B$3:$C$140,2,FALSE)</f>
        <v>Europe</v>
      </c>
      <c r="E1415" s="3" t="s">
        <v>2</v>
      </c>
      <c r="F1415" s="3" t="str">
        <f>VLOOKUP(E1415,Countries!$B$3:$C$140,2,FALSE)</f>
        <v>Europe</v>
      </c>
      <c r="G1415" s="4">
        <v>4</v>
      </c>
      <c r="H1415" s="4">
        <v>0</v>
      </c>
    </row>
    <row r="1416" spans="2:8" x14ac:dyDescent="0.2">
      <c r="B1416" s="3" t="s">
        <v>140</v>
      </c>
      <c r="C1416" s="3" t="s">
        <v>29</v>
      </c>
      <c r="D1416" s="3" t="str">
        <f>VLOOKUP(C1416,Countries!$B$3:$C$140,2,FALSE)</f>
        <v>Europe</v>
      </c>
      <c r="E1416" s="3" t="s">
        <v>69</v>
      </c>
      <c r="F1416" s="3" t="str">
        <f>VLOOKUP(E1416,Countries!$B$3:$C$140,2,FALSE)</f>
        <v>South America</v>
      </c>
      <c r="G1416" s="4">
        <v>4</v>
      </c>
      <c r="H1416" s="4">
        <v>37500</v>
      </c>
    </row>
    <row r="1417" spans="2:8" x14ac:dyDescent="0.2">
      <c r="B1417" s="3" t="s">
        <v>140</v>
      </c>
      <c r="C1417" s="3" t="s">
        <v>29</v>
      </c>
      <c r="D1417" s="3" t="str">
        <f>VLOOKUP(C1417,Countries!$B$3:$C$140,2,FALSE)</f>
        <v>Europe</v>
      </c>
      <c r="E1417" s="3" t="s">
        <v>3</v>
      </c>
      <c r="F1417" s="3" t="str">
        <f>VLOOKUP(E1417,Countries!$B$3:$C$140,2,FALSE)</f>
        <v>Europe</v>
      </c>
      <c r="G1417" s="4">
        <v>4</v>
      </c>
      <c r="H1417" s="4">
        <v>0</v>
      </c>
    </row>
    <row r="1418" spans="2:8" x14ac:dyDescent="0.2">
      <c r="B1418" s="3" t="s">
        <v>140</v>
      </c>
      <c r="C1418" s="3" t="s">
        <v>29</v>
      </c>
      <c r="D1418" s="3" t="str">
        <f>VLOOKUP(C1418,Countries!$B$3:$C$140,2,FALSE)</f>
        <v>Europe</v>
      </c>
      <c r="E1418" s="3" t="s">
        <v>35</v>
      </c>
      <c r="F1418" s="3" t="str">
        <f>VLOOKUP(E1418,Countries!$B$3:$C$140,2,FALSE)</f>
        <v>Europe</v>
      </c>
      <c r="G1418" s="4">
        <v>4</v>
      </c>
      <c r="H1418" s="4">
        <v>0</v>
      </c>
    </row>
    <row r="1419" spans="2:8" x14ac:dyDescent="0.2">
      <c r="B1419" s="3" t="s">
        <v>140</v>
      </c>
      <c r="C1419" s="3" t="s">
        <v>29</v>
      </c>
      <c r="D1419" s="3" t="str">
        <f>VLOOKUP(C1419,Countries!$B$3:$C$140,2,FALSE)</f>
        <v>Europe</v>
      </c>
      <c r="E1419" s="3" t="s">
        <v>6</v>
      </c>
      <c r="F1419" s="3" t="str">
        <f>VLOOKUP(E1419,Countries!$B$3:$C$140,2,FALSE)</f>
        <v>Europe</v>
      </c>
      <c r="G1419" s="4">
        <v>2</v>
      </c>
      <c r="H1419" s="4">
        <v>0</v>
      </c>
    </row>
    <row r="1420" spans="2:8" x14ac:dyDescent="0.2">
      <c r="B1420" s="3" t="s">
        <v>140</v>
      </c>
      <c r="C1420" s="3" t="s">
        <v>29</v>
      </c>
      <c r="D1420" s="3" t="str">
        <f>VLOOKUP(C1420,Countries!$B$3:$C$140,2,FALSE)</f>
        <v>Europe</v>
      </c>
      <c r="E1420" s="3" t="s">
        <v>7</v>
      </c>
      <c r="F1420" s="3" t="str">
        <f>VLOOKUP(E1420,Countries!$B$3:$C$140,2,FALSE)</f>
        <v>South America</v>
      </c>
      <c r="G1420" s="4">
        <v>22</v>
      </c>
      <c r="H1420" s="4">
        <v>5759187.4806599999</v>
      </c>
    </row>
    <row r="1421" spans="2:8" x14ac:dyDescent="0.2">
      <c r="B1421" s="3" t="s">
        <v>140</v>
      </c>
      <c r="C1421" s="3" t="s">
        <v>29</v>
      </c>
      <c r="D1421" s="3" t="str">
        <f>VLOOKUP(C1421,Countries!$B$3:$C$140,2,FALSE)</f>
        <v>Europe</v>
      </c>
      <c r="E1421" s="3" t="s">
        <v>36</v>
      </c>
      <c r="F1421" s="3" t="str">
        <f>VLOOKUP(E1421,Countries!$B$3:$C$140,2,FALSE)</f>
        <v>Europe</v>
      </c>
      <c r="G1421" s="4">
        <v>2</v>
      </c>
      <c r="H1421" s="4">
        <v>0</v>
      </c>
    </row>
    <row r="1422" spans="2:8" x14ac:dyDescent="0.2">
      <c r="B1422" s="3" t="s">
        <v>140</v>
      </c>
      <c r="C1422" s="3" t="s">
        <v>29</v>
      </c>
      <c r="D1422" s="3" t="str">
        <f>VLOOKUP(C1422,Countries!$B$3:$C$140,2,FALSE)</f>
        <v>Europe</v>
      </c>
      <c r="E1422" s="3" t="s">
        <v>8</v>
      </c>
      <c r="F1422" s="3" t="str">
        <f>VLOOKUP(E1422,Countries!$B$3:$C$140,2,FALSE)</f>
        <v>North America</v>
      </c>
      <c r="G1422" s="4">
        <v>2</v>
      </c>
      <c r="H1422" s="4">
        <v>0</v>
      </c>
    </row>
    <row r="1423" spans="2:8" x14ac:dyDescent="0.2">
      <c r="B1423" s="3" t="s">
        <v>140</v>
      </c>
      <c r="C1423" s="3" t="s">
        <v>29</v>
      </c>
      <c r="D1423" s="3" t="str">
        <f>VLOOKUP(C1423,Countries!$B$3:$C$140,2,FALSE)</f>
        <v>Europe</v>
      </c>
      <c r="E1423" s="3" t="s">
        <v>88</v>
      </c>
      <c r="F1423" s="3" t="str">
        <f>VLOOKUP(E1423,Countries!$B$3:$C$140,2,FALSE)</f>
        <v>South America</v>
      </c>
      <c r="G1423" s="4">
        <v>2</v>
      </c>
      <c r="H1423" s="4">
        <v>4800000</v>
      </c>
    </row>
    <row r="1424" spans="2:8" x14ac:dyDescent="0.2">
      <c r="B1424" s="3" t="s">
        <v>140</v>
      </c>
      <c r="C1424" s="3" t="s">
        <v>29</v>
      </c>
      <c r="D1424" s="3" t="str">
        <f>VLOOKUP(C1424,Countries!$B$3:$C$140,2,FALSE)</f>
        <v>Europe</v>
      </c>
      <c r="E1424" s="3" t="s">
        <v>37</v>
      </c>
      <c r="F1424" s="3" t="str">
        <f>VLOOKUP(E1424,Countries!$B$3:$C$140,2,FALSE)</f>
        <v>Africa</v>
      </c>
      <c r="G1424" s="4">
        <v>2</v>
      </c>
      <c r="H1424" s="4">
        <v>161433.237804</v>
      </c>
    </row>
    <row r="1425" spans="2:8" x14ac:dyDescent="0.2">
      <c r="B1425" s="3" t="s">
        <v>140</v>
      </c>
      <c r="C1425" s="3" t="s">
        <v>29</v>
      </c>
      <c r="D1425" s="3" t="str">
        <f>VLOOKUP(C1425,Countries!$B$3:$C$140,2,FALSE)</f>
        <v>Europe</v>
      </c>
      <c r="E1425" s="3" t="s">
        <v>106</v>
      </c>
      <c r="F1425" s="3" t="str">
        <f>VLOOKUP(E1425,Countries!$B$3:$C$140,2,FALSE)</f>
        <v>Africa</v>
      </c>
      <c r="G1425" s="4">
        <v>2</v>
      </c>
      <c r="H1425" s="4">
        <v>0</v>
      </c>
    </row>
    <row r="1426" spans="2:8" x14ac:dyDescent="0.2">
      <c r="B1426" s="3" t="s">
        <v>140</v>
      </c>
      <c r="C1426" s="3" t="s">
        <v>29</v>
      </c>
      <c r="D1426" s="3" t="str">
        <f>VLOOKUP(C1426,Countries!$B$3:$C$140,2,FALSE)</f>
        <v>Europe</v>
      </c>
      <c r="E1426" s="3" t="s">
        <v>9</v>
      </c>
      <c r="F1426" s="3" t="str">
        <f>VLOOKUP(E1426,Countries!$B$3:$C$140,2,FALSE)</f>
        <v>Europe</v>
      </c>
      <c r="G1426" s="4">
        <v>2</v>
      </c>
      <c r="H1426" s="4">
        <v>0</v>
      </c>
    </row>
    <row r="1427" spans="2:8" x14ac:dyDescent="0.2">
      <c r="B1427" s="3" t="s">
        <v>140</v>
      </c>
      <c r="C1427" s="3" t="s">
        <v>29</v>
      </c>
      <c r="D1427" s="3" t="str">
        <f>VLOOKUP(C1427,Countries!$B$3:$C$140,2,FALSE)</f>
        <v>Europe</v>
      </c>
      <c r="E1427" s="3" t="s">
        <v>49</v>
      </c>
      <c r="F1427" s="3" t="str">
        <f>VLOOKUP(E1427,Countries!$B$3:$C$140,2,FALSE)</f>
        <v>Europe</v>
      </c>
      <c r="G1427" s="4">
        <v>2</v>
      </c>
      <c r="H1427" s="4">
        <v>4035830.9450999997</v>
      </c>
    </row>
    <row r="1428" spans="2:8" x14ac:dyDescent="0.2">
      <c r="B1428" s="3" t="s">
        <v>140</v>
      </c>
      <c r="C1428" s="3" t="s">
        <v>29</v>
      </c>
      <c r="D1428" s="3" t="str">
        <f>VLOOKUP(C1428,Countries!$B$3:$C$140,2,FALSE)</f>
        <v>Europe</v>
      </c>
      <c r="E1428" s="3" t="s">
        <v>50</v>
      </c>
      <c r="F1428" s="3" t="str">
        <f>VLOOKUP(E1428,Countries!$B$3:$C$140,2,FALSE)</f>
        <v>Europe</v>
      </c>
      <c r="G1428" s="4">
        <v>10</v>
      </c>
      <c r="H1428" s="4">
        <v>2017915.4725499998</v>
      </c>
    </row>
    <row r="1429" spans="2:8" x14ac:dyDescent="0.2">
      <c r="B1429" s="3" t="s">
        <v>140</v>
      </c>
      <c r="C1429" s="3" t="s">
        <v>29</v>
      </c>
      <c r="D1429" s="3" t="str">
        <f>VLOOKUP(C1429,Countries!$B$3:$C$140,2,FALSE)</f>
        <v>Europe</v>
      </c>
      <c r="E1429" s="3" t="s">
        <v>11</v>
      </c>
      <c r="F1429" s="3" t="str">
        <f>VLOOKUP(E1429,Countries!$B$3:$C$140,2,FALSE)</f>
        <v>Europe</v>
      </c>
      <c r="G1429" s="4">
        <v>24</v>
      </c>
      <c r="H1429" s="4">
        <v>4136726.7187275002</v>
      </c>
    </row>
    <row r="1430" spans="2:8" x14ac:dyDescent="0.2">
      <c r="B1430" s="3" t="s">
        <v>140</v>
      </c>
      <c r="C1430" s="3" t="s">
        <v>29</v>
      </c>
      <c r="D1430" s="3" t="str">
        <f>VLOOKUP(C1430,Countries!$B$3:$C$140,2,FALSE)</f>
        <v>Europe</v>
      </c>
      <c r="E1430" s="3" t="s">
        <v>73</v>
      </c>
      <c r="F1430" s="3" t="str">
        <f>VLOOKUP(E1430,Countries!$B$3:$C$140,2,FALSE)</f>
        <v>Europe</v>
      </c>
      <c r="G1430" s="4">
        <v>2</v>
      </c>
      <c r="H1430" s="4">
        <v>2219707.0198050002</v>
      </c>
    </row>
    <row r="1431" spans="2:8" x14ac:dyDescent="0.2">
      <c r="B1431" s="3" t="s">
        <v>140</v>
      </c>
      <c r="C1431" s="3" t="s">
        <v>29</v>
      </c>
      <c r="D1431" s="3" t="str">
        <f>VLOOKUP(C1431,Countries!$B$3:$C$140,2,FALSE)</f>
        <v>Europe</v>
      </c>
      <c r="E1431" s="3" t="s">
        <v>12</v>
      </c>
      <c r="F1431" s="3" t="str">
        <f>VLOOKUP(E1431,Countries!$B$3:$C$140,2,FALSE)</f>
        <v>Europe</v>
      </c>
      <c r="G1431" s="4">
        <v>18</v>
      </c>
      <c r="H1431" s="4">
        <v>0</v>
      </c>
    </row>
    <row r="1432" spans="2:8" x14ac:dyDescent="0.2">
      <c r="B1432" s="3" t="s">
        <v>140</v>
      </c>
      <c r="C1432" s="3" t="s">
        <v>29</v>
      </c>
      <c r="D1432" s="3" t="str">
        <f>VLOOKUP(C1432,Countries!$B$3:$C$140,2,FALSE)</f>
        <v>Europe</v>
      </c>
      <c r="E1432" s="3" t="s">
        <v>39</v>
      </c>
      <c r="F1432" s="3" t="str">
        <f>VLOOKUP(E1432,Countries!$B$3:$C$140,2,FALSE)</f>
        <v>Europe/Asia</v>
      </c>
      <c r="G1432" s="4">
        <v>4</v>
      </c>
      <c r="H1432" s="4">
        <v>0</v>
      </c>
    </row>
    <row r="1433" spans="2:8" x14ac:dyDescent="0.2">
      <c r="B1433" s="3" t="s">
        <v>140</v>
      </c>
      <c r="C1433" s="3" t="s">
        <v>29</v>
      </c>
      <c r="D1433" s="3" t="str">
        <f>VLOOKUP(C1433,Countries!$B$3:$C$140,2,FALSE)</f>
        <v>Europe</v>
      </c>
      <c r="E1433" s="3" t="s">
        <v>13</v>
      </c>
      <c r="F1433" s="3" t="str">
        <f>VLOOKUP(E1433,Countries!$B$3:$C$140,2,FALSE)</f>
        <v>Europe</v>
      </c>
      <c r="G1433" s="4">
        <v>18</v>
      </c>
      <c r="H1433" s="4">
        <v>14269689.264137311</v>
      </c>
    </row>
    <row r="1434" spans="2:8" x14ac:dyDescent="0.2">
      <c r="B1434" s="3" t="s">
        <v>140</v>
      </c>
      <c r="C1434" s="3" t="s">
        <v>29</v>
      </c>
      <c r="D1434" s="3" t="str">
        <f>VLOOKUP(C1434,Countries!$B$3:$C$140,2,FALSE)</f>
        <v>Europe</v>
      </c>
      <c r="E1434" s="3" t="s">
        <v>64</v>
      </c>
      <c r="F1434" s="3" t="str">
        <f>VLOOKUP(E1434,Countries!$B$3:$C$140,2,FALSE)</f>
        <v>Africa</v>
      </c>
      <c r="G1434" s="4">
        <v>2</v>
      </c>
      <c r="H1434" s="4">
        <v>0</v>
      </c>
    </row>
    <row r="1435" spans="2:8" x14ac:dyDescent="0.2">
      <c r="B1435" s="3" t="s">
        <v>140</v>
      </c>
      <c r="C1435" s="3" t="s">
        <v>29</v>
      </c>
      <c r="D1435" s="3" t="str">
        <f>VLOOKUP(C1435,Countries!$B$3:$C$140,2,FALSE)</f>
        <v>Europe</v>
      </c>
      <c r="E1435" s="3" t="s">
        <v>14</v>
      </c>
      <c r="F1435" s="3" t="str">
        <f>VLOOKUP(E1435,Countries!$B$3:$C$140,2,FALSE)</f>
        <v>Europe</v>
      </c>
      <c r="G1435" s="4">
        <v>6</v>
      </c>
      <c r="H1435" s="4">
        <v>0</v>
      </c>
    </row>
    <row r="1436" spans="2:8" x14ac:dyDescent="0.2">
      <c r="B1436" s="3" t="s">
        <v>140</v>
      </c>
      <c r="C1436" s="3" t="s">
        <v>29</v>
      </c>
      <c r="D1436" s="3" t="str">
        <f>VLOOKUP(C1436,Countries!$B$3:$C$140,2,FALSE)</f>
        <v>Europe</v>
      </c>
      <c r="E1436" s="3" t="s">
        <v>15</v>
      </c>
      <c r="F1436" s="3" t="str">
        <f>VLOOKUP(E1436,Countries!$B$3:$C$140,2,FALSE)</f>
        <v>Europe</v>
      </c>
      <c r="G1436" s="4">
        <v>4</v>
      </c>
      <c r="H1436" s="4">
        <v>1634511.5327654998</v>
      </c>
    </row>
    <row r="1437" spans="2:8" x14ac:dyDescent="0.2">
      <c r="B1437" s="3" t="s">
        <v>140</v>
      </c>
      <c r="C1437" s="3" t="s">
        <v>29</v>
      </c>
      <c r="D1437" s="3" t="str">
        <f>VLOOKUP(C1437,Countries!$B$3:$C$140,2,FALSE)</f>
        <v>Europe</v>
      </c>
      <c r="E1437" s="3" t="s">
        <v>17</v>
      </c>
      <c r="F1437" s="3" t="str">
        <f>VLOOKUP(E1437,Countries!$B$3:$C$140,2,FALSE)</f>
        <v>Europe</v>
      </c>
      <c r="G1437" s="4">
        <v>36</v>
      </c>
      <c r="H1437" s="4">
        <v>1291465.9024320031</v>
      </c>
    </row>
    <row r="1438" spans="2:8" x14ac:dyDescent="0.2">
      <c r="B1438" s="3" t="s">
        <v>140</v>
      </c>
      <c r="C1438" s="3" t="s">
        <v>29</v>
      </c>
      <c r="D1438" s="3" t="str">
        <f>VLOOKUP(C1438,Countries!$B$3:$C$140,2,FALSE)</f>
        <v>Europe</v>
      </c>
      <c r="E1438" s="3" t="s">
        <v>92</v>
      </c>
      <c r="F1438" s="3" t="str">
        <f>VLOOKUP(E1438,Countries!$B$3:$C$140,2,FALSE)</f>
        <v>Asia</v>
      </c>
      <c r="G1438" s="4">
        <v>8</v>
      </c>
      <c r="H1438" s="4">
        <v>2825081.66157</v>
      </c>
    </row>
    <row r="1439" spans="2:8" x14ac:dyDescent="0.2">
      <c r="B1439" s="3" t="s">
        <v>140</v>
      </c>
      <c r="C1439" s="3" t="s">
        <v>29</v>
      </c>
      <c r="D1439" s="3" t="str">
        <f>VLOOKUP(C1439,Countries!$B$3:$C$140,2,FALSE)</f>
        <v>Europe</v>
      </c>
      <c r="E1439" s="3" t="s">
        <v>19</v>
      </c>
      <c r="F1439" s="3" t="str">
        <f>VLOOKUP(E1439,Countries!$B$3:$C$140,2,FALSE)</f>
        <v>Asia</v>
      </c>
      <c r="G1439" s="4">
        <v>2</v>
      </c>
      <c r="H1439" s="4">
        <v>0</v>
      </c>
    </row>
    <row r="1440" spans="2:8" x14ac:dyDescent="0.2">
      <c r="B1440" s="3" t="s">
        <v>140</v>
      </c>
      <c r="C1440" s="3" t="s">
        <v>29</v>
      </c>
      <c r="D1440" s="3" t="str">
        <f>VLOOKUP(C1440,Countries!$B$3:$C$140,2,FALSE)</f>
        <v>Europe</v>
      </c>
      <c r="E1440" s="3" t="s">
        <v>20</v>
      </c>
      <c r="F1440" s="3" t="str">
        <f>VLOOKUP(E1440,Countries!$B$3:$C$140,2,FALSE)</f>
        <v>Europe</v>
      </c>
      <c r="G1440" s="4">
        <v>2</v>
      </c>
      <c r="H1440" s="4">
        <v>0</v>
      </c>
    </row>
    <row r="1441" spans="2:8" x14ac:dyDescent="0.2">
      <c r="B1441" s="3" t="s">
        <v>140</v>
      </c>
      <c r="C1441" s="3" t="s">
        <v>29</v>
      </c>
      <c r="D1441" s="3" t="str">
        <f>VLOOKUP(C1441,Countries!$B$3:$C$140,2,FALSE)</f>
        <v>Europe</v>
      </c>
      <c r="E1441" s="3" t="s">
        <v>77</v>
      </c>
      <c r="F1441" s="3" t="str">
        <f>VLOOKUP(E1441,Countries!$B$3:$C$140,2,FALSE)</f>
        <v>Europe</v>
      </c>
      <c r="G1441" s="4">
        <v>2</v>
      </c>
      <c r="H1441" s="4">
        <v>0</v>
      </c>
    </row>
    <row r="1442" spans="2:8" x14ac:dyDescent="0.2">
      <c r="B1442" s="3" t="s">
        <v>140</v>
      </c>
      <c r="C1442" s="3" t="s">
        <v>29</v>
      </c>
      <c r="D1442" s="3" t="str">
        <f>VLOOKUP(C1442,Countries!$B$3:$C$140,2,FALSE)</f>
        <v>Europe</v>
      </c>
      <c r="E1442" s="3" t="s">
        <v>42</v>
      </c>
      <c r="F1442" s="3" t="str">
        <f>VLOOKUP(E1442,Countries!$B$3:$C$140,2,FALSE)</f>
        <v>Africa</v>
      </c>
      <c r="G1442" s="4">
        <v>2</v>
      </c>
      <c r="H1442" s="4">
        <v>0</v>
      </c>
    </row>
    <row r="1443" spans="2:8" x14ac:dyDescent="0.2">
      <c r="B1443" s="3" t="s">
        <v>140</v>
      </c>
      <c r="C1443" s="3" t="s">
        <v>29</v>
      </c>
      <c r="D1443" s="3" t="str">
        <f>VLOOKUP(C1443,Countries!$B$3:$C$140,2,FALSE)</f>
        <v>Europe</v>
      </c>
      <c r="E1443" s="3" t="s">
        <v>123</v>
      </c>
      <c r="F1443" s="3" t="str">
        <f>VLOOKUP(E1443,Countries!$B$3:$C$140,2,FALSE)</f>
        <v>Asia</v>
      </c>
      <c r="G1443" s="4">
        <v>2</v>
      </c>
      <c r="H1443" s="4">
        <v>0</v>
      </c>
    </row>
    <row r="1444" spans="2:8" x14ac:dyDescent="0.2">
      <c r="B1444" s="3" t="s">
        <v>140</v>
      </c>
      <c r="C1444" s="3" t="s">
        <v>29</v>
      </c>
      <c r="D1444" s="3" t="str">
        <f>VLOOKUP(C1444,Countries!$B$3:$C$140,2,FALSE)</f>
        <v>Europe</v>
      </c>
      <c r="E1444" s="3" t="s">
        <v>53</v>
      </c>
      <c r="F1444" s="3" t="str">
        <f>VLOOKUP(E1444,Countries!$B$3:$C$140,2,FALSE)</f>
        <v>Europe</v>
      </c>
      <c r="G1444" s="4">
        <v>2</v>
      </c>
      <c r="H1444" s="4">
        <v>0</v>
      </c>
    </row>
    <row r="1445" spans="2:8" x14ac:dyDescent="0.2">
      <c r="B1445" s="3" t="s">
        <v>140</v>
      </c>
      <c r="C1445" s="3" t="s">
        <v>29</v>
      </c>
      <c r="D1445" s="3" t="str">
        <f>VLOOKUP(C1445,Countries!$B$3:$C$140,2,FALSE)</f>
        <v>Europe</v>
      </c>
      <c r="E1445" s="3" t="s">
        <v>54</v>
      </c>
      <c r="F1445" s="3" t="str">
        <f>VLOOKUP(E1445,Countries!$B$3:$C$140,2,FALSE)</f>
        <v>Europe</v>
      </c>
      <c r="G1445" s="4">
        <v>2</v>
      </c>
      <c r="H1445" s="4">
        <v>0</v>
      </c>
    </row>
    <row r="1446" spans="2:8" x14ac:dyDescent="0.2">
      <c r="B1446" s="3" t="s">
        <v>140</v>
      </c>
      <c r="C1446" s="3" t="s">
        <v>29</v>
      </c>
      <c r="D1446" s="3" t="str">
        <f>VLOOKUP(C1446,Countries!$B$3:$C$140,2,FALSE)</f>
        <v>Europe</v>
      </c>
      <c r="E1446" s="3" t="s">
        <v>25</v>
      </c>
      <c r="F1446" s="3" t="str">
        <f>VLOOKUP(E1446,Countries!$B$3:$C$140,2,FALSE)</f>
        <v>Europe</v>
      </c>
      <c r="G1446" s="4">
        <v>8</v>
      </c>
      <c r="H1446" s="4">
        <v>0</v>
      </c>
    </row>
    <row r="1447" spans="2:8" x14ac:dyDescent="0.2">
      <c r="B1447" s="3" t="s">
        <v>140</v>
      </c>
      <c r="C1447" s="3" t="s">
        <v>29</v>
      </c>
      <c r="D1447" s="3" t="str">
        <f>VLOOKUP(C1447,Countries!$B$3:$C$140,2,FALSE)</f>
        <v>Europe</v>
      </c>
      <c r="E1447" s="3" t="s">
        <v>130</v>
      </c>
      <c r="F1447" s="3" t="str">
        <f>VLOOKUP(E1447,Countries!$B$3:$C$140,2,FALSE)</f>
        <v>Asia</v>
      </c>
      <c r="G1447" s="4">
        <v>2</v>
      </c>
      <c r="H1447" s="4">
        <v>0</v>
      </c>
    </row>
    <row r="1448" spans="2:8" x14ac:dyDescent="0.2">
      <c r="B1448" s="3" t="s">
        <v>140</v>
      </c>
      <c r="C1448" s="3" t="s">
        <v>29</v>
      </c>
      <c r="D1448" s="3" t="str">
        <f>VLOOKUP(C1448,Countries!$B$3:$C$140,2,FALSE)</f>
        <v>Europe</v>
      </c>
      <c r="E1448" s="3" t="s">
        <v>81</v>
      </c>
      <c r="F1448" s="3" t="str">
        <f>VLOOKUP(E1448,Countries!$B$3:$C$140,2,FALSE)</f>
        <v>Asia</v>
      </c>
      <c r="G1448" s="4">
        <v>2</v>
      </c>
      <c r="H1448" s="4">
        <v>0</v>
      </c>
    </row>
    <row r="1449" spans="2:8" x14ac:dyDescent="0.2">
      <c r="B1449" s="3" t="s">
        <v>140</v>
      </c>
      <c r="C1449" s="3" t="s">
        <v>29</v>
      </c>
      <c r="D1449" s="3" t="str">
        <f>VLOOKUP(C1449,Countries!$B$3:$C$140,2,FALSE)</f>
        <v>Europe</v>
      </c>
      <c r="E1449" s="3" t="s">
        <v>26</v>
      </c>
      <c r="F1449" s="3" t="str">
        <f>VLOOKUP(E1449,Countries!$B$3:$C$140,2,FALSE)</f>
        <v>Europe</v>
      </c>
      <c r="G1449" s="4">
        <v>2</v>
      </c>
      <c r="H1449" s="4">
        <v>0</v>
      </c>
    </row>
    <row r="1450" spans="2:8" x14ac:dyDescent="0.2">
      <c r="B1450" s="3" t="s">
        <v>140</v>
      </c>
      <c r="C1450" s="3" t="s">
        <v>29</v>
      </c>
      <c r="D1450" s="3" t="str">
        <f>VLOOKUP(C1450,Countries!$B$3:$C$140,2,FALSE)</f>
        <v>Europe</v>
      </c>
      <c r="E1450" s="3" t="s">
        <v>28</v>
      </c>
      <c r="F1450" s="3" t="str">
        <f>VLOOKUP(E1450,Countries!$B$3:$C$140,2,FALSE)</f>
        <v>Europe</v>
      </c>
      <c r="G1450" s="4">
        <v>4</v>
      </c>
      <c r="H1450" s="4">
        <v>0</v>
      </c>
    </row>
    <row r="1451" spans="2:8" x14ac:dyDescent="0.2">
      <c r="B1451" s="3" t="s">
        <v>140</v>
      </c>
      <c r="C1451" s="3" t="s">
        <v>29</v>
      </c>
      <c r="D1451" s="3" t="str">
        <f>VLOOKUP(C1451,Countries!$B$3:$C$140,2,FALSE)</f>
        <v>Europe</v>
      </c>
      <c r="E1451" s="3" t="s">
        <v>104</v>
      </c>
      <c r="F1451" s="3" t="str">
        <f>VLOOKUP(E1451,Countries!$B$3:$C$140,2,FALSE)</f>
        <v>Africa</v>
      </c>
      <c r="G1451" s="4">
        <v>2</v>
      </c>
      <c r="H1451" s="4">
        <v>0</v>
      </c>
    </row>
    <row r="1452" spans="2:8" x14ac:dyDescent="0.2">
      <c r="B1452" s="3" t="s">
        <v>140</v>
      </c>
      <c r="C1452" s="3" t="s">
        <v>29</v>
      </c>
      <c r="D1452" s="3" t="str">
        <f>VLOOKUP(C1452,Countries!$B$3:$C$140,2,FALSE)</f>
        <v>Europe</v>
      </c>
      <c r="E1452" s="3" t="s">
        <v>57</v>
      </c>
      <c r="F1452" s="3" t="str">
        <f>VLOOKUP(E1452,Countries!$B$3:$C$140,2,FALSE)</f>
        <v>Europe/Asia</v>
      </c>
      <c r="G1452" s="4">
        <v>2</v>
      </c>
      <c r="H1452" s="4">
        <v>0</v>
      </c>
    </row>
    <row r="1453" spans="2:8" x14ac:dyDescent="0.2">
      <c r="B1453" s="3" t="s">
        <v>140</v>
      </c>
      <c r="C1453" s="3" t="s">
        <v>29</v>
      </c>
      <c r="D1453" s="3" t="str">
        <f>VLOOKUP(C1453,Countries!$B$3:$C$140,2,FALSE)</f>
        <v>Europe</v>
      </c>
      <c r="E1453" s="3" t="s">
        <v>58</v>
      </c>
      <c r="F1453" s="3" t="str">
        <f>VLOOKUP(E1453,Countries!$B$3:$C$140,2,FALSE)</f>
        <v>South America</v>
      </c>
      <c r="G1453" s="4">
        <v>2</v>
      </c>
      <c r="H1453" s="4">
        <v>0</v>
      </c>
    </row>
    <row r="1454" spans="2:8" x14ac:dyDescent="0.2">
      <c r="B1454" s="3" t="s">
        <v>140</v>
      </c>
      <c r="C1454" s="3" t="s">
        <v>29</v>
      </c>
      <c r="D1454" s="3" t="str">
        <f>VLOOKUP(C1454,Countries!$B$3:$C$140,2,FALSE)</f>
        <v>Europe</v>
      </c>
      <c r="E1454" s="3" t="s">
        <v>91</v>
      </c>
      <c r="F1454" s="3" t="str">
        <f>VLOOKUP(E1454,Countries!$B$3:$C$140,2,FALSE)</f>
        <v>South America</v>
      </c>
      <c r="G1454" s="4">
        <v>4</v>
      </c>
      <c r="H1454" s="4">
        <v>7990945.2712980006</v>
      </c>
    </row>
    <row r="1455" spans="2:8" x14ac:dyDescent="0.2">
      <c r="B1455" s="3" t="s">
        <v>140</v>
      </c>
      <c r="C1455" s="3" t="s">
        <v>56</v>
      </c>
      <c r="D1455" s="3" t="str">
        <f>VLOOKUP(C1455,Countries!$B$3:$C$140,2,FALSE)</f>
        <v>Europe</v>
      </c>
      <c r="E1455" s="3" t="s">
        <v>34</v>
      </c>
      <c r="F1455" s="3" t="str">
        <f>VLOOKUP(E1455,Countries!$B$3:$C$140,2,FALSE)</f>
        <v>Asia</v>
      </c>
      <c r="G1455" s="4">
        <v>2</v>
      </c>
      <c r="H1455" s="4">
        <v>0</v>
      </c>
    </row>
    <row r="1456" spans="2:8" x14ac:dyDescent="0.2">
      <c r="B1456" s="3" t="s">
        <v>140</v>
      </c>
      <c r="C1456" s="3" t="s">
        <v>56</v>
      </c>
      <c r="D1456" s="3" t="str">
        <f>VLOOKUP(C1456,Countries!$B$3:$C$140,2,FALSE)</f>
        <v>Europe</v>
      </c>
      <c r="E1456" s="3" t="s">
        <v>35</v>
      </c>
      <c r="F1456" s="3" t="str">
        <f>VLOOKUP(E1456,Countries!$B$3:$C$140,2,FALSE)</f>
        <v>Europe</v>
      </c>
      <c r="G1456" s="4">
        <v>2</v>
      </c>
      <c r="H1456" s="4">
        <v>0</v>
      </c>
    </row>
    <row r="1457" spans="2:8" x14ac:dyDescent="0.2">
      <c r="B1457" s="3" t="s">
        <v>140</v>
      </c>
      <c r="C1457" s="3" t="s">
        <v>56</v>
      </c>
      <c r="D1457" s="3" t="str">
        <f>VLOOKUP(C1457,Countries!$B$3:$C$140,2,FALSE)</f>
        <v>Europe</v>
      </c>
      <c r="E1457" s="3" t="s">
        <v>7</v>
      </c>
      <c r="F1457" s="3" t="str">
        <f>VLOOKUP(E1457,Countries!$B$3:$C$140,2,FALSE)</f>
        <v>South America</v>
      </c>
      <c r="G1457" s="4">
        <v>4</v>
      </c>
      <c r="H1457" s="4">
        <v>50246.155406699996</v>
      </c>
    </row>
    <row r="1458" spans="2:8" x14ac:dyDescent="0.2">
      <c r="B1458" s="3" t="s">
        <v>140</v>
      </c>
      <c r="C1458" s="3" t="s">
        <v>56</v>
      </c>
      <c r="D1458" s="3" t="str">
        <f>VLOOKUP(C1458,Countries!$B$3:$C$140,2,FALSE)</f>
        <v>Europe</v>
      </c>
      <c r="E1458" s="3" t="s">
        <v>89</v>
      </c>
      <c r="F1458" s="3" t="str">
        <f>VLOOKUP(E1458,Countries!$B$3:$C$140,2,FALSE)</f>
        <v>Asia</v>
      </c>
      <c r="G1458" s="4">
        <v>2</v>
      </c>
      <c r="H1458" s="4">
        <v>0</v>
      </c>
    </row>
    <row r="1459" spans="2:8" x14ac:dyDescent="0.2">
      <c r="B1459" s="3" t="s">
        <v>140</v>
      </c>
      <c r="C1459" s="3" t="s">
        <v>56</v>
      </c>
      <c r="D1459" s="3" t="str">
        <f>VLOOKUP(C1459,Countries!$B$3:$C$140,2,FALSE)</f>
        <v>Europe</v>
      </c>
      <c r="E1459" s="3" t="s">
        <v>61</v>
      </c>
      <c r="F1459" s="3" t="str">
        <f>VLOOKUP(E1459,Countries!$B$3:$C$140,2,FALSE)</f>
        <v>North America</v>
      </c>
      <c r="G1459" s="4">
        <v>2</v>
      </c>
      <c r="H1459" s="4">
        <v>121074.928353</v>
      </c>
    </row>
    <row r="1460" spans="2:8" x14ac:dyDescent="0.2">
      <c r="B1460" s="3" t="s">
        <v>140</v>
      </c>
      <c r="C1460" s="3" t="s">
        <v>56</v>
      </c>
      <c r="D1460" s="3" t="str">
        <f>VLOOKUP(C1460,Countries!$B$3:$C$140,2,FALSE)</f>
        <v>Europe</v>
      </c>
      <c r="E1460" s="3" t="s">
        <v>49</v>
      </c>
      <c r="F1460" s="3" t="str">
        <f>VLOOKUP(E1460,Countries!$B$3:$C$140,2,FALSE)</f>
        <v>Europe</v>
      </c>
      <c r="G1460" s="4">
        <v>90</v>
      </c>
      <c r="H1460" s="4">
        <v>5365657.7872846499</v>
      </c>
    </row>
    <row r="1461" spans="2:8" x14ac:dyDescent="0.2">
      <c r="B1461" s="3" t="s">
        <v>140</v>
      </c>
      <c r="C1461" s="3" t="s">
        <v>56</v>
      </c>
      <c r="D1461" s="3" t="str">
        <f>VLOOKUP(C1461,Countries!$B$3:$C$140,2,FALSE)</f>
        <v>Europe</v>
      </c>
      <c r="E1461" s="3" t="s">
        <v>12</v>
      </c>
      <c r="F1461" s="3" t="str">
        <f>VLOOKUP(E1461,Countries!$B$3:$C$140,2,FALSE)</f>
        <v>Europe</v>
      </c>
      <c r="G1461" s="4">
        <v>6</v>
      </c>
      <c r="H1461" s="4">
        <v>0</v>
      </c>
    </row>
    <row r="1462" spans="2:8" x14ac:dyDescent="0.2">
      <c r="B1462" s="3" t="s">
        <v>140</v>
      </c>
      <c r="C1462" s="3" t="s">
        <v>56</v>
      </c>
      <c r="D1462" s="3" t="str">
        <f>VLOOKUP(C1462,Countries!$B$3:$C$140,2,FALSE)</f>
        <v>Europe</v>
      </c>
      <c r="E1462" s="3" t="s">
        <v>13</v>
      </c>
      <c r="F1462" s="3" t="str">
        <f>VLOOKUP(E1462,Countries!$B$3:$C$140,2,FALSE)</f>
        <v>Europe</v>
      </c>
      <c r="G1462" s="4">
        <v>2</v>
      </c>
      <c r="H1462" s="4">
        <v>0</v>
      </c>
    </row>
    <row r="1463" spans="2:8" x14ac:dyDescent="0.2">
      <c r="B1463" s="3" t="s">
        <v>140</v>
      </c>
      <c r="C1463" s="3" t="s">
        <v>56</v>
      </c>
      <c r="D1463" s="3" t="str">
        <f>VLOOKUP(C1463,Countries!$B$3:$C$140,2,FALSE)</f>
        <v>Europe</v>
      </c>
      <c r="E1463" s="3" t="s">
        <v>14</v>
      </c>
      <c r="F1463" s="3" t="str">
        <f>VLOOKUP(E1463,Countries!$B$3:$C$140,2,FALSE)</f>
        <v>Europe</v>
      </c>
      <c r="G1463" s="4">
        <v>4</v>
      </c>
      <c r="H1463" s="4">
        <v>0</v>
      </c>
    </row>
    <row r="1464" spans="2:8" x14ac:dyDescent="0.2">
      <c r="B1464" s="3" t="s">
        <v>140</v>
      </c>
      <c r="C1464" s="3" t="s">
        <v>56</v>
      </c>
      <c r="D1464" s="3" t="str">
        <f>VLOOKUP(C1464,Countries!$B$3:$C$140,2,FALSE)</f>
        <v>Europe</v>
      </c>
      <c r="E1464" s="3" t="s">
        <v>16</v>
      </c>
      <c r="F1464" s="3" t="str">
        <f>VLOOKUP(E1464,Countries!$B$3:$C$140,2,FALSE)</f>
        <v>Asia</v>
      </c>
      <c r="G1464" s="4">
        <v>6</v>
      </c>
      <c r="H1464" s="4">
        <v>0</v>
      </c>
    </row>
    <row r="1465" spans="2:8" x14ac:dyDescent="0.2">
      <c r="B1465" s="3" t="s">
        <v>140</v>
      </c>
      <c r="C1465" s="3" t="s">
        <v>56</v>
      </c>
      <c r="D1465" s="3" t="str">
        <f>VLOOKUP(C1465,Countries!$B$3:$C$140,2,FALSE)</f>
        <v>Europe</v>
      </c>
      <c r="E1465" s="3" t="s">
        <v>51</v>
      </c>
      <c r="F1465" s="3" t="str">
        <f>VLOOKUP(E1465,Countries!$B$3:$C$140,2,FALSE)</f>
        <v>Asia</v>
      </c>
      <c r="G1465" s="4">
        <v>2</v>
      </c>
      <c r="H1465" s="4">
        <v>0</v>
      </c>
    </row>
    <row r="1466" spans="2:8" x14ac:dyDescent="0.2">
      <c r="B1466" s="3" t="s">
        <v>140</v>
      </c>
      <c r="C1466" s="3" t="s">
        <v>56</v>
      </c>
      <c r="D1466" s="3" t="str">
        <f>VLOOKUP(C1466,Countries!$B$3:$C$140,2,FALSE)</f>
        <v>Europe</v>
      </c>
      <c r="E1466" s="3" t="s">
        <v>17</v>
      </c>
      <c r="F1466" s="3" t="str">
        <f>VLOOKUP(E1466,Countries!$B$3:$C$140,2,FALSE)</f>
        <v>Europe</v>
      </c>
      <c r="G1466" s="4">
        <v>4</v>
      </c>
      <c r="H1466" s="4">
        <v>0</v>
      </c>
    </row>
    <row r="1467" spans="2:8" x14ac:dyDescent="0.2">
      <c r="B1467" s="3" t="s">
        <v>140</v>
      </c>
      <c r="C1467" s="3" t="s">
        <v>56</v>
      </c>
      <c r="D1467" s="3" t="str">
        <f>VLOOKUP(C1467,Countries!$B$3:$C$140,2,FALSE)</f>
        <v>Europe</v>
      </c>
      <c r="E1467" s="3" t="s">
        <v>131</v>
      </c>
      <c r="F1467" s="3" t="str">
        <f>VLOOKUP(E1467,Countries!$B$3:$C$140,2,FALSE)</f>
        <v>Asia</v>
      </c>
      <c r="G1467" s="4">
        <v>6</v>
      </c>
      <c r="H1467" s="4">
        <v>0</v>
      </c>
    </row>
    <row r="1468" spans="2:8" x14ac:dyDescent="0.2">
      <c r="B1468" s="3" t="s">
        <v>140</v>
      </c>
      <c r="C1468" s="3" t="s">
        <v>56</v>
      </c>
      <c r="D1468" s="3" t="str">
        <f>VLOOKUP(C1468,Countries!$B$3:$C$140,2,FALSE)</f>
        <v>Europe</v>
      </c>
      <c r="E1468" s="3" t="s">
        <v>132</v>
      </c>
      <c r="F1468" s="3" t="str">
        <f>VLOOKUP(E1468,Countries!$B$3:$C$140,2,FALSE)</f>
        <v>North America</v>
      </c>
      <c r="G1468" s="4">
        <v>2</v>
      </c>
      <c r="H1468" s="4">
        <v>116631</v>
      </c>
    </row>
    <row r="1469" spans="2:8" x14ac:dyDescent="0.2">
      <c r="B1469" s="3" t="s">
        <v>140</v>
      </c>
      <c r="C1469" s="3" t="s">
        <v>56</v>
      </c>
      <c r="D1469" s="3" t="str">
        <f>VLOOKUP(C1469,Countries!$B$3:$C$140,2,FALSE)</f>
        <v>Europe</v>
      </c>
      <c r="E1469" s="3" t="s">
        <v>80</v>
      </c>
      <c r="F1469" s="3" t="str">
        <f>VLOOKUP(E1469,Countries!$B$3:$C$140,2,FALSE)</f>
        <v>South America</v>
      </c>
      <c r="G1469" s="4">
        <v>2</v>
      </c>
      <c r="H1469" s="4">
        <v>80716.618902000002</v>
      </c>
    </row>
    <row r="1470" spans="2:8" x14ac:dyDescent="0.2">
      <c r="B1470" s="3" t="s">
        <v>140</v>
      </c>
      <c r="C1470" s="3" t="s">
        <v>56</v>
      </c>
      <c r="D1470" s="3" t="str">
        <f>VLOOKUP(C1470,Countries!$B$3:$C$140,2,FALSE)</f>
        <v>Europe</v>
      </c>
      <c r="E1470" s="3" t="s">
        <v>54</v>
      </c>
      <c r="F1470" s="3" t="str">
        <f>VLOOKUP(E1470,Countries!$B$3:$C$140,2,FALSE)</f>
        <v>Europe</v>
      </c>
      <c r="G1470" s="4">
        <v>8</v>
      </c>
      <c r="H1470" s="4">
        <v>0</v>
      </c>
    </row>
    <row r="1471" spans="2:8" x14ac:dyDescent="0.2">
      <c r="B1471" s="3" t="s">
        <v>140</v>
      </c>
      <c r="C1471" s="3" t="s">
        <v>56</v>
      </c>
      <c r="D1471" s="3" t="str">
        <f>VLOOKUP(C1471,Countries!$B$3:$C$140,2,FALSE)</f>
        <v>Europe</v>
      </c>
      <c r="E1471" s="3" t="s">
        <v>25</v>
      </c>
      <c r="F1471" s="3" t="str">
        <f>VLOOKUP(E1471,Countries!$B$3:$C$140,2,FALSE)</f>
        <v>Europe</v>
      </c>
      <c r="G1471" s="4">
        <v>2</v>
      </c>
      <c r="H1471" s="4">
        <v>201791.54725499998</v>
      </c>
    </row>
    <row r="1472" spans="2:8" x14ac:dyDescent="0.2">
      <c r="B1472" s="3" t="s">
        <v>140</v>
      </c>
      <c r="C1472" s="3" t="s">
        <v>56</v>
      </c>
      <c r="D1472" s="3" t="str">
        <f>VLOOKUP(C1472,Countries!$B$3:$C$140,2,FALSE)</f>
        <v>Europe</v>
      </c>
      <c r="E1472" s="3" t="s">
        <v>82</v>
      </c>
      <c r="F1472" s="3" t="e">
        <f>VLOOKUP(E1472,Countries!$B$3:$C$140,2,FALSE)</f>
        <v>#N/A</v>
      </c>
      <c r="G1472" s="4">
        <v>4</v>
      </c>
      <c r="H1472" s="4">
        <v>24214.985670599999</v>
      </c>
    </row>
    <row r="1473" spans="2:8" x14ac:dyDescent="0.2">
      <c r="B1473" s="3" t="s">
        <v>140</v>
      </c>
      <c r="C1473" s="3" t="s">
        <v>56</v>
      </c>
      <c r="D1473" s="3" t="str">
        <f>VLOOKUP(C1473,Countries!$B$3:$C$140,2,FALSE)</f>
        <v>Europe</v>
      </c>
      <c r="E1473" s="3" t="s">
        <v>46</v>
      </c>
      <c r="F1473" s="3" t="str">
        <f>VLOOKUP(E1473,Countries!$B$3:$C$140,2,FALSE)</f>
        <v>Europe/Asia</v>
      </c>
      <c r="G1473" s="4">
        <v>2</v>
      </c>
      <c r="H1473" s="4">
        <v>100041.68948249999</v>
      </c>
    </row>
    <row r="1474" spans="2:8" x14ac:dyDescent="0.2">
      <c r="B1474" s="3" t="s">
        <v>140</v>
      </c>
      <c r="C1474" s="3" t="s">
        <v>56</v>
      </c>
      <c r="D1474" s="3" t="str">
        <f>VLOOKUP(C1474,Countries!$B$3:$C$140,2,FALSE)</f>
        <v>Europe</v>
      </c>
      <c r="E1474" s="3" t="s">
        <v>30</v>
      </c>
      <c r="F1474" s="3" t="str">
        <f>VLOOKUP(E1474,Countries!$B$3:$C$140,2,FALSE)</f>
        <v>Europe</v>
      </c>
      <c r="G1474" s="4">
        <v>4</v>
      </c>
      <c r="H1474" s="4">
        <v>201791.54725499998</v>
      </c>
    </row>
    <row r="1475" spans="2:8" x14ac:dyDescent="0.2">
      <c r="B1475" s="3" t="s">
        <v>140</v>
      </c>
      <c r="C1475" s="3" t="s">
        <v>56</v>
      </c>
      <c r="D1475" s="3" t="str">
        <f>VLOOKUP(C1475,Countries!$B$3:$C$140,2,FALSE)</f>
        <v>Europe</v>
      </c>
      <c r="E1475" s="3" t="s">
        <v>57</v>
      </c>
      <c r="F1475" s="3" t="str">
        <f>VLOOKUP(E1475,Countries!$B$3:$C$140,2,FALSE)</f>
        <v>Europe/Asia</v>
      </c>
      <c r="G1475" s="4">
        <v>4</v>
      </c>
      <c r="H1475" s="4">
        <v>0</v>
      </c>
    </row>
    <row r="1476" spans="2:8" x14ac:dyDescent="0.2">
      <c r="B1476" s="3" t="s">
        <v>140</v>
      </c>
      <c r="C1476" s="3" t="s">
        <v>56</v>
      </c>
      <c r="D1476" s="3" t="str">
        <f>VLOOKUP(C1476,Countries!$B$3:$C$140,2,FALSE)</f>
        <v>Europe</v>
      </c>
      <c r="E1476" s="3" t="s">
        <v>32</v>
      </c>
      <c r="F1476" s="3" t="str">
        <f>VLOOKUP(E1476,Countries!$B$3:$C$140,2,FALSE)</f>
        <v>Europe</v>
      </c>
      <c r="G1476" s="4">
        <v>4</v>
      </c>
      <c r="H1476" s="4">
        <v>0</v>
      </c>
    </row>
    <row r="1477" spans="2:8" x14ac:dyDescent="0.2">
      <c r="B1477" s="3" t="s">
        <v>140</v>
      </c>
      <c r="C1477" s="3" t="s">
        <v>56</v>
      </c>
      <c r="D1477" s="3" t="str">
        <f>VLOOKUP(C1477,Countries!$B$3:$C$140,2,FALSE)</f>
        <v>Europe</v>
      </c>
      <c r="E1477" s="3" t="s">
        <v>87</v>
      </c>
      <c r="F1477" s="3" t="str">
        <f>VLOOKUP(E1477,Countries!$B$3:$C$140,2,FALSE)</f>
        <v>Asia</v>
      </c>
      <c r="G1477" s="4">
        <v>2</v>
      </c>
      <c r="H1477" s="4">
        <v>0</v>
      </c>
    </row>
    <row r="1478" spans="2:8" x14ac:dyDescent="0.2">
      <c r="B1478" s="3" t="s">
        <v>140</v>
      </c>
      <c r="C1478" s="3" t="s">
        <v>30</v>
      </c>
      <c r="D1478" s="3" t="str">
        <f>VLOOKUP(C1478,Countries!$B$3:$C$140,2,FALSE)</f>
        <v>Europe</v>
      </c>
      <c r="E1478" s="3" t="s">
        <v>6</v>
      </c>
      <c r="F1478" s="3" t="str">
        <f>VLOOKUP(E1478,Countries!$B$3:$C$140,2,FALSE)</f>
        <v>Europe</v>
      </c>
      <c r="G1478" s="4">
        <v>4</v>
      </c>
      <c r="H1478" s="4">
        <v>0</v>
      </c>
    </row>
    <row r="1479" spans="2:8" x14ac:dyDescent="0.2">
      <c r="B1479" s="3" t="s">
        <v>140</v>
      </c>
      <c r="C1479" s="3" t="s">
        <v>30</v>
      </c>
      <c r="D1479" s="3" t="str">
        <f>VLOOKUP(C1479,Countries!$B$3:$C$140,2,FALSE)</f>
        <v>Europe</v>
      </c>
      <c r="E1479" s="3" t="s">
        <v>7</v>
      </c>
      <c r="F1479" s="3" t="str">
        <f>VLOOKUP(E1479,Countries!$B$3:$C$140,2,FALSE)</f>
        <v>South America</v>
      </c>
      <c r="G1479" s="4">
        <v>2</v>
      </c>
      <c r="H1479" s="4">
        <v>0</v>
      </c>
    </row>
    <row r="1480" spans="2:8" x14ac:dyDescent="0.2">
      <c r="B1480" s="3" t="s">
        <v>140</v>
      </c>
      <c r="C1480" s="3" t="s">
        <v>30</v>
      </c>
      <c r="D1480" s="3" t="str">
        <f>VLOOKUP(C1480,Countries!$B$3:$C$140,2,FALSE)</f>
        <v>Europe</v>
      </c>
      <c r="E1480" s="3" t="s">
        <v>36</v>
      </c>
      <c r="F1480" s="3" t="str">
        <f>VLOOKUP(E1480,Countries!$B$3:$C$140,2,FALSE)</f>
        <v>Europe</v>
      </c>
      <c r="G1480" s="4">
        <v>8</v>
      </c>
      <c r="H1480" s="4">
        <v>0</v>
      </c>
    </row>
    <row r="1481" spans="2:8" x14ac:dyDescent="0.2">
      <c r="B1481" s="3" t="s">
        <v>140</v>
      </c>
      <c r="C1481" s="3" t="s">
        <v>30</v>
      </c>
      <c r="D1481" s="3" t="str">
        <f>VLOOKUP(C1481,Countries!$B$3:$C$140,2,FALSE)</f>
        <v>Europe</v>
      </c>
      <c r="E1481" s="3" t="s">
        <v>89</v>
      </c>
      <c r="F1481" s="3" t="str">
        <f>VLOOKUP(E1481,Countries!$B$3:$C$140,2,FALSE)</f>
        <v>Asia</v>
      </c>
      <c r="G1481" s="4">
        <v>4</v>
      </c>
      <c r="H1481" s="4">
        <v>0</v>
      </c>
    </row>
    <row r="1482" spans="2:8" x14ac:dyDescent="0.2">
      <c r="B1482" s="3" t="s">
        <v>140</v>
      </c>
      <c r="C1482" s="3" t="s">
        <v>30</v>
      </c>
      <c r="D1482" s="3" t="str">
        <f>VLOOKUP(C1482,Countries!$B$3:$C$140,2,FALSE)</f>
        <v>Europe</v>
      </c>
      <c r="E1482" s="3" t="s">
        <v>106</v>
      </c>
      <c r="F1482" s="3" t="str">
        <f>VLOOKUP(E1482,Countries!$B$3:$C$140,2,FALSE)</f>
        <v>Africa</v>
      </c>
      <c r="G1482" s="4">
        <v>2</v>
      </c>
      <c r="H1482" s="4">
        <v>0</v>
      </c>
    </row>
    <row r="1483" spans="2:8" x14ac:dyDescent="0.2">
      <c r="B1483" s="3" t="s">
        <v>140</v>
      </c>
      <c r="C1483" s="3" t="s">
        <v>30</v>
      </c>
      <c r="D1483" s="3" t="str">
        <f>VLOOKUP(C1483,Countries!$B$3:$C$140,2,FALSE)</f>
        <v>Europe</v>
      </c>
      <c r="E1483" s="3" t="s">
        <v>9</v>
      </c>
      <c r="F1483" s="3" t="str">
        <f>VLOOKUP(E1483,Countries!$B$3:$C$140,2,FALSE)</f>
        <v>Europe</v>
      </c>
      <c r="G1483" s="4">
        <v>18</v>
      </c>
      <c r="H1483" s="4">
        <v>0</v>
      </c>
    </row>
    <row r="1484" spans="2:8" x14ac:dyDescent="0.2">
      <c r="B1484" s="3" t="s">
        <v>140</v>
      </c>
      <c r="C1484" s="3" t="s">
        <v>30</v>
      </c>
      <c r="D1484" s="3" t="str">
        <f>VLOOKUP(C1484,Countries!$B$3:$C$140,2,FALSE)</f>
        <v>Europe</v>
      </c>
      <c r="E1484" s="3" t="s">
        <v>62</v>
      </c>
      <c r="F1484" s="3" t="str">
        <f>VLOOKUP(E1484,Countries!$B$3:$C$140,2,FALSE)</f>
        <v>Asia</v>
      </c>
      <c r="G1484" s="4">
        <v>2</v>
      </c>
      <c r="H1484" s="4">
        <v>0</v>
      </c>
    </row>
    <row r="1485" spans="2:8" x14ac:dyDescent="0.2">
      <c r="B1485" s="3" t="s">
        <v>140</v>
      </c>
      <c r="C1485" s="3" t="s">
        <v>30</v>
      </c>
      <c r="D1485" s="3" t="str">
        <f>VLOOKUP(C1485,Countries!$B$3:$C$140,2,FALSE)</f>
        <v>Europe</v>
      </c>
      <c r="E1485" s="3" t="s">
        <v>50</v>
      </c>
      <c r="F1485" s="3" t="str">
        <f>VLOOKUP(E1485,Countries!$B$3:$C$140,2,FALSE)</f>
        <v>Europe</v>
      </c>
      <c r="G1485" s="4">
        <v>4</v>
      </c>
      <c r="H1485" s="4">
        <v>0</v>
      </c>
    </row>
    <row r="1486" spans="2:8" x14ac:dyDescent="0.2">
      <c r="B1486" s="3" t="s">
        <v>140</v>
      </c>
      <c r="C1486" s="3" t="s">
        <v>30</v>
      </c>
      <c r="D1486" s="3" t="str">
        <f>VLOOKUP(C1486,Countries!$B$3:$C$140,2,FALSE)</f>
        <v>Europe</v>
      </c>
      <c r="E1486" s="3" t="s">
        <v>15</v>
      </c>
      <c r="F1486" s="3" t="str">
        <f>VLOOKUP(E1486,Countries!$B$3:$C$140,2,FALSE)</f>
        <v>Europe</v>
      </c>
      <c r="G1486" s="4">
        <v>4</v>
      </c>
      <c r="H1486" s="4">
        <v>0</v>
      </c>
    </row>
    <row r="1487" spans="2:8" x14ac:dyDescent="0.2">
      <c r="B1487" s="3" t="s">
        <v>140</v>
      </c>
      <c r="C1487" s="3" t="s">
        <v>30</v>
      </c>
      <c r="D1487" s="3" t="str">
        <f>VLOOKUP(C1487,Countries!$B$3:$C$140,2,FALSE)</f>
        <v>Europe</v>
      </c>
      <c r="E1487" s="3" t="s">
        <v>51</v>
      </c>
      <c r="F1487" s="3" t="str">
        <f>VLOOKUP(E1487,Countries!$B$3:$C$140,2,FALSE)</f>
        <v>Asia</v>
      </c>
      <c r="G1487" s="4">
        <v>2</v>
      </c>
      <c r="H1487" s="4">
        <v>0</v>
      </c>
    </row>
    <row r="1488" spans="2:8" x14ac:dyDescent="0.2">
      <c r="B1488" s="3" t="s">
        <v>140</v>
      </c>
      <c r="C1488" s="3" t="s">
        <v>30</v>
      </c>
      <c r="D1488" s="3" t="str">
        <f>VLOOKUP(C1488,Countries!$B$3:$C$140,2,FALSE)</f>
        <v>Europe</v>
      </c>
      <c r="E1488" s="3" t="s">
        <v>17</v>
      </c>
      <c r="F1488" s="3" t="str">
        <f>VLOOKUP(E1488,Countries!$B$3:$C$140,2,FALSE)</f>
        <v>Europe</v>
      </c>
      <c r="G1488" s="4">
        <v>4</v>
      </c>
      <c r="H1488" s="4">
        <v>0</v>
      </c>
    </row>
    <row r="1489" spans="2:8" x14ac:dyDescent="0.2">
      <c r="B1489" s="3" t="s">
        <v>140</v>
      </c>
      <c r="C1489" s="3" t="s">
        <v>30</v>
      </c>
      <c r="D1489" s="3" t="str">
        <f>VLOOKUP(C1489,Countries!$B$3:$C$140,2,FALSE)</f>
        <v>Europe</v>
      </c>
      <c r="E1489" s="3" t="s">
        <v>43</v>
      </c>
      <c r="F1489" s="3" t="str">
        <f>VLOOKUP(E1489,Countries!$B$3:$C$140,2,FALSE)</f>
        <v>Europe</v>
      </c>
      <c r="G1489" s="4">
        <v>2</v>
      </c>
      <c r="H1489" s="4">
        <v>1614332.3780399999</v>
      </c>
    </row>
    <row r="1490" spans="2:8" x14ac:dyDescent="0.2">
      <c r="B1490" s="3" t="s">
        <v>140</v>
      </c>
      <c r="C1490" s="3" t="s">
        <v>30</v>
      </c>
      <c r="D1490" s="3" t="str">
        <f>VLOOKUP(C1490,Countries!$B$3:$C$140,2,FALSE)</f>
        <v>Europe</v>
      </c>
      <c r="E1490" s="3" t="s">
        <v>21</v>
      </c>
      <c r="F1490" s="3" t="str">
        <f>VLOOKUP(E1490,Countries!$B$3:$C$140,2,FALSE)</f>
        <v>Europe</v>
      </c>
      <c r="G1490" s="4">
        <v>2</v>
      </c>
      <c r="H1490" s="4">
        <v>0</v>
      </c>
    </row>
    <row r="1491" spans="2:8" x14ac:dyDescent="0.2">
      <c r="B1491" s="3" t="s">
        <v>140</v>
      </c>
      <c r="C1491" s="3" t="s">
        <v>30</v>
      </c>
      <c r="D1491" s="3" t="str">
        <f>VLOOKUP(C1491,Countries!$B$3:$C$140,2,FALSE)</f>
        <v>Europe</v>
      </c>
      <c r="E1491" s="3" t="s">
        <v>53</v>
      </c>
      <c r="F1491" s="3" t="str">
        <f>VLOOKUP(E1491,Countries!$B$3:$C$140,2,FALSE)</f>
        <v>Europe</v>
      </c>
      <c r="G1491" s="4">
        <v>4</v>
      </c>
      <c r="H1491" s="4">
        <v>0</v>
      </c>
    </row>
    <row r="1492" spans="2:8" x14ac:dyDescent="0.2">
      <c r="B1492" s="3" t="s">
        <v>140</v>
      </c>
      <c r="C1492" s="3" t="s">
        <v>30</v>
      </c>
      <c r="D1492" s="3" t="str">
        <f>VLOOKUP(C1492,Countries!$B$3:$C$140,2,FALSE)</f>
        <v>Europe</v>
      </c>
      <c r="E1492" s="3" t="s">
        <v>54</v>
      </c>
      <c r="F1492" s="3" t="str">
        <f>VLOOKUP(E1492,Countries!$B$3:$C$140,2,FALSE)</f>
        <v>Europe</v>
      </c>
      <c r="G1492" s="4">
        <v>2</v>
      </c>
      <c r="H1492" s="4">
        <v>0</v>
      </c>
    </row>
    <row r="1493" spans="2:8" x14ac:dyDescent="0.2">
      <c r="B1493" s="3" t="s">
        <v>140</v>
      </c>
      <c r="C1493" s="3" t="s">
        <v>30</v>
      </c>
      <c r="D1493" s="3" t="str">
        <f>VLOOKUP(C1493,Countries!$B$3:$C$140,2,FALSE)</f>
        <v>Europe</v>
      </c>
      <c r="E1493" s="3" t="s">
        <v>26</v>
      </c>
      <c r="F1493" s="3" t="str">
        <f>VLOOKUP(E1493,Countries!$B$3:$C$140,2,FALSE)</f>
        <v>Europe</v>
      </c>
      <c r="G1493" s="4">
        <v>4</v>
      </c>
      <c r="H1493" s="4">
        <v>0</v>
      </c>
    </row>
    <row r="1494" spans="2:8" x14ac:dyDescent="0.2">
      <c r="B1494" s="3" t="s">
        <v>140</v>
      </c>
      <c r="C1494" s="3" t="s">
        <v>30</v>
      </c>
      <c r="D1494" s="3" t="str">
        <f>VLOOKUP(C1494,Countries!$B$3:$C$140,2,FALSE)</f>
        <v>Europe</v>
      </c>
      <c r="E1494" s="3" t="s">
        <v>46</v>
      </c>
      <c r="F1494" s="3" t="str">
        <f>VLOOKUP(E1494,Countries!$B$3:$C$140,2,FALSE)</f>
        <v>Europe/Asia</v>
      </c>
      <c r="G1494" s="4">
        <v>2</v>
      </c>
      <c r="H1494" s="4">
        <v>0</v>
      </c>
    </row>
    <row r="1495" spans="2:8" x14ac:dyDescent="0.2">
      <c r="B1495" s="3" t="s">
        <v>140</v>
      </c>
      <c r="C1495" s="3" t="s">
        <v>30</v>
      </c>
      <c r="D1495" s="3" t="str">
        <f>VLOOKUP(C1495,Countries!$B$3:$C$140,2,FALSE)</f>
        <v>Europe</v>
      </c>
      <c r="E1495" s="3" t="s">
        <v>87</v>
      </c>
      <c r="F1495" s="3" t="str">
        <f>VLOOKUP(E1495,Countries!$B$3:$C$140,2,FALSE)</f>
        <v>Asia</v>
      </c>
      <c r="G1495" s="4">
        <v>2</v>
      </c>
      <c r="H1495" s="4">
        <v>0</v>
      </c>
    </row>
    <row r="1496" spans="2:8" x14ac:dyDescent="0.2">
      <c r="B1496" s="3" t="s">
        <v>140</v>
      </c>
      <c r="C1496" s="3" t="s">
        <v>31</v>
      </c>
      <c r="D1496" s="3" t="str">
        <f>VLOOKUP(C1496,Countries!$B$3:$C$140,2,FALSE)</f>
        <v>Europe</v>
      </c>
      <c r="E1496" s="3" t="s">
        <v>2</v>
      </c>
      <c r="F1496" s="3" t="str">
        <f>VLOOKUP(E1496,Countries!$B$3:$C$140,2,FALSE)</f>
        <v>Europe</v>
      </c>
      <c r="G1496" s="4">
        <v>2</v>
      </c>
      <c r="H1496" s="4">
        <v>0</v>
      </c>
    </row>
    <row r="1497" spans="2:8" x14ac:dyDescent="0.2">
      <c r="B1497" s="3" t="s">
        <v>140</v>
      </c>
      <c r="C1497" s="3" t="s">
        <v>31</v>
      </c>
      <c r="D1497" s="3" t="str">
        <f>VLOOKUP(C1497,Countries!$B$3:$C$140,2,FALSE)</f>
        <v>Europe</v>
      </c>
      <c r="E1497" s="3" t="s">
        <v>69</v>
      </c>
      <c r="F1497" s="3" t="str">
        <f>VLOOKUP(E1497,Countries!$B$3:$C$140,2,FALSE)</f>
        <v>South America</v>
      </c>
      <c r="G1497" s="4">
        <v>4</v>
      </c>
      <c r="H1497" s="4">
        <v>0</v>
      </c>
    </row>
    <row r="1498" spans="2:8" x14ac:dyDescent="0.2">
      <c r="B1498" s="3" t="s">
        <v>140</v>
      </c>
      <c r="C1498" s="3" t="s">
        <v>31</v>
      </c>
      <c r="D1498" s="3" t="str">
        <f>VLOOKUP(C1498,Countries!$B$3:$C$140,2,FALSE)</f>
        <v>Europe</v>
      </c>
      <c r="E1498" s="3" t="s">
        <v>34</v>
      </c>
      <c r="F1498" s="3" t="str">
        <f>VLOOKUP(E1498,Countries!$B$3:$C$140,2,FALSE)</f>
        <v>Asia</v>
      </c>
      <c r="G1498" s="4">
        <v>2</v>
      </c>
      <c r="H1498" s="4">
        <v>0</v>
      </c>
    </row>
    <row r="1499" spans="2:8" x14ac:dyDescent="0.2">
      <c r="B1499" s="3" t="s">
        <v>140</v>
      </c>
      <c r="C1499" s="3" t="s">
        <v>31</v>
      </c>
      <c r="D1499" s="3" t="str">
        <f>VLOOKUP(C1499,Countries!$B$3:$C$140,2,FALSE)</f>
        <v>Europe</v>
      </c>
      <c r="E1499" s="3" t="s">
        <v>48</v>
      </c>
      <c r="F1499" s="3" t="str">
        <f>VLOOKUP(E1499,Countries!$B$3:$C$140,2,FALSE)</f>
        <v>Oceania</v>
      </c>
      <c r="G1499" s="4">
        <v>6</v>
      </c>
      <c r="H1499" s="4">
        <v>0</v>
      </c>
    </row>
    <row r="1500" spans="2:8" x14ac:dyDescent="0.2">
      <c r="B1500" s="3" t="s">
        <v>140</v>
      </c>
      <c r="C1500" s="3" t="s">
        <v>31</v>
      </c>
      <c r="D1500" s="3" t="str">
        <f>VLOOKUP(C1500,Countries!$B$3:$C$140,2,FALSE)</f>
        <v>Europe</v>
      </c>
      <c r="E1500" s="3" t="s">
        <v>35</v>
      </c>
      <c r="F1500" s="3" t="str">
        <f>VLOOKUP(E1500,Countries!$B$3:$C$140,2,FALSE)</f>
        <v>Europe</v>
      </c>
      <c r="G1500" s="4">
        <v>4</v>
      </c>
      <c r="H1500" s="4">
        <v>100895.77362749999</v>
      </c>
    </row>
    <row r="1501" spans="2:8" x14ac:dyDescent="0.2">
      <c r="B1501" s="3" t="s">
        <v>140</v>
      </c>
      <c r="C1501" s="3" t="s">
        <v>31</v>
      </c>
      <c r="D1501" s="3" t="str">
        <f>VLOOKUP(C1501,Countries!$B$3:$C$140,2,FALSE)</f>
        <v>Europe</v>
      </c>
      <c r="E1501" s="3" t="s">
        <v>6</v>
      </c>
      <c r="F1501" s="3" t="str">
        <f>VLOOKUP(E1501,Countries!$B$3:$C$140,2,FALSE)</f>
        <v>Europe</v>
      </c>
      <c r="G1501" s="4">
        <v>6</v>
      </c>
      <c r="H1501" s="4">
        <v>0</v>
      </c>
    </row>
    <row r="1502" spans="2:8" x14ac:dyDescent="0.2">
      <c r="B1502" s="3" t="s">
        <v>140</v>
      </c>
      <c r="C1502" s="3" t="s">
        <v>31</v>
      </c>
      <c r="D1502" s="3" t="str">
        <f>VLOOKUP(C1502,Countries!$B$3:$C$140,2,FALSE)</f>
        <v>Europe</v>
      </c>
      <c r="E1502" s="3" t="s">
        <v>7</v>
      </c>
      <c r="F1502" s="3" t="str">
        <f>VLOOKUP(E1502,Countries!$B$3:$C$140,2,FALSE)</f>
        <v>South America</v>
      </c>
      <c r="G1502" s="4">
        <v>12</v>
      </c>
      <c r="H1502" s="4">
        <v>600000</v>
      </c>
    </row>
    <row r="1503" spans="2:8" x14ac:dyDescent="0.2">
      <c r="B1503" s="3" t="s">
        <v>140</v>
      </c>
      <c r="C1503" s="3" t="s">
        <v>31</v>
      </c>
      <c r="D1503" s="3" t="str">
        <f>VLOOKUP(C1503,Countries!$B$3:$C$140,2,FALSE)</f>
        <v>Europe</v>
      </c>
      <c r="E1503" s="3" t="s">
        <v>36</v>
      </c>
      <c r="F1503" s="3" t="str">
        <f>VLOOKUP(E1503,Countries!$B$3:$C$140,2,FALSE)</f>
        <v>Europe</v>
      </c>
      <c r="G1503" s="4">
        <v>2</v>
      </c>
      <c r="H1503" s="4">
        <v>0</v>
      </c>
    </row>
    <row r="1504" spans="2:8" x14ac:dyDescent="0.2">
      <c r="B1504" s="3" t="s">
        <v>140</v>
      </c>
      <c r="C1504" s="3" t="s">
        <v>31</v>
      </c>
      <c r="D1504" s="3" t="str">
        <f>VLOOKUP(C1504,Countries!$B$3:$C$140,2,FALSE)</f>
        <v>Europe</v>
      </c>
      <c r="E1504" s="3" t="s">
        <v>8</v>
      </c>
      <c r="F1504" s="3" t="str">
        <f>VLOOKUP(E1504,Countries!$B$3:$C$140,2,FALSE)</f>
        <v>North America</v>
      </c>
      <c r="G1504" s="4">
        <v>2</v>
      </c>
      <c r="H1504" s="4">
        <v>0</v>
      </c>
    </row>
    <row r="1505" spans="2:8" x14ac:dyDescent="0.2">
      <c r="B1505" s="3" t="s">
        <v>140</v>
      </c>
      <c r="C1505" s="3" t="s">
        <v>31</v>
      </c>
      <c r="D1505" s="3" t="str">
        <f>VLOOKUP(C1505,Countries!$B$3:$C$140,2,FALSE)</f>
        <v>Europe</v>
      </c>
      <c r="E1505" s="3" t="s">
        <v>37</v>
      </c>
      <c r="F1505" s="3" t="str">
        <f>VLOOKUP(E1505,Countries!$B$3:$C$140,2,FALSE)</f>
        <v>Africa</v>
      </c>
      <c r="G1505" s="4">
        <v>2</v>
      </c>
      <c r="H1505" s="4">
        <v>0</v>
      </c>
    </row>
    <row r="1506" spans="2:8" x14ac:dyDescent="0.2">
      <c r="B1506" s="3" t="s">
        <v>140</v>
      </c>
      <c r="C1506" s="3" t="s">
        <v>31</v>
      </c>
      <c r="D1506" s="3" t="str">
        <f>VLOOKUP(C1506,Countries!$B$3:$C$140,2,FALSE)</f>
        <v>Europe</v>
      </c>
      <c r="E1506" s="3" t="s">
        <v>61</v>
      </c>
      <c r="F1506" s="3" t="str">
        <f>VLOOKUP(E1506,Countries!$B$3:$C$140,2,FALSE)</f>
        <v>North America</v>
      </c>
      <c r="G1506" s="4">
        <v>2</v>
      </c>
      <c r="H1506" s="4">
        <v>0</v>
      </c>
    </row>
    <row r="1507" spans="2:8" x14ac:dyDescent="0.2">
      <c r="B1507" s="3" t="s">
        <v>140</v>
      </c>
      <c r="C1507" s="3" t="s">
        <v>31</v>
      </c>
      <c r="D1507" s="3" t="str">
        <f>VLOOKUP(C1507,Countries!$B$3:$C$140,2,FALSE)</f>
        <v>Europe</v>
      </c>
      <c r="E1507" s="3" t="s">
        <v>9</v>
      </c>
      <c r="F1507" s="3" t="str">
        <f>VLOOKUP(E1507,Countries!$B$3:$C$140,2,FALSE)</f>
        <v>Europe</v>
      </c>
      <c r="G1507" s="4">
        <v>10</v>
      </c>
      <c r="H1507" s="4">
        <v>0</v>
      </c>
    </row>
    <row r="1508" spans="2:8" x14ac:dyDescent="0.2">
      <c r="B1508" s="3" t="s">
        <v>140</v>
      </c>
      <c r="C1508" s="3" t="s">
        <v>31</v>
      </c>
      <c r="D1508" s="3" t="str">
        <f>VLOOKUP(C1508,Countries!$B$3:$C$140,2,FALSE)</f>
        <v>Europe</v>
      </c>
      <c r="E1508" s="3" t="s">
        <v>62</v>
      </c>
      <c r="F1508" s="3" t="str">
        <f>VLOOKUP(E1508,Countries!$B$3:$C$140,2,FALSE)</f>
        <v>Asia</v>
      </c>
      <c r="G1508" s="4">
        <v>2</v>
      </c>
      <c r="H1508" s="4">
        <v>0</v>
      </c>
    </row>
    <row r="1509" spans="2:8" x14ac:dyDescent="0.2">
      <c r="B1509" s="3" t="s">
        <v>140</v>
      </c>
      <c r="C1509" s="3" t="s">
        <v>31</v>
      </c>
      <c r="D1509" s="3" t="str">
        <f>VLOOKUP(C1509,Countries!$B$3:$C$140,2,FALSE)</f>
        <v>Europe</v>
      </c>
      <c r="E1509" s="3" t="s">
        <v>49</v>
      </c>
      <c r="F1509" s="3" t="str">
        <f>VLOOKUP(E1509,Countries!$B$3:$C$140,2,FALSE)</f>
        <v>Europe</v>
      </c>
      <c r="G1509" s="4">
        <v>2</v>
      </c>
      <c r="H1509" s="4">
        <v>0</v>
      </c>
    </row>
    <row r="1510" spans="2:8" x14ac:dyDescent="0.2">
      <c r="B1510" s="3" t="s">
        <v>140</v>
      </c>
      <c r="C1510" s="3" t="s">
        <v>31</v>
      </c>
      <c r="D1510" s="3" t="str">
        <f>VLOOKUP(C1510,Countries!$B$3:$C$140,2,FALSE)</f>
        <v>Europe</v>
      </c>
      <c r="E1510" s="3" t="s">
        <v>10</v>
      </c>
      <c r="F1510" s="3" t="str">
        <f>VLOOKUP(E1510,Countries!$B$3:$C$140,2,FALSE)</f>
        <v>Europe</v>
      </c>
      <c r="G1510" s="4">
        <v>32</v>
      </c>
      <c r="H1510" s="4">
        <v>1313748.4570686</v>
      </c>
    </row>
    <row r="1511" spans="2:8" x14ac:dyDescent="0.2">
      <c r="B1511" s="3" t="s">
        <v>140</v>
      </c>
      <c r="C1511" s="3" t="s">
        <v>31</v>
      </c>
      <c r="D1511" s="3" t="str">
        <f>VLOOKUP(C1511,Countries!$B$3:$C$140,2,FALSE)</f>
        <v>Europe</v>
      </c>
      <c r="E1511" s="3" t="s">
        <v>50</v>
      </c>
      <c r="F1511" s="3" t="str">
        <f>VLOOKUP(E1511,Countries!$B$3:$C$140,2,FALSE)</f>
        <v>Europe</v>
      </c>
      <c r="G1511" s="4">
        <v>34</v>
      </c>
      <c r="H1511" s="4">
        <v>24452.556882000001</v>
      </c>
    </row>
    <row r="1512" spans="2:8" x14ac:dyDescent="0.2">
      <c r="B1512" s="3" t="s">
        <v>140</v>
      </c>
      <c r="C1512" s="3" t="s">
        <v>31</v>
      </c>
      <c r="D1512" s="3" t="str">
        <f>VLOOKUP(C1512,Countries!$B$3:$C$140,2,FALSE)</f>
        <v>Europe</v>
      </c>
      <c r="E1512" s="3" t="s">
        <v>11</v>
      </c>
      <c r="F1512" s="3" t="str">
        <f>VLOOKUP(E1512,Countries!$B$3:$C$140,2,FALSE)</f>
        <v>Europe</v>
      </c>
      <c r="G1512" s="4">
        <v>12</v>
      </c>
      <c r="H1512" s="4">
        <v>0</v>
      </c>
    </row>
    <row r="1513" spans="2:8" x14ac:dyDescent="0.2">
      <c r="B1513" s="3" t="s">
        <v>140</v>
      </c>
      <c r="C1513" s="3" t="s">
        <v>31</v>
      </c>
      <c r="D1513" s="3" t="str">
        <f>VLOOKUP(C1513,Countries!$B$3:$C$140,2,FALSE)</f>
        <v>Europe</v>
      </c>
      <c r="E1513" s="3" t="s">
        <v>73</v>
      </c>
      <c r="F1513" s="3" t="str">
        <f>VLOOKUP(E1513,Countries!$B$3:$C$140,2,FALSE)</f>
        <v>Europe</v>
      </c>
      <c r="G1513" s="4">
        <v>12</v>
      </c>
      <c r="H1513" s="4">
        <v>1836303.0800204999</v>
      </c>
    </row>
    <row r="1514" spans="2:8" x14ac:dyDescent="0.2">
      <c r="B1514" s="3" t="s">
        <v>140</v>
      </c>
      <c r="C1514" s="3" t="s">
        <v>31</v>
      </c>
      <c r="D1514" s="3" t="str">
        <f>VLOOKUP(C1514,Countries!$B$3:$C$140,2,FALSE)</f>
        <v>Europe</v>
      </c>
      <c r="E1514" s="3" t="s">
        <v>12</v>
      </c>
      <c r="F1514" s="3" t="str">
        <f>VLOOKUP(E1514,Countries!$B$3:$C$140,2,FALSE)</f>
        <v>Europe</v>
      </c>
      <c r="G1514" s="4">
        <v>2</v>
      </c>
      <c r="H1514" s="4">
        <v>0</v>
      </c>
    </row>
    <row r="1515" spans="2:8" x14ac:dyDescent="0.2">
      <c r="B1515" s="3" t="s">
        <v>140</v>
      </c>
      <c r="C1515" s="3" t="s">
        <v>31</v>
      </c>
      <c r="D1515" s="3" t="str">
        <f>VLOOKUP(C1515,Countries!$B$3:$C$140,2,FALSE)</f>
        <v>Europe</v>
      </c>
      <c r="E1515" s="3" t="s">
        <v>97</v>
      </c>
      <c r="F1515" s="3" t="str">
        <f>VLOOKUP(E1515,Countries!$B$3:$C$140,2,FALSE)</f>
        <v>Europe</v>
      </c>
      <c r="G1515" s="4">
        <v>4</v>
      </c>
      <c r="H1515" s="4">
        <v>20179.1547255</v>
      </c>
    </row>
    <row r="1516" spans="2:8" x14ac:dyDescent="0.2">
      <c r="B1516" s="3" t="s">
        <v>140</v>
      </c>
      <c r="C1516" s="3" t="s">
        <v>31</v>
      </c>
      <c r="D1516" s="3" t="str">
        <f>VLOOKUP(C1516,Countries!$B$3:$C$140,2,FALSE)</f>
        <v>Europe</v>
      </c>
      <c r="E1516" s="3" t="s">
        <v>13</v>
      </c>
      <c r="F1516" s="3" t="str">
        <f>VLOOKUP(E1516,Countries!$B$3:$C$140,2,FALSE)</f>
        <v>Europe</v>
      </c>
      <c r="G1516" s="4">
        <v>20</v>
      </c>
      <c r="H1516" s="4">
        <v>121074.928353</v>
      </c>
    </row>
    <row r="1517" spans="2:8" x14ac:dyDescent="0.2">
      <c r="B1517" s="3" t="s">
        <v>140</v>
      </c>
      <c r="C1517" s="3" t="s">
        <v>31</v>
      </c>
      <c r="D1517" s="3" t="str">
        <f>VLOOKUP(C1517,Countries!$B$3:$C$140,2,FALSE)</f>
        <v>Europe</v>
      </c>
      <c r="E1517" s="3" t="s">
        <v>64</v>
      </c>
      <c r="F1517" s="3" t="str">
        <f>VLOOKUP(E1517,Countries!$B$3:$C$140,2,FALSE)</f>
        <v>Africa</v>
      </c>
      <c r="G1517" s="4">
        <v>16</v>
      </c>
      <c r="H1517" s="4">
        <v>302687.32088250003</v>
      </c>
    </row>
    <row r="1518" spans="2:8" x14ac:dyDescent="0.2">
      <c r="B1518" s="3" t="s">
        <v>140</v>
      </c>
      <c r="C1518" s="3" t="s">
        <v>31</v>
      </c>
      <c r="D1518" s="3" t="str">
        <f>VLOOKUP(C1518,Countries!$B$3:$C$140,2,FALSE)</f>
        <v>Europe</v>
      </c>
      <c r="E1518" s="3" t="s">
        <v>14</v>
      </c>
      <c r="F1518" s="3" t="str">
        <f>VLOOKUP(E1518,Countries!$B$3:$C$140,2,FALSE)</f>
        <v>Europe</v>
      </c>
      <c r="G1518" s="4">
        <v>2</v>
      </c>
      <c r="H1518" s="4">
        <v>0</v>
      </c>
    </row>
    <row r="1519" spans="2:8" x14ac:dyDescent="0.2">
      <c r="B1519" s="3" t="s">
        <v>140</v>
      </c>
      <c r="C1519" s="3" t="s">
        <v>31</v>
      </c>
      <c r="D1519" s="3" t="str">
        <f>VLOOKUP(C1519,Countries!$B$3:$C$140,2,FALSE)</f>
        <v>Europe</v>
      </c>
      <c r="E1519" s="3" t="s">
        <v>108</v>
      </c>
      <c r="F1519" s="3" t="str">
        <f>VLOOKUP(E1519,Countries!$B$3:$C$140,2,FALSE)</f>
        <v>North America</v>
      </c>
      <c r="G1519" s="4">
        <v>2</v>
      </c>
      <c r="H1519" s="4">
        <v>105000</v>
      </c>
    </row>
    <row r="1520" spans="2:8" x14ac:dyDescent="0.2">
      <c r="B1520" s="3" t="s">
        <v>140</v>
      </c>
      <c r="C1520" s="3" t="s">
        <v>31</v>
      </c>
      <c r="D1520" s="3" t="str">
        <f>VLOOKUP(C1520,Countries!$B$3:$C$140,2,FALSE)</f>
        <v>Europe</v>
      </c>
      <c r="E1520" s="3" t="s">
        <v>15</v>
      </c>
      <c r="F1520" s="3" t="str">
        <f>VLOOKUP(E1520,Countries!$B$3:$C$140,2,FALSE)</f>
        <v>Europe</v>
      </c>
      <c r="G1520" s="4">
        <v>4</v>
      </c>
      <c r="H1520" s="4">
        <v>0</v>
      </c>
    </row>
    <row r="1521" spans="2:8" x14ac:dyDescent="0.2">
      <c r="B1521" s="3" t="s">
        <v>140</v>
      </c>
      <c r="C1521" s="3" t="s">
        <v>31</v>
      </c>
      <c r="D1521" s="3" t="str">
        <f>VLOOKUP(C1521,Countries!$B$3:$C$140,2,FALSE)</f>
        <v>Europe</v>
      </c>
      <c r="E1521" s="3" t="s">
        <v>16</v>
      </c>
      <c r="F1521" s="3" t="str">
        <f>VLOOKUP(E1521,Countries!$B$3:$C$140,2,FALSE)</f>
        <v>Asia</v>
      </c>
      <c r="G1521" s="4">
        <v>2</v>
      </c>
      <c r="H1521" s="4">
        <v>0</v>
      </c>
    </row>
    <row r="1522" spans="2:8" x14ac:dyDescent="0.2">
      <c r="B1522" s="3" t="s">
        <v>140</v>
      </c>
      <c r="C1522" s="3" t="s">
        <v>31</v>
      </c>
      <c r="D1522" s="3" t="str">
        <f>VLOOKUP(C1522,Countries!$B$3:$C$140,2,FALSE)</f>
        <v>Europe</v>
      </c>
      <c r="E1522" s="3" t="s">
        <v>75</v>
      </c>
      <c r="F1522" s="3" t="str">
        <f>VLOOKUP(E1522,Countries!$B$3:$C$140,2,FALSE)</f>
        <v>Europe</v>
      </c>
      <c r="G1522" s="4">
        <v>18</v>
      </c>
      <c r="H1522" s="4">
        <v>2705716.5710565001</v>
      </c>
    </row>
    <row r="1523" spans="2:8" x14ac:dyDescent="0.2">
      <c r="B1523" s="3" t="s">
        <v>140</v>
      </c>
      <c r="C1523" s="3" t="s">
        <v>31</v>
      </c>
      <c r="D1523" s="3" t="str">
        <f>VLOOKUP(C1523,Countries!$B$3:$C$140,2,FALSE)</f>
        <v>Europe</v>
      </c>
      <c r="E1523" s="3" t="s">
        <v>17</v>
      </c>
      <c r="F1523" s="3" t="str">
        <f>VLOOKUP(E1523,Countries!$B$3:$C$140,2,FALSE)</f>
        <v>Europe</v>
      </c>
      <c r="G1523" s="4">
        <v>10</v>
      </c>
      <c r="H1523" s="4">
        <v>0</v>
      </c>
    </row>
    <row r="1524" spans="2:8" x14ac:dyDescent="0.2">
      <c r="B1524" s="3" t="s">
        <v>140</v>
      </c>
      <c r="C1524" s="3" t="s">
        <v>31</v>
      </c>
      <c r="D1524" s="3" t="str">
        <f>VLOOKUP(C1524,Countries!$B$3:$C$140,2,FALSE)</f>
        <v>Europe</v>
      </c>
      <c r="E1524" s="3" t="s">
        <v>102</v>
      </c>
      <c r="F1524" s="3" t="str">
        <f>VLOOKUP(E1524,Countries!$B$3:$C$140,2,FALSE)</f>
        <v>North America</v>
      </c>
      <c r="G1524" s="4">
        <v>4</v>
      </c>
      <c r="H1524" s="4">
        <v>0</v>
      </c>
    </row>
    <row r="1525" spans="2:8" x14ac:dyDescent="0.2">
      <c r="B1525" s="3" t="s">
        <v>140</v>
      </c>
      <c r="C1525" s="3" t="s">
        <v>31</v>
      </c>
      <c r="D1525" s="3" t="str">
        <f>VLOOKUP(C1525,Countries!$B$3:$C$140,2,FALSE)</f>
        <v>Europe</v>
      </c>
      <c r="E1525" s="3" t="s">
        <v>93</v>
      </c>
      <c r="F1525" s="3" t="str">
        <f>VLOOKUP(E1525,Countries!$B$3:$C$140,2,FALSE)</f>
        <v>Asia</v>
      </c>
      <c r="G1525" s="4">
        <v>2</v>
      </c>
      <c r="H1525" s="4">
        <v>0</v>
      </c>
    </row>
    <row r="1526" spans="2:8" x14ac:dyDescent="0.2">
      <c r="B1526" s="3" t="s">
        <v>140</v>
      </c>
      <c r="C1526" s="3" t="s">
        <v>31</v>
      </c>
      <c r="D1526" s="3" t="str">
        <f>VLOOKUP(C1526,Countries!$B$3:$C$140,2,FALSE)</f>
        <v>Europe</v>
      </c>
      <c r="E1526" s="3" t="s">
        <v>20</v>
      </c>
      <c r="F1526" s="3" t="str">
        <f>VLOOKUP(E1526,Countries!$B$3:$C$140,2,FALSE)</f>
        <v>Europe</v>
      </c>
      <c r="G1526" s="4">
        <v>2</v>
      </c>
      <c r="H1526" s="4">
        <v>0</v>
      </c>
    </row>
    <row r="1527" spans="2:8" x14ac:dyDescent="0.2">
      <c r="B1527" s="3" t="s">
        <v>140</v>
      </c>
      <c r="C1527" s="3" t="s">
        <v>31</v>
      </c>
      <c r="D1527" s="3" t="str">
        <f>VLOOKUP(C1527,Countries!$B$3:$C$140,2,FALSE)</f>
        <v>Europe</v>
      </c>
      <c r="E1527" s="3" t="s">
        <v>119</v>
      </c>
      <c r="F1527" s="3" t="str">
        <f>VLOOKUP(E1527,Countries!$B$3:$C$140,2,FALSE)</f>
        <v>Africa</v>
      </c>
      <c r="G1527" s="4">
        <v>6</v>
      </c>
      <c r="H1527" s="4">
        <v>0</v>
      </c>
    </row>
    <row r="1528" spans="2:8" x14ac:dyDescent="0.2">
      <c r="B1528" s="3" t="s">
        <v>140</v>
      </c>
      <c r="C1528" s="3" t="s">
        <v>31</v>
      </c>
      <c r="D1528" s="3" t="str">
        <f>VLOOKUP(C1528,Countries!$B$3:$C$140,2,FALSE)</f>
        <v>Europe</v>
      </c>
      <c r="E1528" s="3" t="s">
        <v>43</v>
      </c>
      <c r="F1528" s="3" t="str">
        <f>VLOOKUP(E1528,Countries!$B$3:$C$140,2,FALSE)</f>
        <v>Europe</v>
      </c>
      <c r="G1528" s="4">
        <v>10</v>
      </c>
      <c r="H1528" s="4">
        <v>0</v>
      </c>
    </row>
    <row r="1529" spans="2:8" x14ac:dyDescent="0.2">
      <c r="B1529" s="3" t="s">
        <v>140</v>
      </c>
      <c r="C1529" s="3" t="s">
        <v>31</v>
      </c>
      <c r="D1529" s="3" t="str">
        <f>VLOOKUP(C1529,Countries!$B$3:$C$140,2,FALSE)</f>
        <v>Europe</v>
      </c>
      <c r="E1529" s="3" t="s">
        <v>21</v>
      </c>
      <c r="F1529" s="3" t="str">
        <f>VLOOKUP(E1529,Countries!$B$3:$C$140,2,FALSE)</f>
        <v>Europe</v>
      </c>
      <c r="G1529" s="4">
        <v>2</v>
      </c>
      <c r="H1529" s="4">
        <v>0</v>
      </c>
    </row>
    <row r="1530" spans="2:8" x14ac:dyDescent="0.2">
      <c r="B1530" s="3" t="s">
        <v>140</v>
      </c>
      <c r="C1530" s="3" t="s">
        <v>31</v>
      </c>
      <c r="D1530" s="3" t="str">
        <f>VLOOKUP(C1530,Countries!$B$3:$C$140,2,FALSE)</f>
        <v>Europe</v>
      </c>
      <c r="E1530" s="3" t="s">
        <v>23</v>
      </c>
      <c r="F1530" s="3" t="str">
        <f>VLOOKUP(E1530,Countries!$B$3:$C$140,2,FALSE)</f>
        <v>Europe</v>
      </c>
      <c r="G1530" s="4">
        <v>2</v>
      </c>
      <c r="H1530" s="4">
        <v>0</v>
      </c>
    </row>
    <row r="1531" spans="2:8" x14ac:dyDescent="0.2">
      <c r="B1531" s="3" t="s">
        <v>140</v>
      </c>
      <c r="C1531" s="3" t="s">
        <v>31</v>
      </c>
      <c r="D1531" s="3" t="str">
        <f>VLOOKUP(C1531,Countries!$B$3:$C$140,2,FALSE)</f>
        <v>Europe</v>
      </c>
      <c r="E1531" s="3" t="s">
        <v>53</v>
      </c>
      <c r="F1531" s="3" t="str">
        <f>VLOOKUP(E1531,Countries!$B$3:$C$140,2,FALSE)</f>
        <v>Europe</v>
      </c>
      <c r="G1531" s="4">
        <v>14</v>
      </c>
      <c r="H1531" s="4">
        <v>2058273.7820009999</v>
      </c>
    </row>
    <row r="1532" spans="2:8" x14ac:dyDescent="0.2">
      <c r="B1532" s="3" t="s">
        <v>140</v>
      </c>
      <c r="C1532" s="3" t="s">
        <v>31</v>
      </c>
      <c r="D1532" s="3" t="str">
        <f>VLOOKUP(C1532,Countries!$B$3:$C$140,2,FALSE)</f>
        <v>Europe</v>
      </c>
      <c r="E1532" s="3" t="s">
        <v>24</v>
      </c>
      <c r="F1532" s="3" t="str">
        <f>VLOOKUP(E1532,Countries!$B$3:$C$140,2,FALSE)</f>
        <v>Africa</v>
      </c>
      <c r="G1532" s="4">
        <v>4</v>
      </c>
      <c r="H1532" s="4">
        <v>403.58309451000002</v>
      </c>
    </row>
    <row r="1533" spans="2:8" x14ac:dyDescent="0.2">
      <c r="B1533" s="3" t="s">
        <v>140</v>
      </c>
      <c r="C1533" s="3" t="s">
        <v>31</v>
      </c>
      <c r="D1533" s="3" t="str">
        <f>VLOOKUP(C1533,Countries!$B$3:$C$140,2,FALSE)</f>
        <v>Europe</v>
      </c>
      <c r="E1533" s="3" t="s">
        <v>44</v>
      </c>
      <c r="F1533" s="3" t="str">
        <f>VLOOKUP(E1533,Countries!$B$3:$C$140,2,FALSE)</f>
        <v>Europe</v>
      </c>
      <c r="G1533" s="4">
        <v>56</v>
      </c>
      <c r="H1533" s="4">
        <v>6205139.7572520003</v>
      </c>
    </row>
    <row r="1534" spans="2:8" x14ac:dyDescent="0.2">
      <c r="B1534" s="3" t="s">
        <v>140</v>
      </c>
      <c r="C1534" s="3" t="s">
        <v>31</v>
      </c>
      <c r="D1534" s="3" t="str">
        <f>VLOOKUP(C1534,Countries!$B$3:$C$140,2,FALSE)</f>
        <v>Europe</v>
      </c>
      <c r="E1534" s="3" t="s">
        <v>132</v>
      </c>
      <c r="F1534" s="3" t="str">
        <f>VLOOKUP(E1534,Countries!$B$3:$C$140,2,FALSE)</f>
        <v>North America</v>
      </c>
      <c r="G1534" s="4">
        <v>2</v>
      </c>
      <c r="H1534" s="4">
        <v>60000</v>
      </c>
    </row>
    <row r="1535" spans="2:8" x14ac:dyDescent="0.2">
      <c r="B1535" s="3" t="s">
        <v>140</v>
      </c>
      <c r="C1535" s="3" t="s">
        <v>31</v>
      </c>
      <c r="D1535" s="3" t="str">
        <f>VLOOKUP(C1535,Countries!$B$3:$C$140,2,FALSE)</f>
        <v>Europe</v>
      </c>
      <c r="E1535" s="3" t="s">
        <v>54</v>
      </c>
      <c r="F1535" s="3" t="str">
        <f>VLOOKUP(E1535,Countries!$B$3:$C$140,2,FALSE)</f>
        <v>Europe</v>
      </c>
      <c r="G1535" s="4">
        <v>2</v>
      </c>
      <c r="H1535" s="4">
        <v>0</v>
      </c>
    </row>
    <row r="1536" spans="2:8" x14ac:dyDescent="0.2">
      <c r="B1536" s="3" t="s">
        <v>140</v>
      </c>
      <c r="C1536" s="3" t="s">
        <v>31</v>
      </c>
      <c r="D1536" s="3" t="str">
        <f>VLOOKUP(C1536,Countries!$B$3:$C$140,2,FALSE)</f>
        <v>Europe</v>
      </c>
      <c r="E1536" s="3" t="s">
        <v>25</v>
      </c>
      <c r="F1536" s="3" t="str">
        <f>VLOOKUP(E1536,Countries!$B$3:$C$140,2,FALSE)</f>
        <v>Europe</v>
      </c>
      <c r="G1536" s="4">
        <v>4</v>
      </c>
      <c r="H1536" s="4">
        <v>0</v>
      </c>
    </row>
    <row r="1537" spans="2:8" x14ac:dyDescent="0.2">
      <c r="B1537" s="3" t="s">
        <v>140</v>
      </c>
      <c r="C1537" s="3" t="s">
        <v>31</v>
      </c>
      <c r="D1537" s="3" t="str">
        <f>VLOOKUP(C1537,Countries!$B$3:$C$140,2,FALSE)</f>
        <v>Europe</v>
      </c>
      <c r="E1537" s="3" t="s">
        <v>26</v>
      </c>
      <c r="F1537" s="3" t="str">
        <f>VLOOKUP(E1537,Countries!$B$3:$C$140,2,FALSE)</f>
        <v>Europe</v>
      </c>
      <c r="G1537" s="4">
        <v>6</v>
      </c>
      <c r="H1537" s="4">
        <v>280893.83377896005</v>
      </c>
    </row>
    <row r="1538" spans="2:8" x14ac:dyDescent="0.2">
      <c r="B1538" s="3" t="s">
        <v>140</v>
      </c>
      <c r="C1538" s="3" t="s">
        <v>31</v>
      </c>
      <c r="D1538" s="3" t="str">
        <f>VLOOKUP(C1538,Countries!$B$3:$C$140,2,FALSE)</f>
        <v>Europe</v>
      </c>
      <c r="E1538" s="3" t="s">
        <v>46</v>
      </c>
      <c r="F1538" s="3" t="str">
        <f>VLOOKUP(E1538,Countries!$B$3:$C$140,2,FALSE)</f>
        <v>Europe/Asia</v>
      </c>
      <c r="G1538" s="4">
        <v>2</v>
      </c>
      <c r="H1538" s="4">
        <v>0</v>
      </c>
    </row>
    <row r="1539" spans="2:8" x14ac:dyDescent="0.2">
      <c r="B1539" s="3" t="s">
        <v>140</v>
      </c>
      <c r="C1539" s="3" t="s">
        <v>31</v>
      </c>
      <c r="D1539" s="3" t="str">
        <f>VLOOKUP(C1539,Countries!$B$3:$C$140,2,FALSE)</f>
        <v>Europe</v>
      </c>
      <c r="E1539" s="3" t="s">
        <v>55</v>
      </c>
      <c r="F1539" s="3" t="str">
        <f>VLOOKUP(E1539,Countries!$B$3:$C$140,2,FALSE)</f>
        <v>Europe</v>
      </c>
      <c r="G1539" s="4">
        <v>8</v>
      </c>
      <c r="H1539" s="4">
        <v>42376.224923550006</v>
      </c>
    </row>
    <row r="1540" spans="2:8" x14ac:dyDescent="0.2">
      <c r="B1540" s="3" t="s">
        <v>140</v>
      </c>
      <c r="C1540" s="3" t="s">
        <v>31</v>
      </c>
      <c r="D1540" s="3" t="str">
        <f>VLOOKUP(C1540,Countries!$B$3:$C$140,2,FALSE)</f>
        <v>Europe</v>
      </c>
      <c r="E1540" s="3" t="s">
        <v>47</v>
      </c>
      <c r="F1540" s="3" t="str">
        <f>VLOOKUP(E1540,Countries!$B$3:$C$140,2,FALSE)</f>
        <v>Africa</v>
      </c>
      <c r="G1540" s="4">
        <v>2</v>
      </c>
      <c r="H1540" s="4">
        <v>15000</v>
      </c>
    </row>
    <row r="1541" spans="2:8" x14ac:dyDescent="0.2">
      <c r="B1541" s="3" t="s">
        <v>140</v>
      </c>
      <c r="C1541" s="3" t="s">
        <v>31</v>
      </c>
      <c r="D1541" s="3" t="str">
        <f>VLOOKUP(C1541,Countries!$B$3:$C$140,2,FALSE)</f>
        <v>Europe</v>
      </c>
      <c r="E1541" s="3" t="s">
        <v>96</v>
      </c>
      <c r="F1541" s="3" t="str">
        <f>VLOOKUP(E1541,Countries!$B$3:$C$140,2,FALSE)</f>
        <v>Africa</v>
      </c>
      <c r="G1541" s="4">
        <v>20</v>
      </c>
      <c r="H1541" s="4">
        <v>30268.732088249999</v>
      </c>
    </row>
    <row r="1542" spans="2:8" x14ac:dyDescent="0.2">
      <c r="B1542" s="3" t="s">
        <v>140</v>
      </c>
      <c r="C1542" s="3" t="s">
        <v>31</v>
      </c>
      <c r="D1542" s="3" t="str">
        <f>VLOOKUP(C1542,Countries!$B$3:$C$140,2,FALSE)</f>
        <v>Europe</v>
      </c>
      <c r="E1542" s="3" t="s">
        <v>28</v>
      </c>
      <c r="F1542" s="3" t="str">
        <f>VLOOKUP(E1542,Countries!$B$3:$C$140,2,FALSE)</f>
        <v>Europe</v>
      </c>
      <c r="G1542" s="4">
        <v>14</v>
      </c>
      <c r="H1542" s="4">
        <v>0</v>
      </c>
    </row>
    <row r="1543" spans="2:8" x14ac:dyDescent="0.2">
      <c r="B1543" s="3" t="s">
        <v>140</v>
      </c>
      <c r="C1543" s="3" t="s">
        <v>31</v>
      </c>
      <c r="D1543" s="3" t="str">
        <f>VLOOKUP(C1543,Countries!$B$3:$C$140,2,FALSE)</f>
        <v>Europe</v>
      </c>
      <c r="E1543" s="3" t="s">
        <v>29</v>
      </c>
      <c r="F1543" s="3" t="str">
        <f>VLOOKUP(E1543,Countries!$B$3:$C$140,2,FALSE)</f>
        <v>Europe</v>
      </c>
      <c r="G1543" s="4">
        <v>2</v>
      </c>
      <c r="H1543" s="4">
        <v>0</v>
      </c>
    </row>
    <row r="1544" spans="2:8" x14ac:dyDescent="0.2">
      <c r="B1544" s="3" t="s">
        <v>140</v>
      </c>
      <c r="C1544" s="3" t="s">
        <v>31</v>
      </c>
      <c r="D1544" s="3" t="str">
        <f>VLOOKUP(C1544,Countries!$B$3:$C$140,2,FALSE)</f>
        <v>Europe</v>
      </c>
      <c r="E1544" s="3" t="s">
        <v>30</v>
      </c>
      <c r="F1544" s="3" t="str">
        <f>VLOOKUP(E1544,Countries!$B$3:$C$140,2,FALSE)</f>
        <v>Europe</v>
      </c>
      <c r="G1544" s="4">
        <v>2</v>
      </c>
      <c r="H1544" s="4">
        <v>0</v>
      </c>
    </row>
    <row r="1545" spans="2:8" x14ac:dyDescent="0.2">
      <c r="B1545" s="3" t="s">
        <v>140</v>
      </c>
      <c r="C1545" s="3" t="s">
        <v>31</v>
      </c>
      <c r="D1545" s="3" t="str">
        <f>VLOOKUP(C1545,Countries!$B$3:$C$140,2,FALSE)</f>
        <v>Europe</v>
      </c>
      <c r="E1545" s="3" t="s">
        <v>112</v>
      </c>
      <c r="F1545" s="3" t="str">
        <f>VLOOKUP(E1545,Countries!$B$3:$C$140,2,FALSE)</f>
        <v>Asia</v>
      </c>
      <c r="G1545" s="4">
        <v>2</v>
      </c>
      <c r="H1545" s="4">
        <v>0</v>
      </c>
    </row>
    <row r="1546" spans="2:8" x14ac:dyDescent="0.2">
      <c r="B1546" s="3" t="s">
        <v>140</v>
      </c>
      <c r="C1546" s="3" t="s">
        <v>31</v>
      </c>
      <c r="D1546" s="3" t="str">
        <f>VLOOKUP(C1546,Countries!$B$3:$C$140,2,FALSE)</f>
        <v>Europe</v>
      </c>
      <c r="E1546" s="3" t="s">
        <v>133</v>
      </c>
      <c r="F1546" s="3" t="str">
        <f>VLOOKUP(E1546,Countries!$B$3:$C$140,2,FALSE)</f>
        <v>Africa</v>
      </c>
      <c r="G1546" s="4">
        <v>2</v>
      </c>
      <c r="H1546" s="4">
        <v>0</v>
      </c>
    </row>
    <row r="1547" spans="2:8" x14ac:dyDescent="0.2">
      <c r="B1547" s="3" t="s">
        <v>140</v>
      </c>
      <c r="C1547" s="3" t="s">
        <v>31</v>
      </c>
      <c r="D1547" s="3" t="str">
        <f>VLOOKUP(C1547,Countries!$B$3:$C$140,2,FALSE)</f>
        <v>Europe</v>
      </c>
      <c r="E1547" s="3" t="s">
        <v>104</v>
      </c>
      <c r="F1547" s="3" t="str">
        <f>VLOOKUP(E1547,Countries!$B$3:$C$140,2,FALSE)</f>
        <v>Africa</v>
      </c>
      <c r="G1547" s="4">
        <v>2</v>
      </c>
      <c r="H1547" s="4">
        <v>0</v>
      </c>
    </row>
    <row r="1548" spans="2:8" x14ac:dyDescent="0.2">
      <c r="B1548" s="3" t="s">
        <v>140</v>
      </c>
      <c r="C1548" s="3" t="s">
        <v>31</v>
      </c>
      <c r="D1548" s="3" t="str">
        <f>VLOOKUP(C1548,Countries!$B$3:$C$140,2,FALSE)</f>
        <v>Europe</v>
      </c>
      <c r="E1548" s="3" t="s">
        <v>57</v>
      </c>
      <c r="F1548" s="3" t="str">
        <f>VLOOKUP(E1548,Countries!$B$3:$C$140,2,FALSE)</f>
        <v>Europe/Asia</v>
      </c>
      <c r="G1548" s="4">
        <v>4</v>
      </c>
      <c r="H1548" s="4">
        <v>0</v>
      </c>
    </row>
    <row r="1549" spans="2:8" x14ac:dyDescent="0.2">
      <c r="B1549" s="3" t="s">
        <v>140</v>
      </c>
      <c r="C1549" s="3" t="s">
        <v>31</v>
      </c>
      <c r="D1549" s="3" t="str">
        <f>VLOOKUP(C1549,Countries!$B$3:$C$140,2,FALSE)</f>
        <v>Europe</v>
      </c>
      <c r="E1549" s="3" t="s">
        <v>33</v>
      </c>
      <c r="F1549" s="3" t="str">
        <f>VLOOKUP(E1549,Countries!$B$3:$C$140,2,FALSE)</f>
        <v>North America</v>
      </c>
      <c r="G1549" s="4">
        <v>26</v>
      </c>
      <c r="H1549" s="4">
        <v>225000</v>
      </c>
    </row>
    <row r="1550" spans="2:8" x14ac:dyDescent="0.2">
      <c r="B1550" s="3" t="s">
        <v>140</v>
      </c>
      <c r="C1550" s="3" t="s">
        <v>31</v>
      </c>
      <c r="D1550" s="3" t="str">
        <f>VLOOKUP(C1550,Countries!$B$3:$C$140,2,FALSE)</f>
        <v>Europe</v>
      </c>
      <c r="E1550" s="3" t="s">
        <v>85</v>
      </c>
      <c r="F1550" s="3" t="str">
        <f>VLOOKUP(E1550,Countries!$B$3:$C$140,2,FALSE)</f>
        <v>Asia</v>
      </c>
      <c r="G1550" s="4">
        <v>2</v>
      </c>
      <c r="H1550" s="4">
        <v>0</v>
      </c>
    </row>
    <row r="1551" spans="2:8" x14ac:dyDescent="0.2">
      <c r="B1551" s="3" t="s">
        <v>140</v>
      </c>
      <c r="C1551" s="3" t="s">
        <v>31</v>
      </c>
      <c r="D1551" s="3" t="str">
        <f>VLOOKUP(C1551,Countries!$B$3:$C$140,2,FALSE)</f>
        <v>Europe</v>
      </c>
      <c r="E1551" s="3" t="s">
        <v>134</v>
      </c>
      <c r="F1551" s="3" t="str">
        <f>VLOOKUP(E1551,Countries!$B$3:$C$140,2,FALSE)</f>
        <v>Africa</v>
      </c>
      <c r="G1551" s="4">
        <v>2</v>
      </c>
      <c r="H1551" s="4">
        <v>15000</v>
      </c>
    </row>
    <row r="1552" spans="2:8" x14ac:dyDescent="0.2">
      <c r="B1552" s="3" t="s">
        <v>140</v>
      </c>
      <c r="C1552" s="3" t="s">
        <v>57</v>
      </c>
      <c r="D1552" s="3" t="str">
        <f>VLOOKUP(C1552,Countries!$B$3:$C$140,2,FALSE)</f>
        <v>Europe/Asia</v>
      </c>
      <c r="E1552" s="3" t="s">
        <v>2</v>
      </c>
      <c r="F1552" s="3" t="str">
        <f>VLOOKUP(E1552,Countries!$B$3:$C$140,2,FALSE)</f>
        <v>Europe</v>
      </c>
      <c r="G1552" s="4">
        <v>2</v>
      </c>
      <c r="H1552" s="4">
        <v>0</v>
      </c>
    </row>
    <row r="1553" spans="2:8" x14ac:dyDescent="0.2">
      <c r="B1553" s="3" t="s">
        <v>140</v>
      </c>
      <c r="C1553" s="3" t="s">
        <v>57</v>
      </c>
      <c r="D1553" s="3" t="str">
        <f>VLOOKUP(C1553,Countries!$B$3:$C$140,2,FALSE)</f>
        <v>Europe/Asia</v>
      </c>
      <c r="E1553" s="3" t="s">
        <v>69</v>
      </c>
      <c r="F1553" s="3" t="str">
        <f>VLOOKUP(E1553,Countries!$B$3:$C$140,2,FALSE)</f>
        <v>South America</v>
      </c>
      <c r="G1553" s="4">
        <v>4</v>
      </c>
      <c r="H1553" s="4">
        <v>0</v>
      </c>
    </row>
    <row r="1554" spans="2:8" x14ac:dyDescent="0.2">
      <c r="B1554" s="3" t="s">
        <v>140</v>
      </c>
      <c r="C1554" s="3" t="s">
        <v>57</v>
      </c>
      <c r="D1554" s="3" t="str">
        <f>VLOOKUP(C1554,Countries!$B$3:$C$140,2,FALSE)</f>
        <v>Europe/Asia</v>
      </c>
      <c r="E1554" s="3" t="s">
        <v>3</v>
      </c>
      <c r="F1554" s="3" t="str">
        <f>VLOOKUP(E1554,Countries!$B$3:$C$140,2,FALSE)</f>
        <v>Europe</v>
      </c>
      <c r="G1554" s="4">
        <v>16</v>
      </c>
      <c r="H1554" s="4">
        <v>10896743.55177</v>
      </c>
    </row>
    <row r="1555" spans="2:8" x14ac:dyDescent="0.2">
      <c r="B1555" s="3" t="s">
        <v>140</v>
      </c>
      <c r="C1555" s="3" t="s">
        <v>57</v>
      </c>
      <c r="D1555" s="3" t="str">
        <f>VLOOKUP(C1555,Countries!$B$3:$C$140,2,FALSE)</f>
        <v>Europe/Asia</v>
      </c>
      <c r="E1555" s="3" t="s">
        <v>4</v>
      </c>
      <c r="F1555" s="3" t="str">
        <f>VLOOKUP(E1555,Countries!$B$3:$C$140,2,FALSE)</f>
        <v>Asia</v>
      </c>
      <c r="G1555" s="4">
        <v>4</v>
      </c>
      <c r="H1555" s="4">
        <v>0</v>
      </c>
    </row>
    <row r="1556" spans="2:8" x14ac:dyDescent="0.2">
      <c r="B1556" s="3" t="s">
        <v>140</v>
      </c>
      <c r="C1556" s="3" t="s">
        <v>57</v>
      </c>
      <c r="D1556" s="3" t="str">
        <f>VLOOKUP(C1556,Countries!$B$3:$C$140,2,FALSE)</f>
        <v>Europe/Asia</v>
      </c>
      <c r="E1556" s="3" t="s">
        <v>35</v>
      </c>
      <c r="F1556" s="3" t="str">
        <f>VLOOKUP(E1556,Countries!$B$3:$C$140,2,FALSE)</f>
        <v>Europe</v>
      </c>
      <c r="G1556" s="4">
        <v>10</v>
      </c>
      <c r="H1556" s="4">
        <v>605374.64176500007</v>
      </c>
    </row>
    <row r="1557" spans="2:8" x14ac:dyDescent="0.2">
      <c r="B1557" s="3" t="s">
        <v>140</v>
      </c>
      <c r="C1557" s="3" t="s">
        <v>57</v>
      </c>
      <c r="D1557" s="3" t="str">
        <f>VLOOKUP(C1557,Countries!$B$3:$C$140,2,FALSE)</f>
        <v>Europe/Asia</v>
      </c>
      <c r="E1557" s="3" t="s">
        <v>6</v>
      </c>
      <c r="F1557" s="3" t="str">
        <f>VLOOKUP(E1557,Countries!$B$3:$C$140,2,FALSE)</f>
        <v>Europe</v>
      </c>
      <c r="G1557" s="4">
        <v>4</v>
      </c>
      <c r="H1557" s="4">
        <v>3329560.5297075002</v>
      </c>
    </row>
    <row r="1558" spans="2:8" x14ac:dyDescent="0.2">
      <c r="B1558" s="3" t="s">
        <v>140</v>
      </c>
      <c r="C1558" s="3" t="s">
        <v>57</v>
      </c>
      <c r="D1558" s="3" t="str">
        <f>VLOOKUP(C1558,Countries!$B$3:$C$140,2,FALSE)</f>
        <v>Europe/Asia</v>
      </c>
      <c r="E1558" s="3" t="s">
        <v>7</v>
      </c>
      <c r="F1558" s="3" t="str">
        <f>VLOOKUP(E1558,Countries!$B$3:$C$140,2,FALSE)</f>
        <v>South America</v>
      </c>
      <c r="G1558" s="4">
        <v>6</v>
      </c>
      <c r="H1558" s="4">
        <v>16546906.874910001</v>
      </c>
    </row>
    <row r="1559" spans="2:8" x14ac:dyDescent="0.2">
      <c r="B1559" s="3" t="s">
        <v>140</v>
      </c>
      <c r="C1559" s="3" t="s">
        <v>57</v>
      </c>
      <c r="D1559" s="3" t="str">
        <f>VLOOKUP(C1559,Countries!$B$3:$C$140,2,FALSE)</f>
        <v>Europe/Asia</v>
      </c>
      <c r="E1559" s="3" t="s">
        <v>36</v>
      </c>
      <c r="F1559" s="3" t="str">
        <f>VLOOKUP(E1559,Countries!$B$3:$C$140,2,FALSE)</f>
        <v>Europe</v>
      </c>
      <c r="G1559" s="4">
        <v>14</v>
      </c>
      <c r="H1559" s="4">
        <v>14730782.949615</v>
      </c>
    </row>
    <row r="1560" spans="2:8" x14ac:dyDescent="0.2">
      <c r="B1560" s="3" t="s">
        <v>140</v>
      </c>
      <c r="C1560" s="3" t="s">
        <v>57</v>
      </c>
      <c r="D1560" s="3" t="str">
        <f>VLOOKUP(C1560,Countries!$B$3:$C$140,2,FALSE)</f>
        <v>Europe/Asia</v>
      </c>
      <c r="E1560" s="3" t="s">
        <v>88</v>
      </c>
      <c r="F1560" s="3" t="str">
        <f>VLOOKUP(E1560,Countries!$B$3:$C$140,2,FALSE)</f>
        <v>South America</v>
      </c>
      <c r="G1560" s="4">
        <v>2</v>
      </c>
      <c r="H1560" s="4">
        <v>0</v>
      </c>
    </row>
    <row r="1561" spans="2:8" x14ac:dyDescent="0.2">
      <c r="B1561" s="3" t="s">
        <v>140</v>
      </c>
      <c r="C1561" s="3" t="s">
        <v>57</v>
      </c>
      <c r="D1561" s="3" t="str">
        <f>VLOOKUP(C1561,Countries!$B$3:$C$140,2,FALSE)</f>
        <v>Europe/Asia</v>
      </c>
      <c r="E1561" s="3" t="s">
        <v>37</v>
      </c>
      <c r="F1561" s="3" t="str">
        <f>VLOOKUP(E1561,Countries!$B$3:$C$140,2,FALSE)</f>
        <v>Africa</v>
      </c>
      <c r="G1561" s="4">
        <v>2</v>
      </c>
      <c r="H1561" s="4">
        <v>0</v>
      </c>
    </row>
    <row r="1562" spans="2:8" x14ac:dyDescent="0.2">
      <c r="B1562" s="3" t="s">
        <v>140</v>
      </c>
      <c r="C1562" s="3" t="s">
        <v>57</v>
      </c>
      <c r="D1562" s="3" t="str">
        <f>VLOOKUP(C1562,Countries!$B$3:$C$140,2,FALSE)</f>
        <v>Europe/Asia</v>
      </c>
      <c r="E1562" s="3" t="s">
        <v>9</v>
      </c>
      <c r="F1562" s="3" t="str">
        <f>VLOOKUP(E1562,Countries!$B$3:$C$140,2,FALSE)</f>
        <v>Europe</v>
      </c>
      <c r="G1562" s="4">
        <v>4</v>
      </c>
      <c r="H1562" s="4">
        <v>0</v>
      </c>
    </row>
    <row r="1563" spans="2:8" x14ac:dyDescent="0.2">
      <c r="B1563" s="3" t="s">
        <v>140</v>
      </c>
      <c r="C1563" s="3" t="s">
        <v>57</v>
      </c>
      <c r="D1563" s="3" t="str">
        <f>VLOOKUP(C1563,Countries!$B$3:$C$140,2,FALSE)</f>
        <v>Europe/Asia</v>
      </c>
      <c r="E1563" s="3" t="s">
        <v>62</v>
      </c>
      <c r="F1563" s="3" t="str">
        <f>VLOOKUP(E1563,Countries!$B$3:$C$140,2,FALSE)</f>
        <v>Asia</v>
      </c>
      <c r="G1563" s="4">
        <v>4</v>
      </c>
      <c r="H1563" s="4">
        <v>1412540.830785</v>
      </c>
    </row>
    <row r="1564" spans="2:8" x14ac:dyDescent="0.2">
      <c r="B1564" s="3" t="s">
        <v>140</v>
      </c>
      <c r="C1564" s="3" t="s">
        <v>57</v>
      </c>
      <c r="D1564" s="3" t="str">
        <f>VLOOKUP(C1564,Countries!$B$3:$C$140,2,FALSE)</f>
        <v>Europe/Asia</v>
      </c>
      <c r="E1564" s="3" t="s">
        <v>49</v>
      </c>
      <c r="F1564" s="3" t="str">
        <f>VLOOKUP(E1564,Countries!$B$3:$C$140,2,FALSE)</f>
        <v>Europe</v>
      </c>
      <c r="G1564" s="4">
        <v>6</v>
      </c>
      <c r="H1564" s="4">
        <v>6235898.8869000003</v>
      </c>
    </row>
    <row r="1565" spans="2:8" x14ac:dyDescent="0.2">
      <c r="B1565" s="3" t="s">
        <v>140</v>
      </c>
      <c r="C1565" s="3" t="s">
        <v>57</v>
      </c>
      <c r="D1565" s="3" t="str">
        <f>VLOOKUP(C1565,Countries!$B$3:$C$140,2,FALSE)</f>
        <v>Europe/Asia</v>
      </c>
      <c r="E1565" s="3" t="s">
        <v>10</v>
      </c>
      <c r="F1565" s="3" t="str">
        <f>VLOOKUP(E1565,Countries!$B$3:$C$140,2,FALSE)</f>
        <v>Europe</v>
      </c>
      <c r="G1565" s="4">
        <v>4</v>
      </c>
      <c r="H1565" s="4">
        <v>0</v>
      </c>
    </row>
    <row r="1566" spans="2:8" x14ac:dyDescent="0.2">
      <c r="B1566" s="3" t="s">
        <v>140</v>
      </c>
      <c r="C1566" s="3" t="s">
        <v>57</v>
      </c>
      <c r="D1566" s="3" t="str">
        <f>VLOOKUP(C1566,Countries!$B$3:$C$140,2,FALSE)</f>
        <v>Europe/Asia</v>
      </c>
      <c r="E1566" s="3" t="s">
        <v>50</v>
      </c>
      <c r="F1566" s="3" t="str">
        <f>VLOOKUP(E1566,Countries!$B$3:$C$140,2,FALSE)</f>
        <v>Europe</v>
      </c>
      <c r="G1566" s="4">
        <v>28</v>
      </c>
      <c r="H1566" s="4">
        <v>36726061.600409999</v>
      </c>
    </row>
    <row r="1567" spans="2:8" x14ac:dyDescent="0.2">
      <c r="B1567" s="3" t="s">
        <v>140</v>
      </c>
      <c r="C1567" s="3" t="s">
        <v>57</v>
      </c>
      <c r="D1567" s="3" t="str">
        <f>VLOOKUP(C1567,Countries!$B$3:$C$140,2,FALSE)</f>
        <v>Europe/Asia</v>
      </c>
      <c r="E1567" s="3" t="s">
        <v>11</v>
      </c>
      <c r="F1567" s="3" t="str">
        <f>VLOOKUP(E1567,Countries!$B$3:$C$140,2,FALSE)</f>
        <v>Europe</v>
      </c>
      <c r="G1567" s="4">
        <v>10</v>
      </c>
      <c r="H1567" s="4">
        <v>42571788.476339996</v>
      </c>
    </row>
    <row r="1568" spans="2:8" x14ac:dyDescent="0.2">
      <c r="B1568" s="3" t="s">
        <v>140</v>
      </c>
      <c r="C1568" s="3" t="s">
        <v>57</v>
      </c>
      <c r="D1568" s="3" t="str">
        <f>VLOOKUP(C1568,Countries!$B$3:$C$140,2,FALSE)</f>
        <v>Europe/Asia</v>
      </c>
      <c r="E1568" s="3" t="s">
        <v>12</v>
      </c>
      <c r="F1568" s="3" t="str">
        <f>VLOOKUP(E1568,Countries!$B$3:$C$140,2,FALSE)</f>
        <v>Europe</v>
      </c>
      <c r="G1568" s="4">
        <v>22</v>
      </c>
      <c r="H1568" s="4">
        <v>66389419.046894997</v>
      </c>
    </row>
    <row r="1569" spans="2:8" x14ac:dyDescent="0.2">
      <c r="B1569" s="3" t="s">
        <v>140</v>
      </c>
      <c r="C1569" s="3" t="s">
        <v>57</v>
      </c>
      <c r="D1569" s="3" t="str">
        <f>VLOOKUP(C1569,Countries!$B$3:$C$140,2,FALSE)</f>
        <v>Europe/Asia</v>
      </c>
      <c r="E1569" s="3" t="s">
        <v>13</v>
      </c>
      <c r="F1569" s="3" t="str">
        <f>VLOOKUP(E1569,Countries!$B$3:$C$140,2,FALSE)</f>
        <v>Europe</v>
      </c>
      <c r="G1569" s="4">
        <v>108</v>
      </c>
      <c r="H1569" s="4">
        <v>24954047.212421432</v>
      </c>
    </row>
    <row r="1570" spans="2:8" x14ac:dyDescent="0.2">
      <c r="B1570" s="3" t="s">
        <v>140</v>
      </c>
      <c r="C1570" s="3" t="s">
        <v>57</v>
      </c>
      <c r="D1570" s="3" t="str">
        <f>VLOOKUP(C1570,Countries!$B$3:$C$140,2,FALSE)</f>
        <v>Europe/Asia</v>
      </c>
      <c r="E1570" s="3" t="s">
        <v>64</v>
      </c>
      <c r="F1570" s="3" t="str">
        <f>VLOOKUP(E1570,Countries!$B$3:$C$140,2,FALSE)</f>
        <v>Africa</v>
      </c>
      <c r="G1570" s="4">
        <v>10</v>
      </c>
      <c r="H1570" s="4">
        <v>1528241.1173729999</v>
      </c>
    </row>
    <row r="1571" spans="2:8" x14ac:dyDescent="0.2">
      <c r="B1571" s="3" t="s">
        <v>140</v>
      </c>
      <c r="C1571" s="3" t="s">
        <v>57</v>
      </c>
      <c r="D1571" s="3" t="str">
        <f>VLOOKUP(C1571,Countries!$B$3:$C$140,2,FALSE)</f>
        <v>Europe/Asia</v>
      </c>
      <c r="E1571" s="3" t="s">
        <v>14</v>
      </c>
      <c r="F1571" s="3" t="str">
        <f>VLOOKUP(E1571,Countries!$B$3:$C$140,2,FALSE)</f>
        <v>Europe</v>
      </c>
      <c r="G1571" s="4">
        <v>4</v>
      </c>
      <c r="H1571" s="4">
        <v>14125408.30785</v>
      </c>
    </row>
    <row r="1572" spans="2:8" x14ac:dyDescent="0.2">
      <c r="B1572" s="3" t="s">
        <v>140</v>
      </c>
      <c r="C1572" s="3" t="s">
        <v>57</v>
      </c>
      <c r="D1572" s="3" t="str">
        <f>VLOOKUP(C1572,Countries!$B$3:$C$140,2,FALSE)</f>
        <v>Europe/Asia</v>
      </c>
      <c r="E1572" s="3" t="s">
        <v>15</v>
      </c>
      <c r="F1572" s="3" t="str">
        <f>VLOOKUP(E1572,Countries!$B$3:$C$140,2,FALSE)</f>
        <v>Europe</v>
      </c>
      <c r="G1572" s="4">
        <v>4</v>
      </c>
      <c r="H1572" s="4">
        <v>2482036.0312365</v>
      </c>
    </row>
    <row r="1573" spans="2:8" x14ac:dyDescent="0.2">
      <c r="B1573" s="3" t="s">
        <v>140</v>
      </c>
      <c r="C1573" s="3" t="s">
        <v>57</v>
      </c>
      <c r="D1573" s="3" t="str">
        <f>VLOOKUP(C1573,Countries!$B$3:$C$140,2,FALSE)</f>
        <v>Europe/Asia</v>
      </c>
      <c r="E1573" s="3" t="s">
        <v>51</v>
      </c>
      <c r="F1573" s="3" t="str">
        <f>VLOOKUP(E1573,Countries!$B$3:$C$140,2,FALSE)</f>
        <v>Asia</v>
      </c>
      <c r="G1573" s="4">
        <v>2</v>
      </c>
      <c r="H1573" s="4">
        <v>0</v>
      </c>
    </row>
    <row r="1574" spans="2:8" x14ac:dyDescent="0.2">
      <c r="B1574" s="3" t="s">
        <v>140</v>
      </c>
      <c r="C1574" s="3" t="s">
        <v>57</v>
      </c>
      <c r="D1574" s="3" t="str">
        <f>VLOOKUP(C1574,Countries!$B$3:$C$140,2,FALSE)</f>
        <v>Europe/Asia</v>
      </c>
      <c r="E1574" s="3" t="s">
        <v>17</v>
      </c>
      <c r="F1574" s="3" t="str">
        <f>VLOOKUP(E1574,Countries!$B$3:$C$140,2,FALSE)</f>
        <v>Europe</v>
      </c>
      <c r="G1574" s="4">
        <v>8</v>
      </c>
      <c r="H1574" s="4">
        <v>8475244.9847100005</v>
      </c>
    </row>
    <row r="1575" spans="2:8" x14ac:dyDescent="0.2">
      <c r="B1575" s="3" t="s">
        <v>140</v>
      </c>
      <c r="C1575" s="3" t="s">
        <v>57</v>
      </c>
      <c r="D1575" s="3" t="str">
        <f>VLOOKUP(C1575,Countries!$B$3:$C$140,2,FALSE)</f>
        <v>Europe/Asia</v>
      </c>
      <c r="E1575" s="3" t="s">
        <v>121</v>
      </c>
      <c r="F1575" s="3" t="str">
        <f>VLOOKUP(E1575,Countries!$B$3:$C$140,2,FALSE)</f>
        <v>Asia</v>
      </c>
      <c r="G1575" s="4">
        <v>4</v>
      </c>
      <c r="H1575" s="4">
        <v>0</v>
      </c>
    </row>
    <row r="1576" spans="2:8" x14ac:dyDescent="0.2">
      <c r="B1576" s="3" t="s">
        <v>140</v>
      </c>
      <c r="C1576" s="3" t="s">
        <v>57</v>
      </c>
      <c r="D1576" s="3" t="str">
        <f>VLOOKUP(C1576,Countries!$B$3:$C$140,2,FALSE)</f>
        <v>Europe/Asia</v>
      </c>
      <c r="E1576" s="3" t="s">
        <v>21</v>
      </c>
      <c r="F1576" s="3" t="str">
        <f>VLOOKUP(E1576,Countries!$B$3:$C$140,2,FALSE)</f>
        <v>Europe</v>
      </c>
      <c r="G1576" s="4">
        <v>2</v>
      </c>
      <c r="H1576" s="4">
        <v>0</v>
      </c>
    </row>
    <row r="1577" spans="2:8" x14ac:dyDescent="0.2">
      <c r="B1577" s="3" t="s">
        <v>140</v>
      </c>
      <c r="C1577" s="3" t="s">
        <v>57</v>
      </c>
      <c r="D1577" s="3" t="str">
        <f>VLOOKUP(C1577,Countries!$B$3:$C$140,2,FALSE)</f>
        <v>Europe/Asia</v>
      </c>
      <c r="E1577" s="3" t="s">
        <v>53</v>
      </c>
      <c r="F1577" s="3" t="str">
        <f>VLOOKUP(E1577,Countries!$B$3:$C$140,2,FALSE)</f>
        <v>Europe</v>
      </c>
      <c r="G1577" s="4">
        <v>20</v>
      </c>
      <c r="H1577" s="4">
        <v>2915887.8578347499</v>
      </c>
    </row>
    <row r="1578" spans="2:8" x14ac:dyDescent="0.2">
      <c r="B1578" s="3" t="s">
        <v>140</v>
      </c>
      <c r="C1578" s="3" t="s">
        <v>57</v>
      </c>
      <c r="D1578" s="3" t="str">
        <f>VLOOKUP(C1578,Countries!$B$3:$C$140,2,FALSE)</f>
        <v>Europe/Asia</v>
      </c>
      <c r="E1578" s="3" t="s">
        <v>24</v>
      </c>
      <c r="F1578" s="3" t="str">
        <f>VLOOKUP(E1578,Countries!$B$3:$C$140,2,FALSE)</f>
        <v>Africa</v>
      </c>
      <c r="G1578" s="4">
        <v>4</v>
      </c>
      <c r="H1578" s="4">
        <v>2825081.66157</v>
      </c>
    </row>
    <row r="1579" spans="2:8" x14ac:dyDescent="0.2">
      <c r="B1579" s="3" t="s">
        <v>140</v>
      </c>
      <c r="C1579" s="3" t="s">
        <v>57</v>
      </c>
      <c r="D1579" s="3" t="str">
        <f>VLOOKUP(C1579,Countries!$B$3:$C$140,2,FALSE)</f>
        <v>Europe/Asia</v>
      </c>
      <c r="E1579" s="3" t="s">
        <v>44</v>
      </c>
      <c r="F1579" s="3" t="str">
        <f>VLOOKUP(E1579,Countries!$B$3:$C$140,2,FALSE)</f>
        <v>Europe</v>
      </c>
      <c r="G1579" s="4">
        <v>6</v>
      </c>
      <c r="H1579" s="4">
        <v>1452899.1402360001</v>
      </c>
    </row>
    <row r="1580" spans="2:8" x14ac:dyDescent="0.2">
      <c r="B1580" s="3" t="s">
        <v>140</v>
      </c>
      <c r="C1580" s="3" t="s">
        <v>57</v>
      </c>
      <c r="D1580" s="3" t="str">
        <f>VLOOKUP(C1580,Countries!$B$3:$C$140,2,FALSE)</f>
        <v>Europe/Asia</v>
      </c>
      <c r="E1580" s="3" t="s">
        <v>54</v>
      </c>
      <c r="F1580" s="3" t="str">
        <f>VLOOKUP(E1580,Countries!$B$3:$C$140,2,FALSE)</f>
        <v>Europe</v>
      </c>
      <c r="G1580" s="4">
        <v>4</v>
      </c>
      <c r="H1580" s="4">
        <v>21188112.461774997</v>
      </c>
    </row>
    <row r="1581" spans="2:8" x14ac:dyDescent="0.2">
      <c r="B1581" s="3" t="s">
        <v>140</v>
      </c>
      <c r="C1581" s="3" t="s">
        <v>57</v>
      </c>
      <c r="D1581" s="3" t="str">
        <f>VLOOKUP(C1581,Countries!$B$3:$C$140,2,FALSE)</f>
        <v>Europe/Asia</v>
      </c>
      <c r="E1581" s="3" t="s">
        <v>25</v>
      </c>
      <c r="F1581" s="3" t="str">
        <f>VLOOKUP(E1581,Countries!$B$3:$C$140,2,FALSE)</f>
        <v>Europe</v>
      </c>
      <c r="G1581" s="4">
        <v>14</v>
      </c>
      <c r="H1581" s="4">
        <v>3834039.397845</v>
      </c>
    </row>
    <row r="1582" spans="2:8" x14ac:dyDescent="0.2">
      <c r="B1582" s="3" t="s">
        <v>140</v>
      </c>
      <c r="C1582" s="3" t="s">
        <v>57</v>
      </c>
      <c r="D1582" s="3" t="str">
        <f>VLOOKUP(C1582,Countries!$B$3:$C$140,2,FALSE)</f>
        <v>Europe/Asia</v>
      </c>
      <c r="E1582" s="3" t="s">
        <v>26</v>
      </c>
      <c r="F1582" s="3" t="str">
        <f>VLOOKUP(E1582,Countries!$B$3:$C$140,2,FALSE)</f>
        <v>Europe</v>
      </c>
      <c r="G1582" s="4">
        <v>4</v>
      </c>
      <c r="H1582" s="4">
        <v>262329.01143149997</v>
      </c>
    </row>
    <row r="1583" spans="2:8" x14ac:dyDescent="0.2">
      <c r="B1583" s="3" t="s">
        <v>140</v>
      </c>
      <c r="C1583" s="3" t="s">
        <v>57</v>
      </c>
      <c r="D1583" s="3" t="str">
        <f>VLOOKUP(C1583,Countries!$B$3:$C$140,2,FALSE)</f>
        <v>Europe/Asia</v>
      </c>
      <c r="E1583" s="3" t="s">
        <v>82</v>
      </c>
      <c r="F1583" s="3" t="e">
        <f>VLOOKUP(E1583,Countries!$B$3:$C$140,2,FALSE)</f>
        <v>#N/A</v>
      </c>
      <c r="G1583" s="4">
        <v>2</v>
      </c>
      <c r="H1583" s="4">
        <v>1299301.2296099998</v>
      </c>
    </row>
    <row r="1584" spans="2:8" x14ac:dyDescent="0.2">
      <c r="B1584" s="3" t="s">
        <v>140</v>
      </c>
      <c r="C1584" s="3" t="s">
        <v>57</v>
      </c>
      <c r="D1584" s="3" t="str">
        <f>VLOOKUP(C1584,Countries!$B$3:$C$140,2,FALSE)</f>
        <v>Europe/Asia</v>
      </c>
      <c r="E1584" s="3" t="s">
        <v>46</v>
      </c>
      <c r="F1584" s="3" t="str">
        <f>VLOOKUP(E1584,Countries!$B$3:$C$140,2,FALSE)</f>
        <v>Europe/Asia</v>
      </c>
      <c r="G1584" s="4">
        <v>2</v>
      </c>
      <c r="H1584" s="4">
        <v>0</v>
      </c>
    </row>
    <row r="1585" spans="2:8" x14ac:dyDescent="0.2">
      <c r="B1585" s="3" t="s">
        <v>140</v>
      </c>
      <c r="C1585" s="3" t="s">
        <v>57</v>
      </c>
      <c r="D1585" s="3" t="str">
        <f>VLOOKUP(C1585,Countries!$B$3:$C$140,2,FALSE)</f>
        <v>Europe/Asia</v>
      </c>
      <c r="E1585" s="3" t="s">
        <v>55</v>
      </c>
      <c r="F1585" s="3" t="str">
        <f>VLOOKUP(E1585,Countries!$B$3:$C$140,2,FALSE)</f>
        <v>Europe</v>
      </c>
      <c r="G1585" s="4">
        <v>4</v>
      </c>
      <c r="H1585" s="4">
        <v>0</v>
      </c>
    </row>
    <row r="1586" spans="2:8" x14ac:dyDescent="0.2">
      <c r="B1586" s="3" t="s">
        <v>140</v>
      </c>
      <c r="C1586" s="3" t="s">
        <v>57</v>
      </c>
      <c r="D1586" s="3" t="str">
        <f>VLOOKUP(C1586,Countries!$B$3:$C$140,2,FALSE)</f>
        <v>Europe/Asia</v>
      </c>
      <c r="E1586" s="3" t="s">
        <v>47</v>
      </c>
      <c r="F1586" s="3" t="str">
        <f>VLOOKUP(E1586,Countries!$B$3:$C$140,2,FALSE)</f>
        <v>Africa</v>
      </c>
      <c r="G1586" s="4">
        <v>4</v>
      </c>
      <c r="H1586" s="4">
        <v>0</v>
      </c>
    </row>
    <row r="1587" spans="2:8" x14ac:dyDescent="0.2">
      <c r="B1587" s="3" t="s">
        <v>140</v>
      </c>
      <c r="C1587" s="3" t="s">
        <v>57</v>
      </c>
      <c r="D1587" s="3" t="str">
        <f>VLOOKUP(C1587,Countries!$B$3:$C$140,2,FALSE)</f>
        <v>Europe/Asia</v>
      </c>
      <c r="E1587" s="3" t="s">
        <v>28</v>
      </c>
      <c r="F1587" s="3" t="str">
        <f>VLOOKUP(E1587,Countries!$B$3:$C$140,2,FALSE)</f>
        <v>Europe</v>
      </c>
      <c r="G1587" s="4">
        <v>4</v>
      </c>
      <c r="H1587" s="4">
        <v>1614332.3780399999</v>
      </c>
    </row>
    <row r="1588" spans="2:8" x14ac:dyDescent="0.2">
      <c r="B1588" s="3" t="s">
        <v>140</v>
      </c>
      <c r="C1588" s="3" t="s">
        <v>57</v>
      </c>
      <c r="D1588" s="3" t="str">
        <f>VLOOKUP(C1588,Countries!$B$3:$C$140,2,FALSE)</f>
        <v>Europe/Asia</v>
      </c>
      <c r="E1588" s="3" t="s">
        <v>29</v>
      </c>
      <c r="F1588" s="3" t="str">
        <f>VLOOKUP(E1588,Countries!$B$3:$C$140,2,FALSE)</f>
        <v>Europe</v>
      </c>
      <c r="G1588" s="4">
        <v>10</v>
      </c>
      <c r="H1588" s="4">
        <v>19978097.38899</v>
      </c>
    </row>
    <row r="1589" spans="2:8" x14ac:dyDescent="0.2">
      <c r="B1589" s="3" t="s">
        <v>140</v>
      </c>
      <c r="C1589" s="3" t="s">
        <v>57</v>
      </c>
      <c r="D1589" s="3" t="str">
        <f>VLOOKUP(C1589,Countries!$B$3:$C$140,2,FALSE)</f>
        <v>Europe/Asia</v>
      </c>
      <c r="E1589" s="3" t="s">
        <v>56</v>
      </c>
      <c r="F1589" s="3" t="str">
        <f>VLOOKUP(E1589,Countries!$B$3:$C$140,2,FALSE)</f>
        <v>Europe</v>
      </c>
      <c r="G1589" s="4">
        <v>2</v>
      </c>
      <c r="H1589" s="4">
        <v>0</v>
      </c>
    </row>
    <row r="1590" spans="2:8" x14ac:dyDescent="0.2">
      <c r="B1590" s="3" t="s">
        <v>140</v>
      </c>
      <c r="C1590" s="3" t="s">
        <v>57</v>
      </c>
      <c r="D1590" s="3" t="str">
        <f>VLOOKUP(C1590,Countries!$B$3:$C$140,2,FALSE)</f>
        <v>Europe/Asia</v>
      </c>
      <c r="E1590" s="3" t="s">
        <v>31</v>
      </c>
      <c r="F1590" s="3" t="str">
        <f>VLOOKUP(E1590,Countries!$B$3:$C$140,2,FALSE)</f>
        <v>Europe</v>
      </c>
      <c r="G1590" s="4">
        <v>2</v>
      </c>
      <c r="H1590" s="4">
        <v>12309284.382555</v>
      </c>
    </row>
    <row r="1591" spans="2:8" x14ac:dyDescent="0.2">
      <c r="B1591" s="3" t="s">
        <v>140</v>
      </c>
      <c r="C1591" s="3" t="s">
        <v>57</v>
      </c>
      <c r="D1591" s="3" t="str">
        <f>VLOOKUP(C1591,Countries!$B$3:$C$140,2,FALSE)</f>
        <v>Europe/Asia</v>
      </c>
      <c r="E1591" s="3" t="s">
        <v>104</v>
      </c>
      <c r="F1591" s="3" t="str">
        <f>VLOOKUP(E1591,Countries!$B$3:$C$140,2,FALSE)</f>
        <v>Africa</v>
      </c>
      <c r="G1591" s="4">
        <v>6</v>
      </c>
      <c r="H1591" s="4">
        <v>3127768.9824524997</v>
      </c>
    </row>
    <row r="1592" spans="2:8" x14ac:dyDescent="0.2">
      <c r="B1592" s="3" t="s">
        <v>140</v>
      </c>
      <c r="C1592" s="3" t="s">
        <v>57</v>
      </c>
      <c r="D1592" s="3" t="str">
        <f>VLOOKUP(C1592,Countries!$B$3:$C$140,2,FALSE)</f>
        <v>Europe/Asia</v>
      </c>
      <c r="E1592" s="3" t="s">
        <v>105</v>
      </c>
      <c r="F1592" s="3" t="str">
        <f>VLOOKUP(E1592,Countries!$B$3:$C$140,2,FALSE)</f>
        <v>Asia</v>
      </c>
      <c r="G1592" s="4">
        <v>2</v>
      </c>
      <c r="H1592" s="4">
        <v>0</v>
      </c>
    </row>
    <row r="1593" spans="2:8" x14ac:dyDescent="0.2">
      <c r="B1593" s="3" t="s">
        <v>140</v>
      </c>
      <c r="C1593" s="3" t="s">
        <v>57</v>
      </c>
      <c r="D1593" s="3" t="str">
        <f>VLOOKUP(C1593,Countries!$B$3:$C$140,2,FALSE)</f>
        <v>Europe/Asia</v>
      </c>
      <c r="E1593" s="3" t="s">
        <v>58</v>
      </c>
      <c r="F1593" s="3" t="str">
        <f>VLOOKUP(E1593,Countries!$B$3:$C$140,2,FALSE)</f>
        <v>South America</v>
      </c>
      <c r="G1593" s="4">
        <v>4</v>
      </c>
      <c r="H1593" s="4">
        <v>30991858.879425004</v>
      </c>
    </row>
    <row r="1594" spans="2:8" x14ac:dyDescent="0.2">
      <c r="B1594" s="3" t="s">
        <v>140</v>
      </c>
      <c r="C1594" s="3" t="s">
        <v>32</v>
      </c>
      <c r="D1594" s="3" t="str">
        <f>VLOOKUP(C1594,Countries!$B$3:$C$140,2,FALSE)</f>
        <v>Europe</v>
      </c>
      <c r="E1594" s="3" t="s">
        <v>69</v>
      </c>
      <c r="F1594" s="3" t="str">
        <f>VLOOKUP(E1594,Countries!$B$3:$C$140,2,FALSE)</f>
        <v>South America</v>
      </c>
      <c r="G1594" s="4">
        <v>2</v>
      </c>
      <c r="H1594" s="4">
        <v>0</v>
      </c>
    </row>
    <row r="1595" spans="2:8" x14ac:dyDescent="0.2">
      <c r="B1595" s="3" t="s">
        <v>140</v>
      </c>
      <c r="C1595" s="3" t="s">
        <v>32</v>
      </c>
      <c r="D1595" s="3" t="str">
        <f>VLOOKUP(C1595,Countries!$B$3:$C$140,2,FALSE)</f>
        <v>Europe</v>
      </c>
      <c r="E1595" s="3" t="s">
        <v>34</v>
      </c>
      <c r="F1595" s="3" t="str">
        <f>VLOOKUP(E1595,Countries!$B$3:$C$140,2,FALSE)</f>
        <v>Asia</v>
      </c>
      <c r="G1595" s="4">
        <v>10</v>
      </c>
      <c r="H1595" s="4">
        <v>0</v>
      </c>
    </row>
    <row r="1596" spans="2:8" x14ac:dyDescent="0.2">
      <c r="B1596" s="3" t="s">
        <v>140</v>
      </c>
      <c r="C1596" s="3" t="s">
        <v>32</v>
      </c>
      <c r="D1596" s="3" t="str">
        <f>VLOOKUP(C1596,Countries!$B$3:$C$140,2,FALSE)</f>
        <v>Europe</v>
      </c>
      <c r="E1596" s="3" t="s">
        <v>3</v>
      </c>
      <c r="F1596" s="3" t="str">
        <f>VLOOKUP(E1596,Countries!$B$3:$C$140,2,FALSE)</f>
        <v>Europe</v>
      </c>
      <c r="G1596" s="4">
        <v>4</v>
      </c>
      <c r="H1596" s="4">
        <v>0</v>
      </c>
    </row>
    <row r="1597" spans="2:8" x14ac:dyDescent="0.2">
      <c r="B1597" s="3" t="s">
        <v>140</v>
      </c>
      <c r="C1597" s="3" t="s">
        <v>32</v>
      </c>
      <c r="D1597" s="3" t="str">
        <f>VLOOKUP(C1597,Countries!$B$3:$C$140,2,FALSE)</f>
        <v>Europe</v>
      </c>
      <c r="E1597" s="3" t="s">
        <v>4</v>
      </c>
      <c r="F1597" s="3" t="str">
        <f>VLOOKUP(E1597,Countries!$B$3:$C$140,2,FALSE)</f>
        <v>Asia</v>
      </c>
      <c r="G1597" s="4">
        <v>6</v>
      </c>
      <c r="H1597" s="4">
        <v>0</v>
      </c>
    </row>
    <row r="1598" spans="2:8" x14ac:dyDescent="0.2">
      <c r="B1598" s="3" t="s">
        <v>140</v>
      </c>
      <c r="C1598" s="3" t="s">
        <v>32</v>
      </c>
      <c r="D1598" s="3" t="str">
        <f>VLOOKUP(C1598,Countries!$B$3:$C$140,2,FALSE)</f>
        <v>Europe</v>
      </c>
      <c r="E1598" s="3" t="s">
        <v>35</v>
      </c>
      <c r="F1598" s="3" t="str">
        <f>VLOOKUP(E1598,Countries!$B$3:$C$140,2,FALSE)</f>
        <v>Europe</v>
      </c>
      <c r="G1598" s="4">
        <v>8</v>
      </c>
      <c r="H1598" s="4">
        <v>14125408.30785</v>
      </c>
    </row>
    <row r="1599" spans="2:8" x14ac:dyDescent="0.2">
      <c r="B1599" s="3" t="s">
        <v>140</v>
      </c>
      <c r="C1599" s="3" t="s">
        <v>32</v>
      </c>
      <c r="D1599" s="3" t="str">
        <f>VLOOKUP(C1599,Countries!$B$3:$C$140,2,FALSE)</f>
        <v>Europe</v>
      </c>
      <c r="E1599" s="3" t="s">
        <v>6</v>
      </c>
      <c r="F1599" s="3" t="str">
        <f>VLOOKUP(E1599,Countries!$B$3:$C$140,2,FALSE)</f>
        <v>Europe</v>
      </c>
      <c r="G1599" s="4">
        <v>2</v>
      </c>
      <c r="H1599" s="4">
        <v>0</v>
      </c>
    </row>
    <row r="1600" spans="2:8" x14ac:dyDescent="0.2">
      <c r="B1600" s="3" t="s">
        <v>140</v>
      </c>
      <c r="C1600" s="3" t="s">
        <v>32</v>
      </c>
      <c r="D1600" s="3" t="str">
        <f>VLOOKUP(C1600,Countries!$B$3:$C$140,2,FALSE)</f>
        <v>Europe</v>
      </c>
      <c r="E1600" s="3" t="s">
        <v>59</v>
      </c>
      <c r="F1600" s="3" t="str">
        <f>VLOOKUP(E1600,Countries!$B$3:$C$140,2,FALSE)</f>
        <v>Europe</v>
      </c>
      <c r="G1600" s="4">
        <v>18</v>
      </c>
      <c r="H1600" s="4">
        <v>0</v>
      </c>
    </row>
    <row r="1601" spans="2:8" x14ac:dyDescent="0.2">
      <c r="B1601" s="3" t="s">
        <v>140</v>
      </c>
      <c r="C1601" s="3" t="s">
        <v>32</v>
      </c>
      <c r="D1601" s="3" t="str">
        <f>VLOOKUP(C1601,Countries!$B$3:$C$140,2,FALSE)</f>
        <v>Europe</v>
      </c>
      <c r="E1601" s="3" t="s">
        <v>7</v>
      </c>
      <c r="F1601" s="3" t="str">
        <f>VLOOKUP(E1601,Countries!$B$3:$C$140,2,FALSE)</f>
        <v>South America</v>
      </c>
      <c r="G1601" s="4">
        <v>22</v>
      </c>
      <c r="H1601" s="4">
        <v>69769831.046510696</v>
      </c>
    </row>
    <row r="1602" spans="2:8" x14ac:dyDescent="0.2">
      <c r="B1602" s="3" t="s">
        <v>140</v>
      </c>
      <c r="C1602" s="3" t="s">
        <v>32</v>
      </c>
      <c r="D1602" s="3" t="str">
        <f>VLOOKUP(C1602,Countries!$B$3:$C$140,2,FALSE)</f>
        <v>Europe</v>
      </c>
      <c r="E1602" s="3" t="s">
        <v>36</v>
      </c>
      <c r="F1602" s="3" t="str">
        <f>VLOOKUP(E1602,Countries!$B$3:$C$140,2,FALSE)</f>
        <v>Europe</v>
      </c>
      <c r="G1602" s="4">
        <v>4</v>
      </c>
      <c r="H1602" s="4">
        <v>1906930.1215597503</v>
      </c>
    </row>
    <row r="1603" spans="2:8" x14ac:dyDescent="0.2">
      <c r="B1603" s="3" t="s">
        <v>140</v>
      </c>
      <c r="C1603" s="3" t="s">
        <v>32</v>
      </c>
      <c r="D1603" s="3" t="str">
        <f>VLOOKUP(C1603,Countries!$B$3:$C$140,2,FALSE)</f>
        <v>Europe</v>
      </c>
      <c r="E1603" s="3" t="s">
        <v>88</v>
      </c>
      <c r="F1603" s="3" t="str">
        <f>VLOOKUP(E1603,Countries!$B$3:$C$140,2,FALSE)</f>
        <v>South America</v>
      </c>
      <c r="G1603" s="4">
        <v>2</v>
      </c>
      <c r="H1603" s="4">
        <v>300000</v>
      </c>
    </row>
    <row r="1604" spans="2:8" x14ac:dyDescent="0.2">
      <c r="B1604" s="3" t="s">
        <v>140</v>
      </c>
      <c r="C1604" s="3" t="s">
        <v>32</v>
      </c>
      <c r="D1604" s="3" t="str">
        <f>VLOOKUP(C1604,Countries!$B$3:$C$140,2,FALSE)</f>
        <v>Europe</v>
      </c>
      <c r="E1604" s="3" t="s">
        <v>72</v>
      </c>
      <c r="F1604" s="3" t="str">
        <f>VLOOKUP(E1604,Countries!$B$3:$C$140,2,FALSE)</f>
        <v>South America</v>
      </c>
      <c r="G1604" s="4">
        <v>2</v>
      </c>
      <c r="H1604" s="4">
        <v>6154642.1912775002</v>
      </c>
    </row>
    <row r="1605" spans="2:8" x14ac:dyDescent="0.2">
      <c r="B1605" s="3" t="s">
        <v>140</v>
      </c>
      <c r="C1605" s="3" t="s">
        <v>32</v>
      </c>
      <c r="D1605" s="3" t="str">
        <f>VLOOKUP(C1605,Countries!$B$3:$C$140,2,FALSE)</f>
        <v>Europe</v>
      </c>
      <c r="E1605" s="3" t="s">
        <v>9</v>
      </c>
      <c r="F1605" s="3" t="str">
        <f>VLOOKUP(E1605,Countries!$B$3:$C$140,2,FALSE)</f>
        <v>Europe</v>
      </c>
      <c r="G1605" s="4">
        <v>10</v>
      </c>
      <c r="H1605" s="4">
        <v>2334332.3780399999</v>
      </c>
    </row>
    <row r="1606" spans="2:8" x14ac:dyDescent="0.2">
      <c r="B1606" s="3" t="s">
        <v>140</v>
      </c>
      <c r="C1606" s="3" t="s">
        <v>32</v>
      </c>
      <c r="D1606" s="3" t="str">
        <f>VLOOKUP(C1606,Countries!$B$3:$C$140,2,FALSE)</f>
        <v>Europe</v>
      </c>
      <c r="E1606" s="3" t="s">
        <v>62</v>
      </c>
      <c r="F1606" s="3" t="str">
        <f>VLOOKUP(E1606,Countries!$B$3:$C$140,2,FALSE)</f>
        <v>Asia</v>
      </c>
      <c r="G1606" s="4">
        <v>4</v>
      </c>
      <c r="H1606" s="4">
        <v>0</v>
      </c>
    </row>
    <row r="1607" spans="2:8" x14ac:dyDescent="0.2">
      <c r="B1607" s="3" t="s">
        <v>140</v>
      </c>
      <c r="C1607" s="3" t="s">
        <v>32</v>
      </c>
      <c r="D1607" s="3" t="str">
        <f>VLOOKUP(C1607,Countries!$B$3:$C$140,2,FALSE)</f>
        <v>Europe</v>
      </c>
      <c r="E1607" s="3" t="s">
        <v>49</v>
      </c>
      <c r="F1607" s="3" t="str">
        <f>VLOOKUP(E1607,Countries!$B$3:$C$140,2,FALSE)</f>
        <v>Europe</v>
      </c>
      <c r="G1607" s="4">
        <v>2</v>
      </c>
      <c r="H1607" s="4">
        <v>0</v>
      </c>
    </row>
    <row r="1608" spans="2:8" x14ac:dyDescent="0.2">
      <c r="B1608" s="3" t="s">
        <v>140</v>
      </c>
      <c r="C1608" s="3" t="s">
        <v>32</v>
      </c>
      <c r="D1608" s="3" t="str">
        <f>VLOOKUP(C1608,Countries!$B$3:$C$140,2,FALSE)</f>
        <v>Europe</v>
      </c>
      <c r="E1608" s="3" t="s">
        <v>50</v>
      </c>
      <c r="F1608" s="3" t="str">
        <f>VLOOKUP(E1608,Countries!$B$3:$C$140,2,FALSE)</f>
        <v>Europe</v>
      </c>
      <c r="G1608" s="4">
        <v>4</v>
      </c>
      <c r="H1608" s="4">
        <v>28214488.710000001</v>
      </c>
    </row>
    <row r="1609" spans="2:8" x14ac:dyDescent="0.2">
      <c r="B1609" s="3" t="s">
        <v>140</v>
      </c>
      <c r="C1609" s="3" t="s">
        <v>32</v>
      </c>
      <c r="D1609" s="3" t="str">
        <f>VLOOKUP(C1609,Countries!$B$3:$C$140,2,FALSE)</f>
        <v>Europe</v>
      </c>
      <c r="E1609" s="3" t="s">
        <v>11</v>
      </c>
      <c r="F1609" s="3" t="str">
        <f>VLOOKUP(E1609,Countries!$B$3:$C$140,2,FALSE)</f>
        <v>Europe</v>
      </c>
      <c r="G1609" s="4">
        <v>6</v>
      </c>
      <c r="H1609" s="4">
        <v>20602916.974735498</v>
      </c>
    </row>
    <row r="1610" spans="2:8" x14ac:dyDescent="0.2">
      <c r="B1610" s="3" t="s">
        <v>140</v>
      </c>
      <c r="C1610" s="3" t="s">
        <v>32</v>
      </c>
      <c r="D1610" s="3" t="str">
        <f>VLOOKUP(C1610,Countries!$B$3:$C$140,2,FALSE)</f>
        <v>Europe</v>
      </c>
      <c r="E1610" s="3" t="s">
        <v>12</v>
      </c>
      <c r="F1610" s="3" t="str">
        <f>VLOOKUP(E1610,Countries!$B$3:$C$140,2,FALSE)</f>
        <v>Europe</v>
      </c>
      <c r="G1610" s="4">
        <v>12</v>
      </c>
      <c r="H1610" s="4">
        <v>54483717.758850008</v>
      </c>
    </row>
    <row r="1611" spans="2:8" x14ac:dyDescent="0.2">
      <c r="B1611" s="3" t="s">
        <v>140</v>
      </c>
      <c r="C1611" s="3" t="s">
        <v>32</v>
      </c>
      <c r="D1611" s="3" t="str">
        <f>VLOOKUP(C1611,Countries!$B$3:$C$140,2,FALSE)</f>
        <v>Europe</v>
      </c>
      <c r="E1611" s="3" t="s">
        <v>39</v>
      </c>
      <c r="F1611" s="3" t="str">
        <f>VLOOKUP(E1611,Countries!$B$3:$C$140,2,FALSE)</f>
        <v>Europe/Asia</v>
      </c>
      <c r="G1611" s="4">
        <v>12</v>
      </c>
      <c r="H1611" s="4">
        <v>375000</v>
      </c>
    </row>
    <row r="1612" spans="2:8" x14ac:dyDescent="0.2">
      <c r="B1612" s="3" t="s">
        <v>140</v>
      </c>
      <c r="C1612" s="3" t="s">
        <v>32</v>
      </c>
      <c r="D1612" s="3" t="str">
        <f>VLOOKUP(C1612,Countries!$B$3:$C$140,2,FALSE)</f>
        <v>Europe</v>
      </c>
      <c r="E1612" s="3" t="s">
        <v>13</v>
      </c>
      <c r="F1612" s="3" t="str">
        <f>VLOOKUP(E1612,Countries!$B$3:$C$140,2,FALSE)</f>
        <v>Europe</v>
      </c>
      <c r="G1612" s="4">
        <v>4</v>
      </c>
      <c r="H1612" s="4">
        <v>0</v>
      </c>
    </row>
    <row r="1613" spans="2:8" x14ac:dyDescent="0.2">
      <c r="B1613" s="3" t="s">
        <v>140</v>
      </c>
      <c r="C1613" s="3" t="s">
        <v>32</v>
      </c>
      <c r="D1613" s="3" t="str">
        <f>VLOOKUP(C1613,Countries!$B$3:$C$140,2,FALSE)</f>
        <v>Europe</v>
      </c>
      <c r="E1613" s="3" t="s">
        <v>14</v>
      </c>
      <c r="F1613" s="3" t="str">
        <f>VLOOKUP(E1613,Countries!$B$3:$C$140,2,FALSE)</f>
        <v>Europe</v>
      </c>
      <c r="G1613" s="4">
        <v>10</v>
      </c>
      <c r="H1613" s="4">
        <v>1210749.2835300001</v>
      </c>
    </row>
    <row r="1614" spans="2:8" x14ac:dyDescent="0.2">
      <c r="B1614" s="3" t="s">
        <v>140</v>
      </c>
      <c r="C1614" s="3" t="s">
        <v>32</v>
      </c>
      <c r="D1614" s="3" t="str">
        <f>VLOOKUP(C1614,Countries!$B$3:$C$140,2,FALSE)</f>
        <v>Europe</v>
      </c>
      <c r="E1614" s="3" t="s">
        <v>15</v>
      </c>
      <c r="F1614" s="3" t="str">
        <f>VLOOKUP(E1614,Countries!$B$3:$C$140,2,FALSE)</f>
        <v>Europe</v>
      </c>
      <c r="G1614" s="4">
        <v>4</v>
      </c>
      <c r="H1614" s="4">
        <v>0</v>
      </c>
    </row>
    <row r="1615" spans="2:8" x14ac:dyDescent="0.2">
      <c r="B1615" s="3" t="s">
        <v>140</v>
      </c>
      <c r="C1615" s="3" t="s">
        <v>32</v>
      </c>
      <c r="D1615" s="3" t="str">
        <f>VLOOKUP(C1615,Countries!$B$3:$C$140,2,FALSE)</f>
        <v>Europe</v>
      </c>
      <c r="E1615" s="3" t="s">
        <v>51</v>
      </c>
      <c r="F1615" s="3" t="str">
        <f>VLOOKUP(E1615,Countries!$B$3:$C$140,2,FALSE)</f>
        <v>Asia</v>
      </c>
      <c r="G1615" s="4">
        <v>2</v>
      </c>
      <c r="H1615" s="4">
        <v>0</v>
      </c>
    </row>
    <row r="1616" spans="2:8" x14ac:dyDescent="0.2">
      <c r="B1616" s="3" t="s">
        <v>140</v>
      </c>
      <c r="C1616" s="3" t="s">
        <v>32</v>
      </c>
      <c r="D1616" s="3" t="str">
        <f>VLOOKUP(C1616,Countries!$B$3:$C$140,2,FALSE)</f>
        <v>Europe</v>
      </c>
      <c r="E1616" s="3" t="s">
        <v>17</v>
      </c>
      <c r="F1616" s="3" t="str">
        <f>VLOOKUP(E1616,Countries!$B$3:$C$140,2,FALSE)</f>
        <v>Europe</v>
      </c>
      <c r="G1616" s="4">
        <v>4</v>
      </c>
      <c r="H1616" s="4">
        <v>7447978.6112345103</v>
      </c>
    </row>
    <row r="1617" spans="2:8" x14ac:dyDescent="0.2">
      <c r="B1617" s="3" t="s">
        <v>140</v>
      </c>
      <c r="C1617" s="3" t="s">
        <v>32</v>
      </c>
      <c r="D1617" s="3" t="str">
        <f>VLOOKUP(C1617,Countries!$B$3:$C$140,2,FALSE)</f>
        <v>Europe</v>
      </c>
      <c r="E1617" s="3" t="s">
        <v>40</v>
      </c>
      <c r="F1617" s="3" t="str">
        <f>VLOOKUP(E1617,Countries!$B$3:$C$140,2,FALSE)</f>
        <v>Asia</v>
      </c>
      <c r="G1617" s="4">
        <v>6</v>
      </c>
      <c r="H1617" s="4">
        <v>0</v>
      </c>
    </row>
    <row r="1618" spans="2:8" x14ac:dyDescent="0.2">
      <c r="B1618" s="3" t="s">
        <v>140</v>
      </c>
      <c r="C1618" s="3" t="s">
        <v>32</v>
      </c>
      <c r="D1618" s="3" t="str">
        <f>VLOOKUP(C1618,Countries!$B$3:$C$140,2,FALSE)</f>
        <v>Europe</v>
      </c>
      <c r="E1618" s="3" t="s">
        <v>66</v>
      </c>
      <c r="F1618" s="3" t="str">
        <f>VLOOKUP(E1618,Countries!$B$3:$C$140,2,FALSE)</f>
        <v>Europe</v>
      </c>
      <c r="G1618" s="4">
        <v>10</v>
      </c>
      <c r="H1618" s="4">
        <v>0</v>
      </c>
    </row>
    <row r="1619" spans="2:8" x14ac:dyDescent="0.2">
      <c r="B1619" s="3" t="s">
        <v>140</v>
      </c>
      <c r="C1619" s="3" t="s">
        <v>32</v>
      </c>
      <c r="D1619" s="3" t="str">
        <f>VLOOKUP(C1619,Countries!$B$3:$C$140,2,FALSE)</f>
        <v>Europe</v>
      </c>
      <c r="E1619" s="3" t="s">
        <v>52</v>
      </c>
      <c r="F1619" s="3" t="str">
        <f>VLOOKUP(E1619,Countries!$B$3:$C$140,2,FALSE)</f>
        <v>Europe</v>
      </c>
      <c r="G1619" s="4">
        <v>10</v>
      </c>
      <c r="H1619" s="4">
        <v>241382.67368999997</v>
      </c>
    </row>
    <row r="1620" spans="2:8" x14ac:dyDescent="0.2">
      <c r="B1620" s="3" t="s">
        <v>140</v>
      </c>
      <c r="C1620" s="3" t="s">
        <v>32</v>
      </c>
      <c r="D1620" s="3" t="str">
        <f>VLOOKUP(C1620,Countries!$B$3:$C$140,2,FALSE)</f>
        <v>Europe</v>
      </c>
      <c r="E1620" s="3" t="s">
        <v>43</v>
      </c>
      <c r="F1620" s="3" t="str">
        <f>VLOOKUP(E1620,Countries!$B$3:$C$140,2,FALSE)</f>
        <v>Europe</v>
      </c>
      <c r="G1620" s="4">
        <v>38</v>
      </c>
      <c r="H1620" s="4">
        <v>600000</v>
      </c>
    </row>
    <row r="1621" spans="2:8" x14ac:dyDescent="0.2">
      <c r="B1621" s="3" t="s">
        <v>140</v>
      </c>
      <c r="C1621" s="3" t="s">
        <v>32</v>
      </c>
      <c r="D1621" s="3" t="str">
        <f>VLOOKUP(C1621,Countries!$B$3:$C$140,2,FALSE)</f>
        <v>Europe</v>
      </c>
      <c r="E1621" s="3" t="s">
        <v>21</v>
      </c>
      <c r="F1621" s="3" t="str">
        <f>VLOOKUP(E1621,Countries!$B$3:$C$140,2,FALSE)</f>
        <v>Europe</v>
      </c>
      <c r="G1621" s="4">
        <v>2</v>
      </c>
      <c r="H1621" s="4">
        <v>0</v>
      </c>
    </row>
    <row r="1622" spans="2:8" x14ac:dyDescent="0.2">
      <c r="B1622" s="3" t="s">
        <v>140</v>
      </c>
      <c r="C1622" s="3" t="s">
        <v>32</v>
      </c>
      <c r="D1622" s="3" t="str">
        <f>VLOOKUP(C1622,Countries!$B$3:$C$140,2,FALSE)</f>
        <v>Europe</v>
      </c>
      <c r="E1622" s="3" t="s">
        <v>23</v>
      </c>
      <c r="F1622" s="3" t="str">
        <f>VLOOKUP(E1622,Countries!$B$3:$C$140,2,FALSE)</f>
        <v>Europe</v>
      </c>
      <c r="G1622" s="4">
        <v>2</v>
      </c>
      <c r="H1622" s="4">
        <v>807166.18901999993</v>
      </c>
    </row>
    <row r="1623" spans="2:8" x14ac:dyDescent="0.2">
      <c r="B1623" s="3" t="s">
        <v>140</v>
      </c>
      <c r="C1623" s="3" t="s">
        <v>32</v>
      </c>
      <c r="D1623" s="3" t="str">
        <f>VLOOKUP(C1623,Countries!$B$3:$C$140,2,FALSE)</f>
        <v>Europe</v>
      </c>
      <c r="E1623" s="3" t="s">
        <v>53</v>
      </c>
      <c r="F1623" s="3" t="str">
        <f>VLOOKUP(E1623,Countries!$B$3:$C$140,2,FALSE)</f>
        <v>Europe</v>
      </c>
      <c r="G1623" s="4">
        <v>4</v>
      </c>
      <c r="H1623" s="4">
        <v>0</v>
      </c>
    </row>
    <row r="1624" spans="2:8" x14ac:dyDescent="0.2">
      <c r="B1624" s="3" t="s">
        <v>140</v>
      </c>
      <c r="C1624" s="3" t="s">
        <v>32</v>
      </c>
      <c r="D1624" s="3" t="str">
        <f>VLOOKUP(C1624,Countries!$B$3:$C$140,2,FALSE)</f>
        <v>Europe</v>
      </c>
      <c r="E1624" s="3" t="s">
        <v>24</v>
      </c>
      <c r="F1624" s="3" t="str">
        <f>VLOOKUP(E1624,Countries!$B$3:$C$140,2,FALSE)</f>
        <v>Africa</v>
      </c>
      <c r="G1624" s="4">
        <v>4</v>
      </c>
      <c r="H1624" s="4">
        <v>0</v>
      </c>
    </row>
    <row r="1625" spans="2:8" x14ac:dyDescent="0.2">
      <c r="B1625" s="3" t="s">
        <v>140</v>
      </c>
      <c r="C1625" s="3" t="s">
        <v>32</v>
      </c>
      <c r="D1625" s="3" t="str">
        <f>VLOOKUP(C1625,Countries!$B$3:$C$140,2,FALSE)</f>
        <v>Europe</v>
      </c>
      <c r="E1625" s="3" t="s">
        <v>54</v>
      </c>
      <c r="F1625" s="3" t="str">
        <f>VLOOKUP(E1625,Countries!$B$3:$C$140,2,FALSE)</f>
        <v>Europe</v>
      </c>
      <c r="G1625" s="4">
        <v>30</v>
      </c>
      <c r="H1625" s="4">
        <v>0</v>
      </c>
    </row>
    <row r="1626" spans="2:8" x14ac:dyDescent="0.2">
      <c r="B1626" s="3" t="s">
        <v>140</v>
      </c>
      <c r="C1626" s="3" t="s">
        <v>32</v>
      </c>
      <c r="D1626" s="3" t="str">
        <f>VLOOKUP(C1626,Countries!$B$3:$C$140,2,FALSE)</f>
        <v>Europe</v>
      </c>
      <c r="E1626" s="3" t="s">
        <v>25</v>
      </c>
      <c r="F1626" s="3" t="str">
        <f>VLOOKUP(E1626,Countries!$B$3:$C$140,2,FALSE)</f>
        <v>Europe</v>
      </c>
      <c r="G1626" s="4">
        <v>6</v>
      </c>
      <c r="H1626" s="4">
        <v>601338.81081990001</v>
      </c>
    </row>
    <row r="1627" spans="2:8" x14ac:dyDescent="0.2">
      <c r="B1627" s="3" t="s">
        <v>140</v>
      </c>
      <c r="C1627" s="3" t="s">
        <v>32</v>
      </c>
      <c r="D1627" s="3" t="str">
        <f>VLOOKUP(C1627,Countries!$B$3:$C$140,2,FALSE)</f>
        <v>Europe</v>
      </c>
      <c r="E1627" s="3" t="s">
        <v>26</v>
      </c>
      <c r="F1627" s="3" t="str">
        <f>VLOOKUP(E1627,Countries!$B$3:$C$140,2,FALSE)</f>
        <v>Europe</v>
      </c>
      <c r="G1627" s="4">
        <v>10</v>
      </c>
      <c r="H1627" s="4">
        <v>339913.82552009996</v>
      </c>
    </row>
    <row r="1628" spans="2:8" x14ac:dyDescent="0.2">
      <c r="B1628" s="3" t="s">
        <v>140</v>
      </c>
      <c r="C1628" s="3" t="s">
        <v>32</v>
      </c>
      <c r="D1628" s="3" t="str">
        <f>VLOOKUP(C1628,Countries!$B$3:$C$140,2,FALSE)</f>
        <v>Europe</v>
      </c>
      <c r="E1628" s="3" t="s">
        <v>46</v>
      </c>
      <c r="F1628" s="3" t="str">
        <f>VLOOKUP(E1628,Countries!$B$3:$C$140,2,FALSE)</f>
        <v>Europe/Asia</v>
      </c>
      <c r="G1628" s="4">
        <v>44</v>
      </c>
      <c r="H1628" s="4">
        <v>2800749.2835299997</v>
      </c>
    </row>
    <row r="1629" spans="2:8" x14ac:dyDescent="0.2">
      <c r="B1629" s="3" t="s">
        <v>140</v>
      </c>
      <c r="C1629" s="3" t="s">
        <v>32</v>
      </c>
      <c r="D1629" s="3" t="str">
        <f>VLOOKUP(C1629,Countries!$B$3:$C$140,2,FALSE)</f>
        <v>Europe</v>
      </c>
      <c r="E1629" s="3" t="s">
        <v>55</v>
      </c>
      <c r="F1629" s="3" t="str">
        <f>VLOOKUP(E1629,Countries!$B$3:$C$140,2,FALSE)</f>
        <v>Europe</v>
      </c>
      <c r="G1629" s="4">
        <v>4</v>
      </c>
      <c r="H1629" s="4">
        <v>0</v>
      </c>
    </row>
    <row r="1630" spans="2:8" x14ac:dyDescent="0.2">
      <c r="B1630" s="3" t="s">
        <v>140</v>
      </c>
      <c r="C1630" s="3" t="s">
        <v>32</v>
      </c>
      <c r="D1630" s="3" t="str">
        <f>VLOOKUP(C1630,Countries!$B$3:$C$140,2,FALSE)</f>
        <v>Europe</v>
      </c>
      <c r="E1630" s="3" t="s">
        <v>28</v>
      </c>
      <c r="F1630" s="3" t="str">
        <f>VLOOKUP(E1630,Countries!$B$3:$C$140,2,FALSE)</f>
        <v>Europe</v>
      </c>
      <c r="G1630" s="4">
        <v>4</v>
      </c>
      <c r="H1630" s="4">
        <v>0</v>
      </c>
    </row>
    <row r="1631" spans="2:8" x14ac:dyDescent="0.2">
      <c r="B1631" s="3" t="s">
        <v>140</v>
      </c>
      <c r="C1631" s="3" t="s">
        <v>32</v>
      </c>
      <c r="D1631" s="3" t="str">
        <f>VLOOKUP(C1631,Countries!$B$3:$C$140,2,FALSE)</f>
        <v>Europe</v>
      </c>
      <c r="E1631" s="3" t="s">
        <v>29</v>
      </c>
      <c r="F1631" s="3" t="str">
        <f>VLOOKUP(E1631,Countries!$B$3:$C$140,2,FALSE)</f>
        <v>Europe</v>
      </c>
      <c r="G1631" s="4">
        <v>2</v>
      </c>
      <c r="H1631" s="4">
        <v>16143323.780399999</v>
      </c>
    </row>
    <row r="1632" spans="2:8" x14ac:dyDescent="0.2">
      <c r="B1632" s="3" t="s">
        <v>140</v>
      </c>
      <c r="C1632" s="3" t="s">
        <v>32</v>
      </c>
      <c r="D1632" s="3" t="str">
        <f>VLOOKUP(C1632,Countries!$B$3:$C$140,2,FALSE)</f>
        <v>Europe</v>
      </c>
      <c r="E1632" s="3" t="s">
        <v>56</v>
      </c>
      <c r="F1632" s="3" t="str">
        <f>VLOOKUP(E1632,Countries!$B$3:$C$140,2,FALSE)</f>
        <v>Europe</v>
      </c>
      <c r="G1632" s="4">
        <v>10</v>
      </c>
      <c r="H1632" s="4">
        <v>1816123.925295</v>
      </c>
    </row>
    <row r="1633" spans="2:8" x14ac:dyDescent="0.2">
      <c r="B1633" s="3" t="s">
        <v>140</v>
      </c>
      <c r="C1633" s="3" t="s">
        <v>32</v>
      </c>
      <c r="D1633" s="3" t="str">
        <f>VLOOKUP(C1633,Countries!$B$3:$C$140,2,FALSE)</f>
        <v>Europe</v>
      </c>
      <c r="E1633" s="3" t="s">
        <v>122</v>
      </c>
      <c r="F1633" s="3" t="str">
        <f>VLOOKUP(E1633,Countries!$B$3:$C$140,2,FALSE)</f>
        <v>Asia</v>
      </c>
      <c r="G1633" s="4">
        <v>2</v>
      </c>
      <c r="H1633" s="4">
        <v>0</v>
      </c>
    </row>
    <row r="1634" spans="2:8" x14ac:dyDescent="0.2">
      <c r="B1634" s="3" t="s">
        <v>140</v>
      </c>
      <c r="C1634" s="3" t="s">
        <v>32</v>
      </c>
      <c r="D1634" s="3" t="str">
        <f>VLOOKUP(C1634,Countries!$B$3:$C$140,2,FALSE)</f>
        <v>Europe</v>
      </c>
      <c r="E1634" s="3" t="s">
        <v>104</v>
      </c>
      <c r="F1634" s="3" t="str">
        <f>VLOOKUP(E1634,Countries!$B$3:$C$140,2,FALSE)</f>
        <v>Africa</v>
      </c>
      <c r="G1634" s="4">
        <v>4</v>
      </c>
      <c r="H1634" s="4">
        <v>0</v>
      </c>
    </row>
    <row r="1635" spans="2:8" x14ac:dyDescent="0.2">
      <c r="B1635" s="3" t="s">
        <v>140</v>
      </c>
      <c r="C1635" s="3" t="s">
        <v>32</v>
      </c>
      <c r="D1635" s="3" t="str">
        <f>VLOOKUP(C1635,Countries!$B$3:$C$140,2,FALSE)</f>
        <v>Europe</v>
      </c>
      <c r="E1635" s="3" t="s">
        <v>57</v>
      </c>
      <c r="F1635" s="3" t="str">
        <f>VLOOKUP(E1635,Countries!$B$3:$C$140,2,FALSE)</f>
        <v>Europe/Asia</v>
      </c>
      <c r="G1635" s="4">
        <v>2</v>
      </c>
      <c r="H1635" s="4">
        <v>0</v>
      </c>
    </row>
    <row r="1636" spans="2:8" x14ac:dyDescent="0.2">
      <c r="B1636" s="3" t="s">
        <v>140</v>
      </c>
      <c r="C1636" s="3" t="s">
        <v>32</v>
      </c>
      <c r="D1636" s="3" t="str">
        <f>VLOOKUP(C1636,Countries!$B$3:$C$140,2,FALSE)</f>
        <v>Europe</v>
      </c>
      <c r="E1636" s="3" t="s">
        <v>58</v>
      </c>
      <c r="F1636" s="3" t="str">
        <f>VLOOKUP(E1636,Countries!$B$3:$C$140,2,FALSE)</f>
        <v>South America</v>
      </c>
      <c r="G1636" s="4">
        <v>2</v>
      </c>
      <c r="H1636" s="4">
        <v>16143323.780399999</v>
      </c>
    </row>
    <row r="1637" spans="2:8" x14ac:dyDescent="0.2">
      <c r="B1637" s="3" t="s">
        <v>140</v>
      </c>
      <c r="C1637" s="3" t="s">
        <v>32</v>
      </c>
      <c r="D1637" s="3" t="str">
        <f>VLOOKUP(C1637,Countries!$B$3:$C$140,2,FALSE)</f>
        <v>Europe</v>
      </c>
      <c r="E1637" s="3" t="s">
        <v>87</v>
      </c>
      <c r="F1637" s="3" t="str">
        <f>VLOOKUP(E1637,Countries!$B$3:$C$140,2,FALSE)</f>
        <v>Asia</v>
      </c>
      <c r="G1637" s="4">
        <v>18</v>
      </c>
      <c r="H1637" s="4">
        <v>0</v>
      </c>
    </row>
    <row r="1638" spans="2:8" x14ac:dyDescent="0.2">
      <c r="B1638" s="3" t="s">
        <v>140</v>
      </c>
      <c r="C1638" s="3" t="s">
        <v>86</v>
      </c>
      <c r="D1638" s="3" t="str">
        <f>VLOOKUP(C1638,Countries!$B$3:$C$140,2,FALSE)</f>
        <v>Europe</v>
      </c>
      <c r="E1638" s="3" t="s">
        <v>48</v>
      </c>
      <c r="F1638" s="3" t="str">
        <f>VLOOKUP(E1638,Countries!$B$3:$C$140,2,FALSE)</f>
        <v>Oceania</v>
      </c>
      <c r="G1638" s="4">
        <v>4</v>
      </c>
      <c r="H1638" s="4">
        <v>0</v>
      </c>
    </row>
    <row r="1639" spans="2:8" x14ac:dyDescent="0.2">
      <c r="B1639" s="3" t="s">
        <v>140</v>
      </c>
      <c r="C1639" s="3" t="s">
        <v>86</v>
      </c>
      <c r="D1639" s="3" t="str">
        <f>VLOOKUP(C1639,Countries!$B$3:$C$140,2,FALSE)</f>
        <v>Europe</v>
      </c>
      <c r="E1639" s="3" t="s">
        <v>3</v>
      </c>
      <c r="F1639" s="3" t="str">
        <f>VLOOKUP(E1639,Countries!$B$3:$C$140,2,FALSE)</f>
        <v>Europe</v>
      </c>
      <c r="G1639" s="4">
        <v>2</v>
      </c>
      <c r="H1639" s="4">
        <v>0</v>
      </c>
    </row>
    <row r="1640" spans="2:8" x14ac:dyDescent="0.2">
      <c r="B1640" s="3" t="s">
        <v>140</v>
      </c>
      <c r="C1640" s="3" t="s">
        <v>86</v>
      </c>
      <c r="D1640" s="3" t="str">
        <f>VLOOKUP(C1640,Countries!$B$3:$C$140,2,FALSE)</f>
        <v>Europe</v>
      </c>
      <c r="E1640" s="3" t="s">
        <v>62</v>
      </c>
      <c r="F1640" s="3" t="str">
        <f>VLOOKUP(E1640,Countries!$B$3:$C$140,2,FALSE)</f>
        <v>Asia</v>
      </c>
      <c r="G1640" s="4">
        <v>2</v>
      </c>
      <c r="H1640" s="4">
        <v>0</v>
      </c>
    </row>
    <row r="1641" spans="2:8" x14ac:dyDescent="0.2">
      <c r="B1641" s="3" t="s">
        <v>140</v>
      </c>
      <c r="C1641" s="3" t="s">
        <v>86</v>
      </c>
      <c r="D1641" s="3" t="str">
        <f>VLOOKUP(C1641,Countries!$B$3:$C$140,2,FALSE)</f>
        <v>Europe</v>
      </c>
      <c r="E1641" s="3" t="s">
        <v>50</v>
      </c>
      <c r="F1641" s="3" t="str">
        <f>VLOOKUP(E1641,Countries!$B$3:$C$140,2,FALSE)</f>
        <v>Europe</v>
      </c>
      <c r="G1641" s="4">
        <v>126</v>
      </c>
      <c r="H1641" s="4">
        <v>51777113.593938604</v>
      </c>
    </row>
    <row r="1642" spans="2:8" x14ac:dyDescent="0.2">
      <c r="B1642" s="3" t="s">
        <v>140</v>
      </c>
      <c r="C1642" s="3" t="s">
        <v>86</v>
      </c>
      <c r="D1642" s="3" t="str">
        <f>VLOOKUP(C1642,Countries!$B$3:$C$140,2,FALSE)</f>
        <v>Europe</v>
      </c>
      <c r="E1642" s="3" t="s">
        <v>12</v>
      </c>
      <c r="F1642" s="3" t="str">
        <f>VLOOKUP(E1642,Countries!$B$3:$C$140,2,FALSE)</f>
        <v>Europe</v>
      </c>
      <c r="G1642" s="4">
        <v>6</v>
      </c>
      <c r="H1642" s="4">
        <v>3591889.5411390001</v>
      </c>
    </row>
    <row r="1643" spans="2:8" x14ac:dyDescent="0.2">
      <c r="B1643" s="3" t="s">
        <v>140</v>
      </c>
      <c r="C1643" s="3" t="s">
        <v>86</v>
      </c>
      <c r="D1643" s="3" t="str">
        <f>VLOOKUP(C1643,Countries!$B$3:$C$140,2,FALSE)</f>
        <v>Europe</v>
      </c>
      <c r="E1643" s="3" t="s">
        <v>13</v>
      </c>
      <c r="F1643" s="3" t="str">
        <f>VLOOKUP(E1643,Countries!$B$3:$C$140,2,FALSE)</f>
        <v>Europe</v>
      </c>
      <c r="G1643" s="4">
        <v>2</v>
      </c>
      <c r="H1643" s="4">
        <v>807166.18901999993</v>
      </c>
    </row>
    <row r="1644" spans="2:8" x14ac:dyDescent="0.2">
      <c r="B1644" s="3" t="s">
        <v>140</v>
      </c>
      <c r="C1644" s="3" t="s">
        <v>86</v>
      </c>
      <c r="D1644" s="3" t="str">
        <f>VLOOKUP(C1644,Countries!$B$3:$C$140,2,FALSE)</f>
        <v>Europe</v>
      </c>
      <c r="E1644" s="3" t="s">
        <v>16</v>
      </c>
      <c r="F1644" s="3" t="str">
        <f>VLOOKUP(E1644,Countries!$B$3:$C$140,2,FALSE)</f>
        <v>Asia</v>
      </c>
      <c r="G1644" s="4">
        <v>2</v>
      </c>
      <c r="H1644" s="4">
        <v>0</v>
      </c>
    </row>
    <row r="1645" spans="2:8" x14ac:dyDescent="0.2">
      <c r="B1645" s="3" t="s">
        <v>140</v>
      </c>
      <c r="C1645" s="3" t="s">
        <v>86</v>
      </c>
      <c r="D1645" s="3" t="str">
        <f>VLOOKUP(C1645,Countries!$B$3:$C$140,2,FALSE)</f>
        <v>Europe</v>
      </c>
      <c r="E1645" s="3" t="s">
        <v>17</v>
      </c>
      <c r="F1645" s="3" t="str">
        <f>VLOOKUP(E1645,Countries!$B$3:$C$140,2,FALSE)</f>
        <v>Europe</v>
      </c>
      <c r="G1645" s="4">
        <v>2</v>
      </c>
      <c r="H1645" s="4">
        <v>0</v>
      </c>
    </row>
    <row r="1646" spans="2:8" x14ac:dyDescent="0.2">
      <c r="B1646" s="3" t="s">
        <v>140</v>
      </c>
      <c r="C1646" s="3" t="s">
        <v>86</v>
      </c>
      <c r="D1646" s="3" t="str">
        <f>VLOOKUP(C1646,Countries!$B$3:$C$140,2,FALSE)</f>
        <v>Europe</v>
      </c>
      <c r="E1646" s="3" t="s">
        <v>53</v>
      </c>
      <c r="F1646" s="3" t="str">
        <f>VLOOKUP(E1646,Countries!$B$3:$C$140,2,FALSE)</f>
        <v>Europe</v>
      </c>
      <c r="G1646" s="4">
        <v>4</v>
      </c>
      <c r="H1646" s="4">
        <v>7062704.1539249998</v>
      </c>
    </row>
    <row r="1647" spans="2:8" x14ac:dyDescent="0.2">
      <c r="B1647" s="3" t="s">
        <v>140</v>
      </c>
      <c r="C1647" s="3" t="s">
        <v>86</v>
      </c>
      <c r="D1647" s="3" t="str">
        <f>VLOOKUP(C1647,Countries!$B$3:$C$140,2,FALSE)</f>
        <v>Europe</v>
      </c>
      <c r="E1647" s="3" t="s">
        <v>78</v>
      </c>
      <c r="F1647" s="3" t="str">
        <f>VLOOKUP(E1647,Countries!$B$3:$C$140,2,FALSE)</f>
        <v>Europe</v>
      </c>
      <c r="G1647" s="4">
        <v>2</v>
      </c>
      <c r="H1647" s="4">
        <v>963995.03092500009</v>
      </c>
    </row>
    <row r="1648" spans="2:8" x14ac:dyDescent="0.2">
      <c r="B1648" s="3" t="s">
        <v>140</v>
      </c>
      <c r="C1648" s="3" t="s">
        <v>86</v>
      </c>
      <c r="D1648" s="3" t="str">
        <f>VLOOKUP(C1648,Countries!$B$3:$C$140,2,FALSE)</f>
        <v>Europe</v>
      </c>
      <c r="E1648" s="3" t="s">
        <v>25</v>
      </c>
      <c r="F1648" s="3" t="str">
        <f>VLOOKUP(E1648,Countries!$B$3:$C$140,2,FALSE)</f>
        <v>Europe</v>
      </c>
      <c r="G1648" s="4">
        <v>2</v>
      </c>
      <c r="H1648" s="4">
        <v>1614332.3780399999</v>
      </c>
    </row>
    <row r="1649" spans="2:8" x14ac:dyDescent="0.2">
      <c r="B1649" s="3" t="s">
        <v>140</v>
      </c>
      <c r="C1649" s="3" t="s">
        <v>86</v>
      </c>
      <c r="D1649" s="3" t="str">
        <f>VLOOKUP(C1649,Countries!$B$3:$C$140,2,FALSE)</f>
        <v>Europe</v>
      </c>
      <c r="E1649" s="3" t="s">
        <v>55</v>
      </c>
      <c r="F1649" s="3" t="str">
        <f>VLOOKUP(E1649,Countries!$B$3:$C$140,2,FALSE)</f>
        <v>Europe</v>
      </c>
      <c r="G1649" s="4">
        <v>8</v>
      </c>
      <c r="H1649" s="4">
        <v>0</v>
      </c>
    </row>
    <row r="1650" spans="2:8" x14ac:dyDescent="0.2">
      <c r="B1650" s="3" t="s">
        <v>140</v>
      </c>
      <c r="C1650" s="3" t="s">
        <v>86</v>
      </c>
      <c r="D1650" s="3" t="str">
        <f>VLOOKUP(C1650,Countries!$B$3:$C$140,2,FALSE)</f>
        <v>Europe</v>
      </c>
      <c r="E1650" s="3" t="s">
        <v>56</v>
      </c>
      <c r="F1650" s="3" t="str">
        <f>VLOOKUP(E1650,Countries!$B$3:$C$140,2,FALSE)</f>
        <v>Europe</v>
      </c>
      <c r="G1650" s="4">
        <v>2</v>
      </c>
      <c r="H1650" s="4">
        <v>2825081.66157</v>
      </c>
    </row>
    <row r="1651" spans="2:8" x14ac:dyDescent="0.2">
      <c r="B1651" s="3" t="s">
        <v>140</v>
      </c>
      <c r="C1651" s="3" t="s">
        <v>86</v>
      </c>
      <c r="D1651" s="3" t="str">
        <f>VLOOKUP(C1651,Countries!$B$3:$C$140,2,FALSE)</f>
        <v>Europe</v>
      </c>
      <c r="E1651" s="3" t="s">
        <v>57</v>
      </c>
      <c r="F1651" s="3" t="str">
        <f>VLOOKUP(E1651,Countries!$B$3:$C$140,2,FALSE)</f>
        <v>Europe/Asia</v>
      </c>
      <c r="G1651" s="4">
        <v>2</v>
      </c>
      <c r="H1651" s="4">
        <v>3228664.7560799997</v>
      </c>
    </row>
    <row r="1652" spans="2:8" x14ac:dyDescent="0.2">
      <c r="B1652" s="3" t="s">
        <v>140</v>
      </c>
      <c r="C1652" s="3" t="s">
        <v>86</v>
      </c>
      <c r="D1652" s="3" t="str">
        <f>VLOOKUP(C1652,Countries!$B$3:$C$140,2,FALSE)</f>
        <v>Europe</v>
      </c>
      <c r="E1652" s="3" t="s">
        <v>33</v>
      </c>
      <c r="F1652" s="3" t="str">
        <f>VLOOKUP(E1652,Countries!$B$3:$C$140,2,FALSE)</f>
        <v>North America</v>
      </c>
      <c r="G1652" s="4">
        <v>2</v>
      </c>
      <c r="H1652" s="4">
        <v>0</v>
      </c>
    </row>
    <row r="1653" spans="2:8" x14ac:dyDescent="0.2">
      <c r="B1653" s="3" t="s">
        <v>160</v>
      </c>
      <c r="C1653" s="3" t="s">
        <v>2</v>
      </c>
      <c r="D1653" s="3" t="str">
        <f>VLOOKUP(C1653,Countries!$B$3:$C$140,2,FALSE)</f>
        <v>Europe</v>
      </c>
      <c r="E1653" s="3" t="s">
        <v>3</v>
      </c>
      <c r="F1653" s="3" t="str">
        <f>VLOOKUP(E1653,Countries!$B$3:$C$140,2,FALSE)</f>
        <v>Europe</v>
      </c>
      <c r="G1653" s="4">
        <v>2</v>
      </c>
      <c r="H1653" s="4">
        <v>0</v>
      </c>
    </row>
    <row r="1654" spans="2:8" x14ac:dyDescent="0.2">
      <c r="B1654" s="3" t="s">
        <v>160</v>
      </c>
      <c r="C1654" s="3" t="s">
        <v>2</v>
      </c>
      <c r="D1654" s="3" t="str">
        <f>VLOOKUP(C1654,Countries!$B$3:$C$140,2,FALSE)</f>
        <v>Europe</v>
      </c>
      <c r="E1654" s="3" t="s">
        <v>4</v>
      </c>
      <c r="F1654" s="3" t="str">
        <f>VLOOKUP(E1654,Countries!$B$3:$C$140,2,FALSE)</f>
        <v>Asia</v>
      </c>
      <c r="G1654" s="4">
        <v>6</v>
      </c>
      <c r="H1654" s="4">
        <v>0</v>
      </c>
    </row>
    <row r="1655" spans="2:8" x14ac:dyDescent="0.2">
      <c r="B1655" s="3" t="s">
        <v>160</v>
      </c>
      <c r="C1655" s="3" t="s">
        <v>2</v>
      </c>
      <c r="D1655" s="3" t="str">
        <f>VLOOKUP(C1655,Countries!$B$3:$C$140,2,FALSE)</f>
        <v>Europe</v>
      </c>
      <c r="E1655" s="3" t="s">
        <v>35</v>
      </c>
      <c r="F1655" s="3" t="str">
        <f>VLOOKUP(E1655,Countries!$B$3:$C$140,2,FALSE)</f>
        <v>Europe</v>
      </c>
      <c r="G1655" s="4">
        <v>2</v>
      </c>
      <c r="H1655" s="4">
        <v>0</v>
      </c>
    </row>
    <row r="1656" spans="2:8" x14ac:dyDescent="0.2">
      <c r="B1656" s="3" t="s">
        <v>160</v>
      </c>
      <c r="C1656" s="3" t="s">
        <v>2</v>
      </c>
      <c r="D1656" s="3" t="str">
        <f>VLOOKUP(C1656,Countries!$B$3:$C$140,2,FALSE)</f>
        <v>Europe</v>
      </c>
      <c r="E1656" s="3" t="s">
        <v>6</v>
      </c>
      <c r="F1656" s="3" t="str">
        <f>VLOOKUP(E1656,Countries!$B$3:$C$140,2,FALSE)</f>
        <v>Europe</v>
      </c>
      <c r="G1656" s="4">
        <v>2</v>
      </c>
      <c r="H1656" s="4">
        <v>0</v>
      </c>
    </row>
    <row r="1657" spans="2:8" x14ac:dyDescent="0.2">
      <c r="B1657" s="3" t="s">
        <v>160</v>
      </c>
      <c r="C1657" s="3" t="s">
        <v>2</v>
      </c>
      <c r="D1657" s="3" t="str">
        <f>VLOOKUP(C1657,Countries!$B$3:$C$140,2,FALSE)</f>
        <v>Europe</v>
      </c>
      <c r="E1657" s="3" t="s">
        <v>7</v>
      </c>
      <c r="F1657" s="3" t="str">
        <f>VLOOKUP(E1657,Countries!$B$3:$C$140,2,FALSE)</f>
        <v>South America</v>
      </c>
      <c r="G1657" s="4">
        <v>10</v>
      </c>
      <c r="H1657" s="4">
        <v>0</v>
      </c>
    </row>
    <row r="1658" spans="2:8" x14ac:dyDescent="0.2">
      <c r="B1658" s="3" t="s">
        <v>160</v>
      </c>
      <c r="C1658" s="3" t="s">
        <v>2</v>
      </c>
      <c r="D1658" s="3" t="str">
        <f>VLOOKUP(C1658,Countries!$B$3:$C$140,2,FALSE)</f>
        <v>Europe</v>
      </c>
      <c r="E1658" s="3" t="s">
        <v>72</v>
      </c>
      <c r="F1658" s="3" t="str">
        <f>VLOOKUP(E1658,Countries!$B$3:$C$140,2,FALSE)</f>
        <v>South America</v>
      </c>
      <c r="G1658" s="4">
        <v>2</v>
      </c>
      <c r="H1658" s="4">
        <v>0</v>
      </c>
    </row>
    <row r="1659" spans="2:8" x14ac:dyDescent="0.2">
      <c r="B1659" s="3" t="s">
        <v>160</v>
      </c>
      <c r="C1659" s="3" t="s">
        <v>2</v>
      </c>
      <c r="D1659" s="3" t="str">
        <f>VLOOKUP(C1659,Countries!$B$3:$C$140,2,FALSE)</f>
        <v>Europe</v>
      </c>
      <c r="E1659" s="3" t="s">
        <v>9</v>
      </c>
      <c r="F1659" s="3" t="str">
        <f>VLOOKUP(E1659,Countries!$B$3:$C$140,2,FALSE)</f>
        <v>Europe</v>
      </c>
      <c r="G1659" s="4">
        <v>8</v>
      </c>
      <c r="H1659" s="4">
        <v>0</v>
      </c>
    </row>
    <row r="1660" spans="2:8" x14ac:dyDescent="0.2">
      <c r="B1660" s="3" t="s">
        <v>160</v>
      </c>
      <c r="C1660" s="3" t="s">
        <v>2</v>
      </c>
      <c r="D1660" s="3" t="str">
        <f>VLOOKUP(C1660,Countries!$B$3:$C$140,2,FALSE)</f>
        <v>Europe</v>
      </c>
      <c r="E1660" s="3" t="s">
        <v>50</v>
      </c>
      <c r="F1660" s="3" t="str">
        <f>VLOOKUP(E1660,Countries!$B$3:$C$140,2,FALSE)</f>
        <v>Europe</v>
      </c>
      <c r="G1660" s="4">
        <v>2</v>
      </c>
      <c r="H1660" s="4">
        <v>0</v>
      </c>
    </row>
    <row r="1661" spans="2:8" x14ac:dyDescent="0.2">
      <c r="B1661" s="3" t="s">
        <v>160</v>
      </c>
      <c r="C1661" s="3" t="s">
        <v>2</v>
      </c>
      <c r="D1661" s="3" t="str">
        <f>VLOOKUP(C1661,Countries!$B$3:$C$140,2,FALSE)</f>
        <v>Europe</v>
      </c>
      <c r="E1661" s="3" t="s">
        <v>12</v>
      </c>
      <c r="F1661" s="3" t="str">
        <f>VLOOKUP(E1661,Countries!$B$3:$C$140,2,FALSE)</f>
        <v>Europe</v>
      </c>
      <c r="G1661" s="4">
        <v>2</v>
      </c>
      <c r="H1661" s="4">
        <v>0</v>
      </c>
    </row>
    <row r="1662" spans="2:8" x14ac:dyDescent="0.2">
      <c r="B1662" s="3" t="s">
        <v>160</v>
      </c>
      <c r="C1662" s="3" t="s">
        <v>2</v>
      </c>
      <c r="D1662" s="3" t="str">
        <f>VLOOKUP(C1662,Countries!$B$3:$C$140,2,FALSE)</f>
        <v>Europe</v>
      </c>
      <c r="E1662" s="3" t="s">
        <v>14</v>
      </c>
      <c r="F1662" s="3" t="str">
        <f>VLOOKUP(E1662,Countries!$B$3:$C$140,2,FALSE)</f>
        <v>Europe</v>
      </c>
      <c r="G1662" s="4">
        <v>20</v>
      </c>
      <c r="H1662" s="4">
        <v>0</v>
      </c>
    </row>
    <row r="1663" spans="2:8" x14ac:dyDescent="0.2">
      <c r="B1663" s="3" t="s">
        <v>160</v>
      </c>
      <c r="C1663" s="3" t="s">
        <v>2</v>
      </c>
      <c r="D1663" s="3" t="str">
        <f>VLOOKUP(C1663,Countries!$B$3:$C$140,2,FALSE)</f>
        <v>Europe</v>
      </c>
      <c r="E1663" s="3" t="s">
        <v>15</v>
      </c>
      <c r="F1663" s="3" t="str">
        <f>VLOOKUP(E1663,Countries!$B$3:$C$140,2,FALSE)</f>
        <v>Europe</v>
      </c>
      <c r="G1663" s="4">
        <v>4</v>
      </c>
      <c r="H1663" s="4">
        <v>0</v>
      </c>
    </row>
    <row r="1664" spans="2:8" x14ac:dyDescent="0.2">
      <c r="B1664" s="3" t="s">
        <v>160</v>
      </c>
      <c r="C1664" s="3" t="s">
        <v>2</v>
      </c>
      <c r="D1664" s="3" t="str">
        <f>VLOOKUP(C1664,Countries!$B$3:$C$140,2,FALSE)</f>
        <v>Europe</v>
      </c>
      <c r="E1664" s="3" t="s">
        <v>74</v>
      </c>
      <c r="F1664" s="3" t="str">
        <f>VLOOKUP(E1664,Countries!$B$3:$C$140,2,FALSE)</f>
        <v>Asia</v>
      </c>
      <c r="G1664" s="4">
        <v>2</v>
      </c>
      <c r="H1664" s="4">
        <v>0</v>
      </c>
    </row>
    <row r="1665" spans="2:8" x14ac:dyDescent="0.2">
      <c r="B1665" s="3" t="s">
        <v>160</v>
      </c>
      <c r="C1665" s="3" t="s">
        <v>2</v>
      </c>
      <c r="D1665" s="3" t="str">
        <f>VLOOKUP(C1665,Countries!$B$3:$C$140,2,FALSE)</f>
        <v>Europe</v>
      </c>
      <c r="E1665" s="3" t="s">
        <v>17</v>
      </c>
      <c r="F1665" s="3" t="str">
        <f>VLOOKUP(E1665,Countries!$B$3:$C$140,2,FALSE)</f>
        <v>Europe</v>
      </c>
      <c r="G1665" s="4">
        <v>12</v>
      </c>
      <c r="H1665" s="4">
        <v>0</v>
      </c>
    </row>
    <row r="1666" spans="2:8" x14ac:dyDescent="0.2">
      <c r="B1666" s="3" t="s">
        <v>160</v>
      </c>
      <c r="C1666" s="3" t="s">
        <v>2</v>
      </c>
      <c r="D1666" s="3" t="str">
        <f>VLOOKUP(C1666,Countries!$B$3:$C$140,2,FALSE)</f>
        <v>Europe</v>
      </c>
      <c r="E1666" s="3" t="s">
        <v>40</v>
      </c>
      <c r="F1666" s="3" t="str">
        <f>VLOOKUP(E1666,Countries!$B$3:$C$140,2,FALSE)</f>
        <v>Asia</v>
      </c>
      <c r="G1666" s="4">
        <v>2</v>
      </c>
      <c r="H1666" s="4">
        <v>0</v>
      </c>
    </row>
    <row r="1667" spans="2:8" x14ac:dyDescent="0.2">
      <c r="B1667" s="3" t="s">
        <v>160</v>
      </c>
      <c r="C1667" s="3" t="s">
        <v>2</v>
      </c>
      <c r="D1667" s="3" t="str">
        <f>VLOOKUP(C1667,Countries!$B$3:$C$140,2,FALSE)</f>
        <v>Europe</v>
      </c>
      <c r="E1667" s="3" t="s">
        <v>93</v>
      </c>
      <c r="F1667" s="3" t="str">
        <f>VLOOKUP(E1667,Countries!$B$3:$C$140,2,FALSE)</f>
        <v>Asia</v>
      </c>
      <c r="G1667" s="4">
        <v>2</v>
      </c>
      <c r="H1667" s="4">
        <v>0</v>
      </c>
    </row>
    <row r="1668" spans="2:8" x14ac:dyDescent="0.2">
      <c r="B1668" s="3" t="s">
        <v>160</v>
      </c>
      <c r="C1668" s="3" t="s">
        <v>2</v>
      </c>
      <c r="D1668" s="3" t="str">
        <f>VLOOKUP(C1668,Countries!$B$3:$C$140,2,FALSE)</f>
        <v>Europe</v>
      </c>
      <c r="E1668" s="3" t="s">
        <v>19</v>
      </c>
      <c r="F1668" s="3" t="str">
        <f>VLOOKUP(E1668,Countries!$B$3:$C$140,2,FALSE)</f>
        <v>Asia</v>
      </c>
      <c r="G1668" s="4">
        <v>2</v>
      </c>
      <c r="H1668" s="4">
        <v>0</v>
      </c>
    </row>
    <row r="1669" spans="2:8" x14ac:dyDescent="0.2">
      <c r="B1669" s="3" t="s">
        <v>160</v>
      </c>
      <c r="C1669" s="3" t="s">
        <v>2</v>
      </c>
      <c r="D1669" s="3" t="str">
        <f>VLOOKUP(C1669,Countries!$B$3:$C$140,2,FALSE)</f>
        <v>Europe</v>
      </c>
      <c r="E1669" s="3" t="s">
        <v>20</v>
      </c>
      <c r="F1669" s="3" t="str">
        <f>VLOOKUP(E1669,Countries!$B$3:$C$140,2,FALSE)</f>
        <v>Europe</v>
      </c>
      <c r="G1669" s="4">
        <v>22</v>
      </c>
      <c r="H1669" s="4">
        <v>0</v>
      </c>
    </row>
    <row r="1670" spans="2:8" x14ac:dyDescent="0.2">
      <c r="B1670" s="3" t="s">
        <v>160</v>
      </c>
      <c r="C1670" s="3" t="s">
        <v>2</v>
      </c>
      <c r="D1670" s="3" t="str">
        <f>VLOOKUP(C1670,Countries!$B$3:$C$140,2,FALSE)</f>
        <v>Europe</v>
      </c>
      <c r="E1670" s="3" t="s">
        <v>131</v>
      </c>
      <c r="F1670" s="3" t="str">
        <f>VLOOKUP(E1670,Countries!$B$3:$C$140,2,FALSE)</f>
        <v>Asia</v>
      </c>
      <c r="G1670" s="4">
        <v>2</v>
      </c>
      <c r="H1670" s="4">
        <v>0</v>
      </c>
    </row>
    <row r="1671" spans="2:8" x14ac:dyDescent="0.2">
      <c r="B1671" s="3" t="s">
        <v>160</v>
      </c>
      <c r="C1671" s="3" t="s">
        <v>2</v>
      </c>
      <c r="D1671" s="3" t="str">
        <f>VLOOKUP(C1671,Countries!$B$3:$C$140,2,FALSE)</f>
        <v>Europe</v>
      </c>
      <c r="E1671" s="3" t="s">
        <v>43</v>
      </c>
      <c r="F1671" s="3" t="str">
        <f>VLOOKUP(E1671,Countries!$B$3:$C$140,2,FALSE)</f>
        <v>Europe</v>
      </c>
      <c r="G1671" s="4">
        <v>2</v>
      </c>
      <c r="H1671" s="4">
        <v>0</v>
      </c>
    </row>
    <row r="1672" spans="2:8" x14ac:dyDescent="0.2">
      <c r="B1672" s="3" t="s">
        <v>160</v>
      </c>
      <c r="C1672" s="3" t="s">
        <v>2</v>
      </c>
      <c r="D1672" s="3" t="str">
        <f>VLOOKUP(C1672,Countries!$B$3:$C$140,2,FALSE)</f>
        <v>Europe</v>
      </c>
      <c r="E1672" s="3" t="s">
        <v>21</v>
      </c>
      <c r="F1672" s="3" t="str">
        <f>VLOOKUP(E1672,Countries!$B$3:$C$140,2,FALSE)</f>
        <v>Europe</v>
      </c>
      <c r="G1672" s="4">
        <v>8</v>
      </c>
      <c r="H1672" s="4">
        <v>0</v>
      </c>
    </row>
    <row r="1673" spans="2:8" x14ac:dyDescent="0.2">
      <c r="B1673" s="3" t="s">
        <v>160</v>
      </c>
      <c r="C1673" s="3" t="s">
        <v>2</v>
      </c>
      <c r="D1673" s="3" t="str">
        <f>VLOOKUP(C1673,Countries!$B$3:$C$140,2,FALSE)</f>
        <v>Europe</v>
      </c>
      <c r="E1673" s="3" t="s">
        <v>67</v>
      </c>
      <c r="F1673" s="3" t="str">
        <f>VLOOKUP(E1673,Countries!$B$3:$C$140,2,FALSE)</f>
        <v>Africa</v>
      </c>
      <c r="G1673" s="4">
        <v>2</v>
      </c>
      <c r="H1673" s="4">
        <v>0</v>
      </c>
    </row>
    <row r="1674" spans="2:8" x14ac:dyDescent="0.2">
      <c r="B1674" s="3" t="s">
        <v>160</v>
      </c>
      <c r="C1674" s="3" t="s">
        <v>2</v>
      </c>
      <c r="D1674" s="3" t="str">
        <f>VLOOKUP(C1674,Countries!$B$3:$C$140,2,FALSE)</f>
        <v>Europe</v>
      </c>
      <c r="E1674" s="3" t="s">
        <v>22</v>
      </c>
      <c r="F1674" s="3" t="str">
        <f>VLOOKUP(E1674,Countries!$B$3:$C$140,2,FALSE)</f>
        <v>Europe</v>
      </c>
      <c r="G1674" s="4">
        <v>4</v>
      </c>
      <c r="H1674" s="4">
        <v>0</v>
      </c>
    </row>
    <row r="1675" spans="2:8" x14ac:dyDescent="0.2">
      <c r="B1675" s="3" t="s">
        <v>160</v>
      </c>
      <c r="C1675" s="3" t="s">
        <v>2</v>
      </c>
      <c r="D1675" s="3" t="str">
        <f>VLOOKUP(C1675,Countries!$B$3:$C$140,2,FALSE)</f>
        <v>Europe</v>
      </c>
      <c r="E1675" s="3" t="s">
        <v>23</v>
      </c>
      <c r="F1675" s="3" t="str">
        <f>VLOOKUP(E1675,Countries!$B$3:$C$140,2,FALSE)</f>
        <v>Europe</v>
      </c>
      <c r="G1675" s="4">
        <v>4</v>
      </c>
      <c r="H1675" s="4">
        <v>0</v>
      </c>
    </row>
    <row r="1676" spans="2:8" x14ac:dyDescent="0.2">
      <c r="B1676" s="3" t="s">
        <v>160</v>
      </c>
      <c r="C1676" s="3" t="s">
        <v>2</v>
      </c>
      <c r="D1676" s="3" t="str">
        <f>VLOOKUP(C1676,Countries!$B$3:$C$140,2,FALSE)</f>
        <v>Europe</v>
      </c>
      <c r="E1676" s="3" t="s">
        <v>24</v>
      </c>
      <c r="F1676" s="3" t="str">
        <f>VLOOKUP(E1676,Countries!$B$3:$C$140,2,FALSE)</f>
        <v>Africa</v>
      </c>
      <c r="G1676" s="4">
        <v>20</v>
      </c>
      <c r="H1676" s="4">
        <v>0</v>
      </c>
    </row>
    <row r="1677" spans="2:8" x14ac:dyDescent="0.2">
      <c r="B1677" s="3" t="s">
        <v>160</v>
      </c>
      <c r="C1677" s="3" t="s">
        <v>2</v>
      </c>
      <c r="D1677" s="3" t="str">
        <f>VLOOKUP(C1677,Countries!$B$3:$C$140,2,FALSE)</f>
        <v>Europe</v>
      </c>
      <c r="E1677" s="3" t="s">
        <v>54</v>
      </c>
      <c r="F1677" s="3" t="str">
        <f>VLOOKUP(E1677,Countries!$B$3:$C$140,2,FALSE)</f>
        <v>Europe</v>
      </c>
      <c r="G1677" s="4">
        <v>2</v>
      </c>
      <c r="H1677" s="4">
        <v>0</v>
      </c>
    </row>
    <row r="1678" spans="2:8" x14ac:dyDescent="0.2">
      <c r="B1678" s="3" t="s">
        <v>160</v>
      </c>
      <c r="C1678" s="3" t="s">
        <v>2</v>
      </c>
      <c r="D1678" s="3" t="str">
        <f>VLOOKUP(C1678,Countries!$B$3:$C$140,2,FALSE)</f>
        <v>Europe</v>
      </c>
      <c r="E1678" s="3" t="s">
        <v>25</v>
      </c>
      <c r="F1678" s="3" t="str">
        <f>VLOOKUP(E1678,Countries!$B$3:$C$140,2,FALSE)</f>
        <v>Europe</v>
      </c>
      <c r="G1678" s="4">
        <v>8</v>
      </c>
      <c r="H1678" s="4">
        <v>0</v>
      </c>
    </row>
    <row r="1679" spans="2:8" x14ac:dyDescent="0.2">
      <c r="B1679" s="3" t="s">
        <v>160</v>
      </c>
      <c r="C1679" s="3" t="s">
        <v>2</v>
      </c>
      <c r="D1679" s="3" t="str">
        <f>VLOOKUP(C1679,Countries!$B$3:$C$140,2,FALSE)</f>
        <v>Europe</v>
      </c>
      <c r="E1679" s="3" t="s">
        <v>26</v>
      </c>
      <c r="F1679" s="3" t="str">
        <f>VLOOKUP(E1679,Countries!$B$3:$C$140,2,FALSE)</f>
        <v>Europe</v>
      </c>
      <c r="G1679" s="4">
        <v>4</v>
      </c>
      <c r="H1679" s="4">
        <v>0</v>
      </c>
    </row>
    <row r="1680" spans="2:8" x14ac:dyDescent="0.2">
      <c r="B1680" s="3" t="s">
        <v>160</v>
      </c>
      <c r="C1680" s="3" t="s">
        <v>2</v>
      </c>
      <c r="D1680" s="3" t="str">
        <f>VLOOKUP(C1680,Countries!$B$3:$C$140,2,FALSE)</f>
        <v>Europe</v>
      </c>
      <c r="E1680" s="3" t="s">
        <v>28</v>
      </c>
      <c r="F1680" s="3" t="str">
        <f>VLOOKUP(E1680,Countries!$B$3:$C$140,2,FALSE)</f>
        <v>Europe</v>
      </c>
      <c r="G1680" s="4">
        <v>34</v>
      </c>
      <c r="H1680" s="4">
        <v>0</v>
      </c>
    </row>
    <row r="1681" spans="2:8" x14ac:dyDescent="0.2">
      <c r="B1681" s="3" t="s">
        <v>160</v>
      </c>
      <c r="C1681" s="3" t="s">
        <v>2</v>
      </c>
      <c r="D1681" s="3" t="str">
        <f>VLOOKUP(C1681,Countries!$B$3:$C$140,2,FALSE)</f>
        <v>Europe</v>
      </c>
      <c r="E1681" s="3" t="s">
        <v>29</v>
      </c>
      <c r="F1681" s="3" t="str">
        <f>VLOOKUP(E1681,Countries!$B$3:$C$140,2,FALSE)</f>
        <v>Europe</v>
      </c>
      <c r="G1681" s="4">
        <v>2</v>
      </c>
      <c r="H1681" s="4">
        <v>0</v>
      </c>
    </row>
    <row r="1682" spans="2:8" x14ac:dyDescent="0.2">
      <c r="B1682" s="3" t="s">
        <v>160</v>
      </c>
      <c r="C1682" s="3" t="s">
        <v>2</v>
      </c>
      <c r="D1682" s="3" t="str">
        <f>VLOOKUP(C1682,Countries!$B$3:$C$140,2,FALSE)</f>
        <v>Europe</v>
      </c>
      <c r="E1682" s="3" t="s">
        <v>31</v>
      </c>
      <c r="F1682" s="3" t="str">
        <f>VLOOKUP(E1682,Countries!$B$3:$C$140,2,FALSE)</f>
        <v>Europe</v>
      </c>
      <c r="G1682" s="4">
        <v>2</v>
      </c>
      <c r="H1682" s="4">
        <v>0</v>
      </c>
    </row>
    <row r="1683" spans="2:8" x14ac:dyDescent="0.2">
      <c r="B1683" s="3" t="s">
        <v>160</v>
      </c>
      <c r="C1683" s="3" t="s">
        <v>2</v>
      </c>
      <c r="D1683" s="3" t="str">
        <f>VLOOKUP(C1683,Countries!$B$3:$C$140,2,FALSE)</f>
        <v>Europe</v>
      </c>
      <c r="E1683" s="3" t="s">
        <v>57</v>
      </c>
      <c r="F1683" s="3" t="str">
        <f>VLOOKUP(E1683,Countries!$B$3:$C$140,2,FALSE)</f>
        <v>Europe/Asia</v>
      </c>
      <c r="G1683" s="4">
        <v>2</v>
      </c>
      <c r="H1683" s="4">
        <v>0</v>
      </c>
    </row>
    <row r="1684" spans="2:8" x14ac:dyDescent="0.2">
      <c r="B1684" s="3" t="s">
        <v>160</v>
      </c>
      <c r="C1684" s="3" t="s">
        <v>2</v>
      </c>
      <c r="D1684" s="3" t="str">
        <f>VLOOKUP(C1684,Countries!$B$3:$C$140,2,FALSE)</f>
        <v>Europe</v>
      </c>
      <c r="E1684" s="3" t="s">
        <v>33</v>
      </c>
      <c r="F1684" s="3" t="str">
        <f>VLOOKUP(E1684,Countries!$B$3:$C$140,2,FALSE)</f>
        <v>North America</v>
      </c>
      <c r="G1684" s="4">
        <v>2</v>
      </c>
      <c r="H1684" s="4">
        <v>0</v>
      </c>
    </row>
    <row r="1685" spans="2:8" x14ac:dyDescent="0.2">
      <c r="B1685" s="3" t="s">
        <v>160</v>
      </c>
      <c r="C1685" s="3" t="s">
        <v>2</v>
      </c>
      <c r="D1685" s="3" t="str">
        <f>VLOOKUP(C1685,Countries!$B$3:$C$140,2,FALSE)</f>
        <v>Europe</v>
      </c>
      <c r="E1685" s="3" t="s">
        <v>85</v>
      </c>
      <c r="F1685" s="3" t="str">
        <f>VLOOKUP(E1685,Countries!$B$3:$C$140,2,FALSE)</f>
        <v>Asia</v>
      </c>
      <c r="G1685" s="4">
        <v>2</v>
      </c>
      <c r="H1685" s="4">
        <v>0</v>
      </c>
    </row>
    <row r="1686" spans="2:8" x14ac:dyDescent="0.2">
      <c r="B1686" s="3" t="s">
        <v>160</v>
      </c>
      <c r="C1686" s="3" t="s">
        <v>34</v>
      </c>
      <c r="D1686" s="3" t="str">
        <f>VLOOKUP(C1686,Countries!$B$3:$C$140,2,FALSE)</f>
        <v>Asia</v>
      </c>
      <c r="E1686" s="3" t="s">
        <v>59</v>
      </c>
      <c r="F1686" s="3" t="str">
        <f>VLOOKUP(E1686,Countries!$B$3:$C$140,2,FALSE)</f>
        <v>Europe</v>
      </c>
      <c r="G1686" s="4">
        <v>2</v>
      </c>
      <c r="H1686" s="4">
        <v>0</v>
      </c>
    </row>
    <row r="1687" spans="2:8" x14ac:dyDescent="0.2">
      <c r="B1687" s="3" t="s">
        <v>160</v>
      </c>
      <c r="C1687" s="3" t="s">
        <v>34</v>
      </c>
      <c r="D1687" s="3" t="str">
        <f>VLOOKUP(C1687,Countries!$B$3:$C$140,2,FALSE)</f>
        <v>Asia</v>
      </c>
      <c r="E1687" s="3" t="s">
        <v>7</v>
      </c>
      <c r="F1687" s="3" t="str">
        <f>VLOOKUP(E1687,Countries!$B$3:$C$140,2,FALSE)</f>
        <v>South America</v>
      </c>
      <c r="G1687" s="4">
        <v>2</v>
      </c>
      <c r="H1687" s="4">
        <v>0</v>
      </c>
    </row>
    <row r="1688" spans="2:8" x14ac:dyDescent="0.2">
      <c r="B1688" s="3" t="s">
        <v>160</v>
      </c>
      <c r="C1688" s="3" t="s">
        <v>34</v>
      </c>
      <c r="D1688" s="3" t="str">
        <f>VLOOKUP(C1688,Countries!$B$3:$C$140,2,FALSE)</f>
        <v>Asia</v>
      </c>
      <c r="E1688" s="3" t="s">
        <v>36</v>
      </c>
      <c r="F1688" s="3" t="str">
        <f>VLOOKUP(E1688,Countries!$B$3:$C$140,2,FALSE)</f>
        <v>Europe</v>
      </c>
      <c r="G1688" s="4">
        <v>4</v>
      </c>
      <c r="H1688" s="4">
        <v>0</v>
      </c>
    </row>
    <row r="1689" spans="2:8" x14ac:dyDescent="0.2">
      <c r="B1689" s="3" t="s">
        <v>160</v>
      </c>
      <c r="C1689" s="3" t="s">
        <v>34</v>
      </c>
      <c r="D1689" s="3" t="str">
        <f>VLOOKUP(C1689,Countries!$B$3:$C$140,2,FALSE)</f>
        <v>Asia</v>
      </c>
      <c r="E1689" s="3" t="s">
        <v>37</v>
      </c>
      <c r="F1689" s="3" t="str">
        <f>VLOOKUP(E1689,Countries!$B$3:$C$140,2,FALSE)</f>
        <v>Africa</v>
      </c>
      <c r="G1689" s="4">
        <v>4</v>
      </c>
      <c r="H1689" s="4">
        <v>0</v>
      </c>
    </row>
    <row r="1690" spans="2:8" x14ac:dyDescent="0.2">
      <c r="B1690" s="3" t="s">
        <v>160</v>
      </c>
      <c r="C1690" s="3" t="s">
        <v>34</v>
      </c>
      <c r="D1690" s="3" t="str">
        <f>VLOOKUP(C1690,Countries!$B$3:$C$140,2,FALSE)</f>
        <v>Asia</v>
      </c>
      <c r="E1690" s="3" t="s">
        <v>11</v>
      </c>
      <c r="F1690" s="3" t="str">
        <f>VLOOKUP(E1690,Countries!$B$3:$C$140,2,FALSE)</f>
        <v>Europe</v>
      </c>
      <c r="G1690" s="4">
        <v>2</v>
      </c>
      <c r="H1690" s="4">
        <v>0</v>
      </c>
    </row>
    <row r="1691" spans="2:8" x14ac:dyDescent="0.2">
      <c r="B1691" s="3" t="s">
        <v>160</v>
      </c>
      <c r="C1691" s="3" t="s">
        <v>34</v>
      </c>
      <c r="D1691" s="3" t="str">
        <f>VLOOKUP(C1691,Countries!$B$3:$C$140,2,FALSE)</f>
        <v>Asia</v>
      </c>
      <c r="E1691" s="3" t="s">
        <v>39</v>
      </c>
      <c r="F1691" s="3" t="str">
        <f>VLOOKUP(E1691,Countries!$B$3:$C$140,2,FALSE)</f>
        <v>Europe/Asia</v>
      </c>
      <c r="G1691" s="4">
        <v>8</v>
      </c>
      <c r="H1691" s="4">
        <v>0</v>
      </c>
    </row>
    <row r="1692" spans="2:8" x14ac:dyDescent="0.2">
      <c r="B1692" s="3" t="s">
        <v>160</v>
      </c>
      <c r="C1692" s="3" t="s">
        <v>34</v>
      </c>
      <c r="D1692" s="3" t="str">
        <f>VLOOKUP(C1692,Countries!$B$3:$C$140,2,FALSE)</f>
        <v>Asia</v>
      </c>
      <c r="E1692" s="3" t="s">
        <v>13</v>
      </c>
      <c r="F1692" s="3" t="str">
        <f>VLOOKUP(E1692,Countries!$B$3:$C$140,2,FALSE)</f>
        <v>Europe</v>
      </c>
      <c r="G1692" s="4">
        <v>2</v>
      </c>
      <c r="H1692" s="4">
        <v>0</v>
      </c>
    </row>
    <row r="1693" spans="2:8" x14ac:dyDescent="0.2">
      <c r="B1693" s="3" t="s">
        <v>160</v>
      </c>
      <c r="C1693" s="3" t="s">
        <v>34</v>
      </c>
      <c r="D1693" s="3" t="str">
        <f>VLOOKUP(C1693,Countries!$B$3:$C$140,2,FALSE)</f>
        <v>Asia</v>
      </c>
      <c r="E1693" s="3" t="s">
        <v>64</v>
      </c>
      <c r="F1693" s="3" t="str">
        <f>VLOOKUP(E1693,Countries!$B$3:$C$140,2,FALSE)</f>
        <v>Africa</v>
      </c>
      <c r="G1693" s="4">
        <v>2</v>
      </c>
      <c r="H1693" s="4">
        <v>39201.894837</v>
      </c>
    </row>
    <row r="1694" spans="2:8" x14ac:dyDescent="0.2">
      <c r="B1694" s="3" t="s">
        <v>160</v>
      </c>
      <c r="C1694" s="3" t="s">
        <v>34</v>
      </c>
      <c r="D1694" s="3" t="str">
        <f>VLOOKUP(C1694,Countries!$B$3:$C$140,2,FALSE)</f>
        <v>Asia</v>
      </c>
      <c r="E1694" s="3" t="s">
        <v>16</v>
      </c>
      <c r="F1694" s="3" t="str">
        <f>VLOOKUP(E1694,Countries!$B$3:$C$140,2,FALSE)</f>
        <v>Asia</v>
      </c>
      <c r="G1694" s="4">
        <v>10</v>
      </c>
      <c r="H1694" s="4">
        <v>0</v>
      </c>
    </row>
    <row r="1695" spans="2:8" x14ac:dyDescent="0.2">
      <c r="B1695" s="3" t="s">
        <v>160</v>
      </c>
      <c r="C1695" s="3" t="s">
        <v>34</v>
      </c>
      <c r="D1695" s="3" t="str">
        <f>VLOOKUP(C1695,Countries!$B$3:$C$140,2,FALSE)</f>
        <v>Asia</v>
      </c>
      <c r="E1695" s="3" t="s">
        <v>18</v>
      </c>
      <c r="F1695" s="3" t="str">
        <f>VLOOKUP(E1695,Countries!$B$3:$C$140,2,FALSE)</f>
        <v>Africa</v>
      </c>
      <c r="G1695" s="4">
        <v>2</v>
      </c>
      <c r="H1695" s="4">
        <v>0</v>
      </c>
    </row>
    <row r="1696" spans="2:8" x14ac:dyDescent="0.2">
      <c r="B1696" s="3" t="s">
        <v>160</v>
      </c>
      <c r="C1696" s="3" t="s">
        <v>34</v>
      </c>
      <c r="D1696" s="3" t="str">
        <f>VLOOKUP(C1696,Countries!$B$3:$C$140,2,FALSE)</f>
        <v>Asia</v>
      </c>
      <c r="E1696" s="3" t="s">
        <v>41</v>
      </c>
      <c r="F1696" s="3" t="str">
        <f>VLOOKUP(E1696,Countries!$B$3:$C$140,2,FALSE)</f>
        <v>Asia</v>
      </c>
      <c r="G1696" s="4">
        <v>2</v>
      </c>
      <c r="H1696" s="4">
        <v>0</v>
      </c>
    </row>
    <row r="1697" spans="2:8" x14ac:dyDescent="0.2">
      <c r="B1697" s="3" t="s">
        <v>160</v>
      </c>
      <c r="C1697" s="3" t="s">
        <v>34</v>
      </c>
      <c r="D1697" s="3" t="str">
        <f>VLOOKUP(C1697,Countries!$B$3:$C$140,2,FALSE)</f>
        <v>Asia</v>
      </c>
      <c r="E1697" s="3" t="s">
        <v>66</v>
      </c>
      <c r="F1697" s="3" t="str">
        <f>VLOOKUP(E1697,Countries!$B$3:$C$140,2,FALSE)</f>
        <v>Europe</v>
      </c>
      <c r="G1697" s="4">
        <v>2</v>
      </c>
      <c r="H1697" s="4">
        <v>0</v>
      </c>
    </row>
    <row r="1698" spans="2:8" x14ac:dyDescent="0.2">
      <c r="B1698" s="3" t="s">
        <v>160</v>
      </c>
      <c r="C1698" s="3" t="s">
        <v>34</v>
      </c>
      <c r="D1698" s="3" t="str">
        <f>VLOOKUP(C1698,Countries!$B$3:$C$140,2,FALSE)</f>
        <v>Asia</v>
      </c>
      <c r="E1698" s="3" t="s">
        <v>43</v>
      </c>
      <c r="F1698" s="3" t="str">
        <f>VLOOKUP(E1698,Countries!$B$3:$C$140,2,FALSE)</f>
        <v>Europe</v>
      </c>
      <c r="G1698" s="4">
        <v>2</v>
      </c>
      <c r="H1698" s="4">
        <v>0</v>
      </c>
    </row>
    <row r="1699" spans="2:8" x14ac:dyDescent="0.2">
      <c r="B1699" s="3" t="s">
        <v>160</v>
      </c>
      <c r="C1699" s="3" t="s">
        <v>34</v>
      </c>
      <c r="D1699" s="3" t="str">
        <f>VLOOKUP(C1699,Countries!$B$3:$C$140,2,FALSE)</f>
        <v>Asia</v>
      </c>
      <c r="E1699" s="3" t="s">
        <v>21</v>
      </c>
      <c r="F1699" s="3" t="str">
        <f>VLOOKUP(E1699,Countries!$B$3:$C$140,2,FALSE)</f>
        <v>Europe</v>
      </c>
      <c r="G1699" s="4">
        <v>2</v>
      </c>
      <c r="H1699" s="4">
        <v>0</v>
      </c>
    </row>
    <row r="1700" spans="2:8" x14ac:dyDescent="0.2">
      <c r="B1700" s="3" t="s">
        <v>160</v>
      </c>
      <c r="C1700" s="3" t="s">
        <v>34</v>
      </c>
      <c r="D1700" s="3" t="str">
        <f>VLOOKUP(C1700,Countries!$B$3:$C$140,2,FALSE)</f>
        <v>Asia</v>
      </c>
      <c r="E1700" s="3" t="s">
        <v>54</v>
      </c>
      <c r="F1700" s="3" t="str">
        <f>VLOOKUP(E1700,Countries!$B$3:$C$140,2,FALSE)</f>
        <v>Europe</v>
      </c>
      <c r="G1700" s="4">
        <v>2</v>
      </c>
      <c r="H1700" s="4">
        <v>0</v>
      </c>
    </row>
    <row r="1701" spans="2:8" x14ac:dyDescent="0.2">
      <c r="B1701" s="3" t="s">
        <v>160</v>
      </c>
      <c r="C1701" s="3" t="s">
        <v>34</v>
      </c>
      <c r="D1701" s="3" t="str">
        <f>VLOOKUP(C1701,Countries!$B$3:$C$140,2,FALSE)</f>
        <v>Asia</v>
      </c>
      <c r="E1701" s="3" t="s">
        <v>26</v>
      </c>
      <c r="F1701" s="3" t="str">
        <f>VLOOKUP(E1701,Countries!$B$3:$C$140,2,FALSE)</f>
        <v>Europe</v>
      </c>
      <c r="G1701" s="4">
        <v>2</v>
      </c>
      <c r="H1701" s="4">
        <v>0</v>
      </c>
    </row>
    <row r="1702" spans="2:8" x14ac:dyDescent="0.2">
      <c r="B1702" s="3" t="s">
        <v>160</v>
      </c>
      <c r="C1702" s="3" t="s">
        <v>34</v>
      </c>
      <c r="D1702" s="3" t="str">
        <f>VLOOKUP(C1702,Countries!$B$3:$C$140,2,FALSE)</f>
        <v>Asia</v>
      </c>
      <c r="E1702" s="3" t="s">
        <v>46</v>
      </c>
      <c r="F1702" s="3" t="str">
        <f>VLOOKUP(E1702,Countries!$B$3:$C$140,2,FALSE)</f>
        <v>Europe/Asia</v>
      </c>
      <c r="G1702" s="4">
        <v>26</v>
      </c>
      <c r="H1702" s="4">
        <v>0</v>
      </c>
    </row>
    <row r="1703" spans="2:8" x14ac:dyDescent="0.2">
      <c r="B1703" s="3" t="s">
        <v>160</v>
      </c>
      <c r="C1703" s="3" t="s">
        <v>34</v>
      </c>
      <c r="D1703" s="3" t="str">
        <f>VLOOKUP(C1703,Countries!$B$3:$C$140,2,FALSE)</f>
        <v>Asia</v>
      </c>
      <c r="E1703" s="3" t="s">
        <v>56</v>
      </c>
      <c r="F1703" s="3" t="str">
        <f>VLOOKUP(E1703,Countries!$B$3:$C$140,2,FALSE)</f>
        <v>Europe</v>
      </c>
      <c r="G1703" s="4">
        <v>6</v>
      </c>
      <c r="H1703" s="4">
        <v>0</v>
      </c>
    </row>
    <row r="1704" spans="2:8" x14ac:dyDescent="0.2">
      <c r="B1704" s="3" t="s">
        <v>160</v>
      </c>
      <c r="C1704" s="3" t="s">
        <v>34</v>
      </c>
      <c r="D1704" s="3" t="str">
        <f>VLOOKUP(C1704,Countries!$B$3:$C$140,2,FALSE)</f>
        <v>Asia</v>
      </c>
      <c r="E1704" s="3" t="s">
        <v>32</v>
      </c>
      <c r="F1704" s="3" t="str">
        <f>VLOOKUP(E1704,Countries!$B$3:$C$140,2,FALSE)</f>
        <v>Europe</v>
      </c>
      <c r="G1704" s="4">
        <v>8</v>
      </c>
      <c r="H1704" s="4">
        <v>6000</v>
      </c>
    </row>
    <row r="1705" spans="2:8" x14ac:dyDescent="0.2">
      <c r="B1705" s="3" t="s">
        <v>160</v>
      </c>
      <c r="C1705" s="3" t="s">
        <v>3</v>
      </c>
      <c r="D1705" s="3" t="str">
        <f>VLOOKUP(C1705,Countries!$B$3:$C$140,2,FALSE)</f>
        <v>Europe</v>
      </c>
      <c r="E1705" s="3" t="s">
        <v>35</v>
      </c>
      <c r="F1705" s="3" t="str">
        <f>VLOOKUP(E1705,Countries!$B$3:$C$140,2,FALSE)</f>
        <v>Europe</v>
      </c>
      <c r="G1705" s="4">
        <v>2</v>
      </c>
      <c r="H1705" s="4">
        <v>2421498.5670600003</v>
      </c>
    </row>
    <row r="1706" spans="2:8" x14ac:dyDescent="0.2">
      <c r="B1706" s="3" t="s">
        <v>160</v>
      </c>
      <c r="C1706" s="3" t="s">
        <v>3</v>
      </c>
      <c r="D1706" s="3" t="str">
        <f>VLOOKUP(C1706,Countries!$B$3:$C$140,2,FALSE)</f>
        <v>Europe</v>
      </c>
      <c r="E1706" s="3" t="s">
        <v>6</v>
      </c>
      <c r="F1706" s="3" t="str">
        <f>VLOOKUP(E1706,Countries!$B$3:$C$140,2,FALSE)</f>
        <v>Europe</v>
      </c>
      <c r="G1706" s="4">
        <v>2</v>
      </c>
      <c r="H1706" s="4">
        <v>0</v>
      </c>
    </row>
    <row r="1707" spans="2:8" x14ac:dyDescent="0.2">
      <c r="B1707" s="3" t="s">
        <v>160</v>
      </c>
      <c r="C1707" s="3" t="s">
        <v>3</v>
      </c>
      <c r="D1707" s="3" t="str">
        <f>VLOOKUP(C1707,Countries!$B$3:$C$140,2,FALSE)</f>
        <v>Europe</v>
      </c>
      <c r="E1707" s="3" t="s">
        <v>7</v>
      </c>
      <c r="F1707" s="3" t="str">
        <f>VLOOKUP(E1707,Countries!$B$3:$C$140,2,FALSE)</f>
        <v>South America</v>
      </c>
      <c r="G1707" s="4">
        <v>14</v>
      </c>
      <c r="H1707" s="4">
        <v>80716.618902000002</v>
      </c>
    </row>
    <row r="1708" spans="2:8" x14ac:dyDescent="0.2">
      <c r="B1708" s="3" t="s">
        <v>160</v>
      </c>
      <c r="C1708" s="3" t="s">
        <v>3</v>
      </c>
      <c r="D1708" s="3" t="str">
        <f>VLOOKUP(C1708,Countries!$B$3:$C$140,2,FALSE)</f>
        <v>Europe</v>
      </c>
      <c r="E1708" s="3" t="s">
        <v>37</v>
      </c>
      <c r="F1708" s="3" t="str">
        <f>VLOOKUP(E1708,Countries!$B$3:$C$140,2,FALSE)</f>
        <v>Africa</v>
      </c>
      <c r="G1708" s="4">
        <v>2</v>
      </c>
      <c r="H1708" s="4">
        <v>605374.64176500007</v>
      </c>
    </row>
    <row r="1709" spans="2:8" x14ac:dyDescent="0.2">
      <c r="B1709" s="3" t="s">
        <v>160</v>
      </c>
      <c r="C1709" s="3" t="s">
        <v>3</v>
      </c>
      <c r="D1709" s="3" t="str">
        <f>VLOOKUP(C1709,Countries!$B$3:$C$140,2,FALSE)</f>
        <v>Europe</v>
      </c>
      <c r="E1709" s="3" t="s">
        <v>9</v>
      </c>
      <c r="F1709" s="3" t="str">
        <f>VLOOKUP(E1709,Countries!$B$3:$C$140,2,FALSE)</f>
        <v>Europe</v>
      </c>
      <c r="G1709" s="4">
        <v>2</v>
      </c>
      <c r="H1709" s="4">
        <v>0</v>
      </c>
    </row>
    <row r="1710" spans="2:8" x14ac:dyDescent="0.2">
      <c r="B1710" s="3" t="s">
        <v>160</v>
      </c>
      <c r="C1710" s="3" t="s">
        <v>3</v>
      </c>
      <c r="D1710" s="3" t="str">
        <f>VLOOKUP(C1710,Countries!$B$3:$C$140,2,FALSE)</f>
        <v>Europe</v>
      </c>
      <c r="E1710" s="3" t="s">
        <v>10</v>
      </c>
      <c r="F1710" s="3" t="str">
        <f>VLOOKUP(E1710,Countries!$B$3:$C$140,2,FALSE)</f>
        <v>Europe</v>
      </c>
      <c r="G1710" s="4">
        <v>2</v>
      </c>
      <c r="H1710" s="4">
        <v>0</v>
      </c>
    </row>
    <row r="1711" spans="2:8" x14ac:dyDescent="0.2">
      <c r="B1711" s="3" t="s">
        <v>160</v>
      </c>
      <c r="C1711" s="3" t="s">
        <v>3</v>
      </c>
      <c r="D1711" s="3" t="str">
        <f>VLOOKUP(C1711,Countries!$B$3:$C$140,2,FALSE)</f>
        <v>Europe</v>
      </c>
      <c r="E1711" s="3" t="s">
        <v>50</v>
      </c>
      <c r="F1711" s="3" t="str">
        <f>VLOOKUP(E1711,Countries!$B$3:$C$140,2,FALSE)</f>
        <v>Europe</v>
      </c>
      <c r="G1711" s="4">
        <v>2</v>
      </c>
      <c r="H1711" s="4">
        <v>0</v>
      </c>
    </row>
    <row r="1712" spans="2:8" x14ac:dyDescent="0.2">
      <c r="B1712" s="3" t="s">
        <v>160</v>
      </c>
      <c r="C1712" s="3" t="s">
        <v>3</v>
      </c>
      <c r="D1712" s="3" t="str">
        <f>VLOOKUP(C1712,Countries!$B$3:$C$140,2,FALSE)</f>
        <v>Europe</v>
      </c>
      <c r="E1712" s="3" t="s">
        <v>11</v>
      </c>
      <c r="F1712" s="3" t="str">
        <f>VLOOKUP(E1712,Countries!$B$3:$C$140,2,FALSE)</f>
        <v>Europe</v>
      </c>
      <c r="G1712" s="4">
        <v>18</v>
      </c>
      <c r="H1712" s="4">
        <v>0</v>
      </c>
    </row>
    <row r="1713" spans="2:8" x14ac:dyDescent="0.2">
      <c r="B1713" s="3" t="s">
        <v>160</v>
      </c>
      <c r="C1713" s="3" t="s">
        <v>3</v>
      </c>
      <c r="D1713" s="3" t="str">
        <f>VLOOKUP(C1713,Countries!$B$3:$C$140,2,FALSE)</f>
        <v>Europe</v>
      </c>
      <c r="E1713" s="3" t="s">
        <v>12</v>
      </c>
      <c r="F1713" s="3" t="str">
        <f>VLOOKUP(E1713,Countries!$B$3:$C$140,2,FALSE)</f>
        <v>Europe</v>
      </c>
      <c r="G1713" s="4">
        <v>4</v>
      </c>
      <c r="H1713" s="4">
        <v>17798275.59612</v>
      </c>
    </row>
    <row r="1714" spans="2:8" x14ac:dyDescent="0.2">
      <c r="B1714" s="3" t="s">
        <v>160</v>
      </c>
      <c r="C1714" s="3" t="s">
        <v>3</v>
      </c>
      <c r="D1714" s="3" t="str">
        <f>VLOOKUP(C1714,Countries!$B$3:$C$140,2,FALSE)</f>
        <v>Europe</v>
      </c>
      <c r="E1714" s="3" t="s">
        <v>13</v>
      </c>
      <c r="F1714" s="3" t="str">
        <f>VLOOKUP(E1714,Countries!$B$3:$C$140,2,FALSE)</f>
        <v>Europe</v>
      </c>
      <c r="G1714" s="4">
        <v>40</v>
      </c>
      <c r="H1714" s="4">
        <v>35693211.744939901</v>
      </c>
    </row>
    <row r="1715" spans="2:8" x14ac:dyDescent="0.2">
      <c r="B1715" s="3" t="s">
        <v>160</v>
      </c>
      <c r="C1715" s="3" t="s">
        <v>3</v>
      </c>
      <c r="D1715" s="3" t="str">
        <f>VLOOKUP(C1715,Countries!$B$3:$C$140,2,FALSE)</f>
        <v>Europe</v>
      </c>
      <c r="E1715" s="3" t="s">
        <v>14</v>
      </c>
      <c r="F1715" s="3" t="str">
        <f>VLOOKUP(E1715,Countries!$B$3:$C$140,2,FALSE)</f>
        <v>Europe</v>
      </c>
      <c r="G1715" s="4">
        <v>6</v>
      </c>
      <c r="H1715" s="4">
        <v>76680.787956899992</v>
      </c>
    </row>
    <row r="1716" spans="2:8" x14ac:dyDescent="0.2">
      <c r="B1716" s="3" t="s">
        <v>160</v>
      </c>
      <c r="C1716" s="3" t="s">
        <v>3</v>
      </c>
      <c r="D1716" s="3" t="str">
        <f>VLOOKUP(C1716,Countries!$B$3:$C$140,2,FALSE)</f>
        <v>Europe</v>
      </c>
      <c r="E1716" s="3" t="s">
        <v>15</v>
      </c>
      <c r="F1716" s="3" t="str">
        <f>VLOOKUP(E1716,Countries!$B$3:$C$140,2,FALSE)</f>
        <v>Europe</v>
      </c>
      <c r="G1716" s="4">
        <v>4</v>
      </c>
      <c r="H1716" s="4">
        <v>12107.4928353</v>
      </c>
    </row>
    <row r="1717" spans="2:8" x14ac:dyDescent="0.2">
      <c r="B1717" s="3" t="s">
        <v>160</v>
      </c>
      <c r="C1717" s="3" t="s">
        <v>3</v>
      </c>
      <c r="D1717" s="3" t="str">
        <f>VLOOKUP(C1717,Countries!$B$3:$C$140,2,FALSE)</f>
        <v>Europe</v>
      </c>
      <c r="E1717" s="3" t="s">
        <v>16</v>
      </c>
      <c r="F1717" s="3" t="str">
        <f>VLOOKUP(E1717,Countries!$B$3:$C$140,2,FALSE)</f>
        <v>Asia</v>
      </c>
      <c r="G1717" s="4">
        <v>2</v>
      </c>
      <c r="H1717" s="4">
        <v>0</v>
      </c>
    </row>
    <row r="1718" spans="2:8" x14ac:dyDescent="0.2">
      <c r="B1718" s="3" t="s">
        <v>160</v>
      </c>
      <c r="C1718" s="3" t="s">
        <v>3</v>
      </c>
      <c r="D1718" s="3" t="str">
        <f>VLOOKUP(C1718,Countries!$B$3:$C$140,2,FALSE)</f>
        <v>Europe</v>
      </c>
      <c r="E1718" s="3" t="s">
        <v>53</v>
      </c>
      <c r="F1718" s="3" t="str">
        <f>VLOOKUP(E1718,Countries!$B$3:$C$140,2,FALSE)</f>
        <v>Europe</v>
      </c>
      <c r="G1718" s="4">
        <v>2</v>
      </c>
      <c r="H1718" s="4">
        <v>0</v>
      </c>
    </row>
    <row r="1719" spans="2:8" x14ac:dyDescent="0.2">
      <c r="B1719" s="3" t="s">
        <v>160</v>
      </c>
      <c r="C1719" s="3" t="s">
        <v>3</v>
      </c>
      <c r="D1719" s="3" t="str">
        <f>VLOOKUP(C1719,Countries!$B$3:$C$140,2,FALSE)</f>
        <v>Europe</v>
      </c>
      <c r="E1719" s="3" t="s">
        <v>44</v>
      </c>
      <c r="F1719" s="3" t="str">
        <f>VLOOKUP(E1719,Countries!$B$3:$C$140,2,FALSE)</f>
        <v>Europe</v>
      </c>
      <c r="G1719" s="4">
        <v>8</v>
      </c>
      <c r="H1719" s="4">
        <v>25425734.954130001</v>
      </c>
    </row>
    <row r="1720" spans="2:8" x14ac:dyDescent="0.2">
      <c r="B1720" s="3" t="s">
        <v>160</v>
      </c>
      <c r="C1720" s="3" t="s">
        <v>3</v>
      </c>
      <c r="D1720" s="3" t="str">
        <f>VLOOKUP(C1720,Countries!$B$3:$C$140,2,FALSE)</f>
        <v>Europe</v>
      </c>
      <c r="E1720" s="3" t="s">
        <v>46</v>
      </c>
      <c r="F1720" s="3" t="str">
        <f>VLOOKUP(E1720,Countries!$B$3:$C$140,2,FALSE)</f>
        <v>Europe/Asia</v>
      </c>
      <c r="G1720" s="4">
        <v>2</v>
      </c>
      <c r="H1720" s="4">
        <v>0</v>
      </c>
    </row>
    <row r="1721" spans="2:8" x14ac:dyDescent="0.2">
      <c r="B1721" s="3" t="s">
        <v>160</v>
      </c>
      <c r="C1721" s="3" t="s">
        <v>3</v>
      </c>
      <c r="D1721" s="3" t="str">
        <f>VLOOKUP(C1721,Countries!$B$3:$C$140,2,FALSE)</f>
        <v>Europe</v>
      </c>
      <c r="E1721" s="3" t="s">
        <v>55</v>
      </c>
      <c r="F1721" s="3" t="str">
        <f>VLOOKUP(E1721,Countries!$B$3:$C$140,2,FALSE)</f>
        <v>Europe</v>
      </c>
      <c r="G1721" s="4">
        <v>2</v>
      </c>
      <c r="H1721" s="4">
        <v>0</v>
      </c>
    </row>
    <row r="1722" spans="2:8" x14ac:dyDescent="0.2">
      <c r="B1722" s="3" t="s">
        <v>160</v>
      </c>
      <c r="C1722" s="3" t="s">
        <v>3</v>
      </c>
      <c r="D1722" s="3" t="str">
        <f>VLOOKUP(C1722,Countries!$B$3:$C$140,2,FALSE)</f>
        <v>Europe</v>
      </c>
      <c r="E1722" s="3" t="s">
        <v>98</v>
      </c>
      <c r="F1722" s="3" t="str">
        <f>VLOOKUP(E1722,Countries!$B$3:$C$140,2,FALSE)</f>
        <v>North America</v>
      </c>
      <c r="G1722" s="4">
        <v>2</v>
      </c>
      <c r="H1722" s="4">
        <v>270000</v>
      </c>
    </row>
    <row r="1723" spans="2:8" x14ac:dyDescent="0.2">
      <c r="B1723" s="3" t="s">
        <v>160</v>
      </c>
      <c r="C1723" s="3" t="s">
        <v>3</v>
      </c>
      <c r="D1723" s="3" t="str">
        <f>VLOOKUP(C1723,Countries!$B$3:$C$140,2,FALSE)</f>
        <v>Europe</v>
      </c>
      <c r="E1723" s="3" t="s">
        <v>28</v>
      </c>
      <c r="F1723" s="3" t="str">
        <f>VLOOKUP(E1723,Countries!$B$3:$C$140,2,FALSE)</f>
        <v>Europe</v>
      </c>
      <c r="G1723" s="4">
        <v>2</v>
      </c>
      <c r="H1723" s="4">
        <v>0</v>
      </c>
    </row>
    <row r="1724" spans="2:8" x14ac:dyDescent="0.2">
      <c r="B1724" s="3" t="s">
        <v>160</v>
      </c>
      <c r="C1724" s="3" t="s">
        <v>3</v>
      </c>
      <c r="D1724" s="3" t="str">
        <f>VLOOKUP(C1724,Countries!$B$3:$C$140,2,FALSE)</f>
        <v>Europe</v>
      </c>
      <c r="E1724" s="3" t="s">
        <v>29</v>
      </c>
      <c r="F1724" s="3" t="str">
        <f>VLOOKUP(E1724,Countries!$B$3:$C$140,2,FALSE)</f>
        <v>Europe</v>
      </c>
      <c r="G1724" s="4">
        <v>4</v>
      </c>
      <c r="H1724" s="4">
        <v>1210749.2835300001</v>
      </c>
    </row>
    <row r="1725" spans="2:8" x14ac:dyDescent="0.2">
      <c r="B1725" s="3" t="s">
        <v>160</v>
      </c>
      <c r="C1725" s="3" t="s">
        <v>3</v>
      </c>
      <c r="D1725" s="3" t="str">
        <f>VLOOKUP(C1725,Countries!$B$3:$C$140,2,FALSE)</f>
        <v>Europe</v>
      </c>
      <c r="E1725" s="3" t="s">
        <v>56</v>
      </c>
      <c r="F1725" s="3" t="str">
        <f>VLOOKUP(E1725,Countries!$B$3:$C$140,2,FALSE)</f>
        <v>Europe</v>
      </c>
      <c r="G1725" s="4">
        <v>2</v>
      </c>
      <c r="H1725" s="4">
        <v>322866.47560800001</v>
      </c>
    </row>
    <row r="1726" spans="2:8" x14ac:dyDescent="0.2">
      <c r="B1726" s="3" t="s">
        <v>160</v>
      </c>
      <c r="C1726" s="3" t="s">
        <v>3</v>
      </c>
      <c r="D1726" s="3" t="str">
        <f>VLOOKUP(C1726,Countries!$B$3:$C$140,2,FALSE)</f>
        <v>Europe</v>
      </c>
      <c r="E1726" s="3" t="s">
        <v>30</v>
      </c>
      <c r="F1726" s="3" t="str">
        <f>VLOOKUP(E1726,Countries!$B$3:$C$140,2,FALSE)</f>
        <v>Europe</v>
      </c>
      <c r="G1726" s="4">
        <v>6</v>
      </c>
      <c r="H1726" s="4">
        <v>3329560.5297075002</v>
      </c>
    </row>
    <row r="1727" spans="2:8" x14ac:dyDescent="0.2">
      <c r="B1727" s="3" t="s">
        <v>160</v>
      </c>
      <c r="C1727" s="3" t="s">
        <v>3</v>
      </c>
      <c r="D1727" s="3" t="str">
        <f>VLOOKUP(C1727,Countries!$B$3:$C$140,2,FALSE)</f>
        <v>Europe</v>
      </c>
      <c r="E1727" s="3" t="s">
        <v>57</v>
      </c>
      <c r="F1727" s="3" t="str">
        <f>VLOOKUP(E1727,Countries!$B$3:$C$140,2,FALSE)</f>
        <v>Europe/Asia</v>
      </c>
      <c r="G1727" s="4">
        <v>4</v>
      </c>
      <c r="H1727" s="4">
        <v>0</v>
      </c>
    </row>
    <row r="1728" spans="2:8" x14ac:dyDescent="0.2">
      <c r="B1728" s="3" t="s">
        <v>160</v>
      </c>
      <c r="C1728" s="3" t="s">
        <v>3</v>
      </c>
      <c r="D1728" s="3" t="str">
        <f>VLOOKUP(C1728,Countries!$B$3:$C$140,2,FALSE)</f>
        <v>Europe</v>
      </c>
      <c r="E1728" s="3" t="s">
        <v>32</v>
      </c>
      <c r="F1728" s="3" t="str">
        <f>VLOOKUP(E1728,Countries!$B$3:$C$140,2,FALSE)</f>
        <v>Europe</v>
      </c>
      <c r="G1728" s="4">
        <v>2</v>
      </c>
      <c r="H1728" s="4">
        <v>0</v>
      </c>
    </row>
    <row r="1729" spans="2:8" x14ac:dyDescent="0.2">
      <c r="B1729" s="3" t="s">
        <v>160</v>
      </c>
      <c r="C1729" s="3" t="s">
        <v>3</v>
      </c>
      <c r="D1729" s="3" t="str">
        <f>VLOOKUP(C1729,Countries!$B$3:$C$140,2,FALSE)</f>
        <v>Europe</v>
      </c>
      <c r="E1729" s="3" t="s">
        <v>58</v>
      </c>
      <c r="F1729" s="3" t="str">
        <f>VLOOKUP(E1729,Countries!$B$3:$C$140,2,FALSE)</f>
        <v>South America</v>
      </c>
      <c r="G1729" s="4">
        <v>2</v>
      </c>
      <c r="H1729" s="4">
        <v>0</v>
      </c>
    </row>
    <row r="1730" spans="2:8" x14ac:dyDescent="0.2">
      <c r="B1730" s="3" t="s">
        <v>160</v>
      </c>
      <c r="C1730" s="3" t="s">
        <v>3</v>
      </c>
      <c r="D1730" s="3" t="str">
        <f>VLOOKUP(C1730,Countries!$B$3:$C$140,2,FALSE)</f>
        <v>Europe</v>
      </c>
      <c r="E1730" s="3" t="s">
        <v>33</v>
      </c>
      <c r="F1730" s="3" t="str">
        <f>VLOOKUP(E1730,Countries!$B$3:$C$140,2,FALSE)</f>
        <v>North America</v>
      </c>
      <c r="G1730" s="4">
        <v>4</v>
      </c>
      <c r="H1730" s="4">
        <v>0</v>
      </c>
    </row>
    <row r="1731" spans="2:8" x14ac:dyDescent="0.2">
      <c r="B1731" s="3" t="s">
        <v>160</v>
      </c>
      <c r="C1731" s="3" t="s">
        <v>4</v>
      </c>
      <c r="D1731" s="3" t="str">
        <f>VLOOKUP(C1731,Countries!$B$3:$C$140,2,FALSE)</f>
        <v>Asia</v>
      </c>
      <c r="E1731" s="3" t="s">
        <v>3</v>
      </c>
      <c r="F1731" s="3" t="str">
        <f>VLOOKUP(E1731,Countries!$B$3:$C$140,2,FALSE)</f>
        <v>Europe</v>
      </c>
      <c r="G1731" s="4">
        <v>2</v>
      </c>
      <c r="H1731" s="4">
        <v>0</v>
      </c>
    </row>
    <row r="1732" spans="2:8" x14ac:dyDescent="0.2">
      <c r="B1732" s="3" t="s">
        <v>160</v>
      </c>
      <c r="C1732" s="3" t="s">
        <v>4</v>
      </c>
      <c r="D1732" s="3" t="str">
        <f>VLOOKUP(C1732,Countries!$B$3:$C$140,2,FALSE)</f>
        <v>Asia</v>
      </c>
      <c r="E1732" s="3" t="s">
        <v>35</v>
      </c>
      <c r="F1732" s="3" t="str">
        <f>VLOOKUP(E1732,Countries!$B$3:$C$140,2,FALSE)</f>
        <v>Europe</v>
      </c>
      <c r="G1732" s="4">
        <v>6</v>
      </c>
      <c r="H1732" s="4">
        <v>0</v>
      </c>
    </row>
    <row r="1733" spans="2:8" x14ac:dyDescent="0.2">
      <c r="B1733" s="3" t="s">
        <v>160</v>
      </c>
      <c r="C1733" s="3" t="s">
        <v>4</v>
      </c>
      <c r="D1733" s="3" t="str">
        <f>VLOOKUP(C1733,Countries!$B$3:$C$140,2,FALSE)</f>
        <v>Asia</v>
      </c>
      <c r="E1733" s="3" t="s">
        <v>6</v>
      </c>
      <c r="F1733" s="3" t="str">
        <f>VLOOKUP(E1733,Countries!$B$3:$C$140,2,FALSE)</f>
        <v>Europe</v>
      </c>
      <c r="G1733" s="4">
        <v>6</v>
      </c>
      <c r="H1733" s="4">
        <v>0</v>
      </c>
    </row>
    <row r="1734" spans="2:8" x14ac:dyDescent="0.2">
      <c r="B1734" s="3" t="s">
        <v>160</v>
      </c>
      <c r="C1734" s="3" t="s">
        <v>4</v>
      </c>
      <c r="D1734" s="3" t="str">
        <f>VLOOKUP(C1734,Countries!$B$3:$C$140,2,FALSE)</f>
        <v>Asia</v>
      </c>
      <c r="E1734" s="3" t="s">
        <v>60</v>
      </c>
      <c r="F1734" s="3" t="str">
        <f>VLOOKUP(E1734,Countries!$B$3:$C$140,2,FALSE)</f>
        <v>South America</v>
      </c>
      <c r="G1734" s="4">
        <v>2</v>
      </c>
      <c r="H1734" s="4">
        <v>450000</v>
      </c>
    </row>
    <row r="1735" spans="2:8" x14ac:dyDescent="0.2">
      <c r="B1735" s="3" t="s">
        <v>160</v>
      </c>
      <c r="C1735" s="3" t="s">
        <v>4</v>
      </c>
      <c r="D1735" s="3" t="str">
        <f>VLOOKUP(C1735,Countries!$B$3:$C$140,2,FALSE)</f>
        <v>Asia</v>
      </c>
      <c r="E1735" s="3" t="s">
        <v>7</v>
      </c>
      <c r="F1735" s="3" t="str">
        <f>VLOOKUP(E1735,Countries!$B$3:$C$140,2,FALSE)</f>
        <v>South America</v>
      </c>
      <c r="G1735" s="4">
        <v>4</v>
      </c>
      <c r="H1735" s="4">
        <v>450000</v>
      </c>
    </row>
    <row r="1736" spans="2:8" x14ac:dyDescent="0.2">
      <c r="B1736" s="3" t="s">
        <v>160</v>
      </c>
      <c r="C1736" s="3" t="s">
        <v>4</v>
      </c>
      <c r="D1736" s="3" t="str">
        <f>VLOOKUP(C1736,Countries!$B$3:$C$140,2,FALSE)</f>
        <v>Asia</v>
      </c>
      <c r="E1736" s="3" t="s">
        <v>36</v>
      </c>
      <c r="F1736" s="3" t="str">
        <f>VLOOKUP(E1736,Countries!$B$3:$C$140,2,FALSE)</f>
        <v>Europe</v>
      </c>
      <c r="G1736" s="4">
        <v>2</v>
      </c>
      <c r="H1736" s="4">
        <v>605374.64176500007</v>
      </c>
    </row>
    <row r="1737" spans="2:8" x14ac:dyDescent="0.2">
      <c r="B1737" s="3" t="s">
        <v>160</v>
      </c>
      <c r="C1737" s="3" t="s">
        <v>4</v>
      </c>
      <c r="D1737" s="3" t="str">
        <f>VLOOKUP(C1737,Countries!$B$3:$C$140,2,FALSE)</f>
        <v>Asia</v>
      </c>
      <c r="E1737" s="3" t="s">
        <v>88</v>
      </c>
      <c r="F1737" s="3" t="str">
        <f>VLOOKUP(E1737,Countries!$B$3:$C$140,2,FALSE)</f>
        <v>South America</v>
      </c>
      <c r="G1737" s="4">
        <v>4</v>
      </c>
      <c r="H1737" s="4">
        <v>0</v>
      </c>
    </row>
    <row r="1738" spans="2:8" x14ac:dyDescent="0.2">
      <c r="B1738" s="3" t="s">
        <v>160</v>
      </c>
      <c r="C1738" s="3" t="s">
        <v>4</v>
      </c>
      <c r="D1738" s="3" t="str">
        <f>VLOOKUP(C1738,Countries!$B$3:$C$140,2,FALSE)</f>
        <v>Asia</v>
      </c>
      <c r="E1738" s="3" t="s">
        <v>89</v>
      </c>
      <c r="F1738" s="3" t="str">
        <f>VLOOKUP(E1738,Countries!$B$3:$C$140,2,FALSE)</f>
        <v>Asia</v>
      </c>
      <c r="G1738" s="4">
        <v>6</v>
      </c>
      <c r="H1738" s="4">
        <v>0</v>
      </c>
    </row>
    <row r="1739" spans="2:8" x14ac:dyDescent="0.2">
      <c r="B1739" s="3" t="s">
        <v>160</v>
      </c>
      <c r="C1739" s="3" t="s">
        <v>4</v>
      </c>
      <c r="D1739" s="3" t="str">
        <f>VLOOKUP(C1739,Countries!$B$3:$C$140,2,FALSE)</f>
        <v>Asia</v>
      </c>
      <c r="E1739" s="3" t="s">
        <v>106</v>
      </c>
      <c r="F1739" s="3" t="str">
        <f>VLOOKUP(E1739,Countries!$B$3:$C$140,2,FALSE)</f>
        <v>Africa</v>
      </c>
      <c r="G1739" s="4">
        <v>2</v>
      </c>
      <c r="H1739" s="4">
        <v>0</v>
      </c>
    </row>
    <row r="1740" spans="2:8" x14ac:dyDescent="0.2">
      <c r="B1740" s="3" t="s">
        <v>160</v>
      </c>
      <c r="C1740" s="3" t="s">
        <v>4</v>
      </c>
      <c r="D1740" s="3" t="str">
        <f>VLOOKUP(C1740,Countries!$B$3:$C$140,2,FALSE)</f>
        <v>Asia</v>
      </c>
      <c r="E1740" s="3" t="s">
        <v>9</v>
      </c>
      <c r="F1740" s="3" t="str">
        <f>VLOOKUP(E1740,Countries!$B$3:$C$140,2,FALSE)</f>
        <v>Europe</v>
      </c>
      <c r="G1740" s="4">
        <v>12</v>
      </c>
      <c r="H1740" s="4">
        <v>0</v>
      </c>
    </row>
    <row r="1741" spans="2:8" x14ac:dyDescent="0.2">
      <c r="B1741" s="3" t="s">
        <v>160</v>
      </c>
      <c r="C1741" s="3" t="s">
        <v>4</v>
      </c>
      <c r="D1741" s="3" t="str">
        <f>VLOOKUP(C1741,Countries!$B$3:$C$140,2,FALSE)</f>
        <v>Asia</v>
      </c>
      <c r="E1741" s="3" t="s">
        <v>62</v>
      </c>
      <c r="F1741" s="3" t="str">
        <f>VLOOKUP(E1741,Countries!$B$3:$C$140,2,FALSE)</f>
        <v>Asia</v>
      </c>
      <c r="G1741" s="4">
        <v>6</v>
      </c>
      <c r="H1741" s="4">
        <v>0</v>
      </c>
    </row>
    <row r="1742" spans="2:8" x14ac:dyDescent="0.2">
      <c r="B1742" s="3" t="s">
        <v>160</v>
      </c>
      <c r="C1742" s="3" t="s">
        <v>4</v>
      </c>
      <c r="D1742" s="3" t="str">
        <f>VLOOKUP(C1742,Countries!$B$3:$C$140,2,FALSE)</f>
        <v>Asia</v>
      </c>
      <c r="E1742" s="3" t="s">
        <v>49</v>
      </c>
      <c r="F1742" s="3" t="str">
        <f>VLOOKUP(E1742,Countries!$B$3:$C$140,2,FALSE)</f>
        <v>Europe</v>
      </c>
      <c r="G1742" s="4">
        <v>2</v>
      </c>
      <c r="H1742" s="4">
        <v>0</v>
      </c>
    </row>
    <row r="1743" spans="2:8" x14ac:dyDescent="0.2">
      <c r="B1743" s="3" t="s">
        <v>160</v>
      </c>
      <c r="C1743" s="3" t="s">
        <v>4</v>
      </c>
      <c r="D1743" s="3" t="str">
        <f>VLOOKUP(C1743,Countries!$B$3:$C$140,2,FALSE)</f>
        <v>Asia</v>
      </c>
      <c r="E1743" s="3" t="s">
        <v>63</v>
      </c>
      <c r="F1743" s="3" t="str">
        <f>VLOOKUP(E1743,Countries!$B$3:$C$140,2,FALSE)</f>
        <v>Africa</v>
      </c>
      <c r="G1743" s="4">
        <v>2</v>
      </c>
      <c r="H1743" s="4">
        <v>0</v>
      </c>
    </row>
    <row r="1744" spans="2:8" x14ac:dyDescent="0.2">
      <c r="B1744" s="3" t="s">
        <v>160</v>
      </c>
      <c r="C1744" s="3" t="s">
        <v>4</v>
      </c>
      <c r="D1744" s="3" t="str">
        <f>VLOOKUP(C1744,Countries!$B$3:$C$140,2,FALSE)</f>
        <v>Asia</v>
      </c>
      <c r="E1744" s="3" t="s">
        <v>11</v>
      </c>
      <c r="F1744" s="3" t="str">
        <f>VLOOKUP(E1744,Countries!$B$3:$C$140,2,FALSE)</f>
        <v>Europe</v>
      </c>
      <c r="G1744" s="4">
        <v>6</v>
      </c>
      <c r="H1744" s="4">
        <v>0</v>
      </c>
    </row>
    <row r="1745" spans="2:8" x14ac:dyDescent="0.2">
      <c r="B1745" s="3" t="s">
        <v>160</v>
      </c>
      <c r="C1745" s="3" t="s">
        <v>4</v>
      </c>
      <c r="D1745" s="3" t="str">
        <f>VLOOKUP(C1745,Countries!$B$3:$C$140,2,FALSE)</f>
        <v>Asia</v>
      </c>
      <c r="E1745" s="3" t="s">
        <v>12</v>
      </c>
      <c r="F1745" s="3" t="str">
        <f>VLOOKUP(E1745,Countries!$B$3:$C$140,2,FALSE)</f>
        <v>Europe</v>
      </c>
      <c r="G1745" s="4">
        <v>2</v>
      </c>
      <c r="H1745" s="4">
        <v>0</v>
      </c>
    </row>
    <row r="1746" spans="2:8" x14ac:dyDescent="0.2">
      <c r="B1746" s="3" t="s">
        <v>160</v>
      </c>
      <c r="C1746" s="3" t="s">
        <v>4</v>
      </c>
      <c r="D1746" s="3" t="str">
        <f>VLOOKUP(C1746,Countries!$B$3:$C$140,2,FALSE)</f>
        <v>Asia</v>
      </c>
      <c r="E1746" s="3" t="s">
        <v>39</v>
      </c>
      <c r="F1746" s="3" t="str">
        <f>VLOOKUP(E1746,Countries!$B$3:$C$140,2,FALSE)</f>
        <v>Europe/Asia</v>
      </c>
      <c r="G1746" s="4">
        <v>18</v>
      </c>
      <c r="H1746" s="4">
        <v>0</v>
      </c>
    </row>
    <row r="1747" spans="2:8" x14ac:dyDescent="0.2">
      <c r="B1747" s="3" t="s">
        <v>160</v>
      </c>
      <c r="C1747" s="3" t="s">
        <v>4</v>
      </c>
      <c r="D1747" s="3" t="str">
        <f>VLOOKUP(C1747,Countries!$B$3:$C$140,2,FALSE)</f>
        <v>Asia</v>
      </c>
      <c r="E1747" s="3" t="s">
        <v>13</v>
      </c>
      <c r="F1747" s="3" t="str">
        <f>VLOOKUP(E1747,Countries!$B$3:$C$140,2,FALSE)</f>
        <v>Europe</v>
      </c>
      <c r="G1747" s="4">
        <v>8</v>
      </c>
      <c r="H1747" s="4">
        <v>0</v>
      </c>
    </row>
    <row r="1748" spans="2:8" x14ac:dyDescent="0.2">
      <c r="B1748" s="3" t="s">
        <v>160</v>
      </c>
      <c r="C1748" s="3" t="s">
        <v>4</v>
      </c>
      <c r="D1748" s="3" t="str">
        <f>VLOOKUP(C1748,Countries!$B$3:$C$140,2,FALSE)</f>
        <v>Asia</v>
      </c>
      <c r="E1748" s="3" t="s">
        <v>14</v>
      </c>
      <c r="F1748" s="3" t="str">
        <f>VLOOKUP(E1748,Countries!$B$3:$C$140,2,FALSE)</f>
        <v>Europe</v>
      </c>
      <c r="G1748" s="4">
        <v>14</v>
      </c>
      <c r="H1748" s="4">
        <v>0</v>
      </c>
    </row>
    <row r="1749" spans="2:8" x14ac:dyDescent="0.2">
      <c r="B1749" s="3" t="s">
        <v>160</v>
      </c>
      <c r="C1749" s="3" t="s">
        <v>4</v>
      </c>
      <c r="D1749" s="3" t="str">
        <f>VLOOKUP(C1749,Countries!$B$3:$C$140,2,FALSE)</f>
        <v>Asia</v>
      </c>
      <c r="E1749" s="3" t="s">
        <v>65</v>
      </c>
      <c r="F1749" s="3" t="str">
        <f>VLOOKUP(E1749,Countries!$B$3:$C$140,2,FALSE)</f>
        <v>Asia</v>
      </c>
      <c r="G1749" s="4">
        <v>2</v>
      </c>
      <c r="H1749" s="4">
        <v>0</v>
      </c>
    </row>
    <row r="1750" spans="2:8" x14ac:dyDescent="0.2">
      <c r="B1750" s="3" t="s">
        <v>160</v>
      </c>
      <c r="C1750" s="3" t="s">
        <v>4</v>
      </c>
      <c r="D1750" s="3" t="str">
        <f>VLOOKUP(C1750,Countries!$B$3:$C$140,2,FALSE)</f>
        <v>Asia</v>
      </c>
      <c r="E1750" s="3" t="s">
        <v>15</v>
      </c>
      <c r="F1750" s="3" t="str">
        <f>VLOOKUP(E1750,Countries!$B$3:$C$140,2,FALSE)</f>
        <v>Europe</v>
      </c>
      <c r="G1750" s="4">
        <v>8</v>
      </c>
      <c r="H1750" s="4">
        <v>0</v>
      </c>
    </row>
    <row r="1751" spans="2:8" x14ac:dyDescent="0.2">
      <c r="B1751" s="3" t="s">
        <v>160</v>
      </c>
      <c r="C1751" s="3" t="s">
        <v>4</v>
      </c>
      <c r="D1751" s="3" t="str">
        <f>VLOOKUP(C1751,Countries!$B$3:$C$140,2,FALSE)</f>
        <v>Asia</v>
      </c>
      <c r="E1751" s="3" t="s">
        <v>40</v>
      </c>
      <c r="F1751" s="3" t="str">
        <f>VLOOKUP(E1751,Countries!$B$3:$C$140,2,FALSE)</f>
        <v>Asia</v>
      </c>
      <c r="G1751" s="4">
        <v>6</v>
      </c>
      <c r="H1751" s="4">
        <v>0</v>
      </c>
    </row>
    <row r="1752" spans="2:8" x14ac:dyDescent="0.2">
      <c r="B1752" s="3" t="s">
        <v>160</v>
      </c>
      <c r="C1752" s="3" t="s">
        <v>4</v>
      </c>
      <c r="D1752" s="3" t="str">
        <f>VLOOKUP(C1752,Countries!$B$3:$C$140,2,FALSE)</f>
        <v>Asia</v>
      </c>
      <c r="E1752" s="3" t="s">
        <v>117</v>
      </c>
      <c r="F1752" s="3" t="str">
        <f>VLOOKUP(E1752,Countries!$B$3:$C$140,2,FALSE)</f>
        <v>Asia</v>
      </c>
      <c r="G1752" s="4">
        <v>2</v>
      </c>
      <c r="H1752" s="4">
        <v>0</v>
      </c>
    </row>
    <row r="1753" spans="2:8" x14ac:dyDescent="0.2">
      <c r="B1753" s="3" t="s">
        <v>160</v>
      </c>
      <c r="C1753" s="3" t="s">
        <v>4</v>
      </c>
      <c r="D1753" s="3" t="str">
        <f>VLOOKUP(C1753,Countries!$B$3:$C$140,2,FALSE)</f>
        <v>Asia</v>
      </c>
      <c r="E1753" s="3" t="s">
        <v>66</v>
      </c>
      <c r="F1753" s="3" t="str">
        <f>VLOOKUP(E1753,Countries!$B$3:$C$140,2,FALSE)</f>
        <v>Europe</v>
      </c>
      <c r="G1753" s="4">
        <v>4</v>
      </c>
      <c r="H1753" s="4">
        <v>0</v>
      </c>
    </row>
    <row r="1754" spans="2:8" x14ac:dyDescent="0.2">
      <c r="B1754" s="3" t="s">
        <v>160</v>
      </c>
      <c r="C1754" s="3" t="s">
        <v>4</v>
      </c>
      <c r="D1754" s="3" t="str">
        <f>VLOOKUP(C1754,Countries!$B$3:$C$140,2,FALSE)</f>
        <v>Asia</v>
      </c>
      <c r="E1754" s="3" t="s">
        <v>52</v>
      </c>
      <c r="F1754" s="3" t="str">
        <f>VLOOKUP(E1754,Countries!$B$3:$C$140,2,FALSE)</f>
        <v>Europe</v>
      </c>
      <c r="G1754" s="4">
        <v>4</v>
      </c>
      <c r="H1754" s="4">
        <v>0</v>
      </c>
    </row>
    <row r="1755" spans="2:8" x14ac:dyDescent="0.2">
      <c r="B1755" s="3" t="s">
        <v>160</v>
      </c>
      <c r="C1755" s="3" t="s">
        <v>4</v>
      </c>
      <c r="D1755" s="3" t="str">
        <f>VLOOKUP(C1755,Countries!$B$3:$C$140,2,FALSE)</f>
        <v>Asia</v>
      </c>
      <c r="E1755" s="3" t="s">
        <v>43</v>
      </c>
      <c r="F1755" s="3" t="str">
        <f>VLOOKUP(E1755,Countries!$B$3:$C$140,2,FALSE)</f>
        <v>Europe</v>
      </c>
      <c r="G1755" s="4">
        <v>2</v>
      </c>
      <c r="H1755" s="4">
        <v>0</v>
      </c>
    </row>
    <row r="1756" spans="2:8" x14ac:dyDescent="0.2">
      <c r="B1756" s="3" t="s">
        <v>160</v>
      </c>
      <c r="C1756" s="3" t="s">
        <v>4</v>
      </c>
      <c r="D1756" s="3" t="str">
        <f>VLOOKUP(C1756,Countries!$B$3:$C$140,2,FALSE)</f>
        <v>Asia</v>
      </c>
      <c r="E1756" s="3" t="s">
        <v>21</v>
      </c>
      <c r="F1756" s="3" t="str">
        <f>VLOOKUP(E1756,Countries!$B$3:$C$140,2,FALSE)</f>
        <v>Europe</v>
      </c>
      <c r="G1756" s="4">
        <v>2</v>
      </c>
      <c r="H1756" s="4">
        <v>0</v>
      </c>
    </row>
    <row r="1757" spans="2:8" x14ac:dyDescent="0.2">
      <c r="B1757" s="3" t="s">
        <v>160</v>
      </c>
      <c r="C1757" s="3" t="s">
        <v>4</v>
      </c>
      <c r="D1757" s="3" t="str">
        <f>VLOOKUP(C1757,Countries!$B$3:$C$140,2,FALSE)</f>
        <v>Asia</v>
      </c>
      <c r="E1757" s="3" t="s">
        <v>23</v>
      </c>
      <c r="F1757" s="3" t="str">
        <f>VLOOKUP(E1757,Countries!$B$3:$C$140,2,FALSE)</f>
        <v>Europe</v>
      </c>
      <c r="G1757" s="4">
        <v>2</v>
      </c>
      <c r="H1757" s="4">
        <v>0</v>
      </c>
    </row>
    <row r="1758" spans="2:8" x14ac:dyDescent="0.2">
      <c r="B1758" s="3" t="s">
        <v>160</v>
      </c>
      <c r="C1758" s="3" t="s">
        <v>4</v>
      </c>
      <c r="D1758" s="3" t="str">
        <f>VLOOKUP(C1758,Countries!$B$3:$C$140,2,FALSE)</f>
        <v>Asia</v>
      </c>
      <c r="E1758" s="3" t="s">
        <v>79</v>
      </c>
      <c r="F1758" s="3" t="str">
        <f>VLOOKUP(E1758,Countries!$B$3:$C$140,2,FALSE)</f>
        <v>South America</v>
      </c>
      <c r="G1758" s="4">
        <v>2</v>
      </c>
      <c r="H1758" s="4">
        <v>240000</v>
      </c>
    </row>
    <row r="1759" spans="2:8" x14ac:dyDescent="0.2">
      <c r="B1759" s="3" t="s">
        <v>160</v>
      </c>
      <c r="C1759" s="3" t="s">
        <v>4</v>
      </c>
      <c r="D1759" s="3" t="str">
        <f>VLOOKUP(C1759,Countries!$B$3:$C$140,2,FALSE)</f>
        <v>Asia</v>
      </c>
      <c r="E1759" s="3" t="s">
        <v>54</v>
      </c>
      <c r="F1759" s="3" t="str">
        <f>VLOOKUP(E1759,Countries!$B$3:$C$140,2,FALSE)</f>
        <v>Europe</v>
      </c>
      <c r="G1759" s="4">
        <v>8</v>
      </c>
      <c r="H1759" s="4">
        <v>0</v>
      </c>
    </row>
    <row r="1760" spans="2:8" x14ac:dyDescent="0.2">
      <c r="B1760" s="3" t="s">
        <v>160</v>
      </c>
      <c r="C1760" s="3" t="s">
        <v>4</v>
      </c>
      <c r="D1760" s="3" t="str">
        <f>VLOOKUP(C1760,Countries!$B$3:$C$140,2,FALSE)</f>
        <v>Asia</v>
      </c>
      <c r="E1760" s="3" t="s">
        <v>25</v>
      </c>
      <c r="F1760" s="3" t="str">
        <f>VLOOKUP(E1760,Countries!$B$3:$C$140,2,FALSE)</f>
        <v>Europe</v>
      </c>
      <c r="G1760" s="4">
        <v>2</v>
      </c>
      <c r="H1760" s="4">
        <v>0</v>
      </c>
    </row>
    <row r="1761" spans="2:8" x14ac:dyDescent="0.2">
      <c r="B1761" s="3" t="s">
        <v>160</v>
      </c>
      <c r="C1761" s="3" t="s">
        <v>4</v>
      </c>
      <c r="D1761" s="3" t="str">
        <f>VLOOKUP(C1761,Countries!$B$3:$C$140,2,FALSE)</f>
        <v>Asia</v>
      </c>
      <c r="E1761" s="3" t="s">
        <v>26</v>
      </c>
      <c r="F1761" s="3" t="str">
        <f>VLOOKUP(E1761,Countries!$B$3:$C$140,2,FALSE)</f>
        <v>Europe</v>
      </c>
      <c r="G1761" s="4">
        <v>12</v>
      </c>
      <c r="H1761" s="4">
        <v>635643.37385324994</v>
      </c>
    </row>
    <row r="1762" spans="2:8" x14ac:dyDescent="0.2">
      <c r="B1762" s="3" t="s">
        <v>160</v>
      </c>
      <c r="C1762" s="3" t="s">
        <v>4</v>
      </c>
      <c r="D1762" s="3" t="str">
        <f>VLOOKUP(C1762,Countries!$B$3:$C$140,2,FALSE)</f>
        <v>Asia</v>
      </c>
      <c r="E1762" s="3" t="s">
        <v>46</v>
      </c>
      <c r="F1762" s="3" t="str">
        <f>VLOOKUP(E1762,Countries!$B$3:$C$140,2,FALSE)</f>
        <v>Europe/Asia</v>
      </c>
      <c r="G1762" s="4">
        <v>28</v>
      </c>
      <c r="H1762" s="4">
        <v>7954.6284792000006</v>
      </c>
    </row>
    <row r="1763" spans="2:8" x14ac:dyDescent="0.2">
      <c r="B1763" s="3" t="s">
        <v>160</v>
      </c>
      <c r="C1763" s="3" t="s">
        <v>4</v>
      </c>
      <c r="D1763" s="3" t="str">
        <f>VLOOKUP(C1763,Countries!$B$3:$C$140,2,FALSE)</f>
        <v>Asia</v>
      </c>
      <c r="E1763" s="3" t="s">
        <v>28</v>
      </c>
      <c r="F1763" s="3" t="str">
        <f>VLOOKUP(E1763,Countries!$B$3:$C$140,2,FALSE)</f>
        <v>Europe</v>
      </c>
      <c r="G1763" s="4">
        <v>6</v>
      </c>
      <c r="H1763" s="4">
        <v>135000</v>
      </c>
    </row>
    <row r="1764" spans="2:8" x14ac:dyDescent="0.2">
      <c r="B1764" s="3" t="s">
        <v>160</v>
      </c>
      <c r="C1764" s="3" t="s">
        <v>4</v>
      </c>
      <c r="D1764" s="3" t="str">
        <f>VLOOKUP(C1764,Countries!$B$3:$C$140,2,FALSE)</f>
        <v>Asia</v>
      </c>
      <c r="E1764" s="3" t="s">
        <v>29</v>
      </c>
      <c r="F1764" s="3" t="str">
        <f>VLOOKUP(E1764,Countries!$B$3:$C$140,2,FALSE)</f>
        <v>Europe</v>
      </c>
      <c r="G1764" s="4">
        <v>4</v>
      </c>
      <c r="H1764" s="4">
        <v>0</v>
      </c>
    </row>
    <row r="1765" spans="2:8" x14ac:dyDescent="0.2">
      <c r="B1765" s="3" t="s">
        <v>160</v>
      </c>
      <c r="C1765" s="3" t="s">
        <v>4</v>
      </c>
      <c r="D1765" s="3" t="str">
        <f>VLOOKUP(C1765,Countries!$B$3:$C$140,2,FALSE)</f>
        <v>Asia</v>
      </c>
      <c r="E1765" s="3" t="s">
        <v>56</v>
      </c>
      <c r="F1765" s="3" t="str">
        <f>VLOOKUP(E1765,Countries!$B$3:$C$140,2,FALSE)</f>
        <v>Europe</v>
      </c>
      <c r="G1765" s="4">
        <v>2</v>
      </c>
      <c r="H1765" s="4">
        <v>0</v>
      </c>
    </row>
    <row r="1766" spans="2:8" x14ac:dyDescent="0.2">
      <c r="B1766" s="3" t="s">
        <v>160</v>
      </c>
      <c r="C1766" s="3" t="s">
        <v>4</v>
      </c>
      <c r="D1766" s="3" t="str">
        <f>VLOOKUP(C1766,Countries!$B$3:$C$140,2,FALSE)</f>
        <v>Asia</v>
      </c>
      <c r="E1766" s="3" t="s">
        <v>30</v>
      </c>
      <c r="F1766" s="3" t="str">
        <f>VLOOKUP(E1766,Countries!$B$3:$C$140,2,FALSE)</f>
        <v>Europe</v>
      </c>
      <c r="G1766" s="4">
        <v>2</v>
      </c>
      <c r="H1766" s="4">
        <v>0</v>
      </c>
    </row>
    <row r="1767" spans="2:8" x14ac:dyDescent="0.2">
      <c r="B1767" s="3" t="s">
        <v>160</v>
      </c>
      <c r="C1767" s="3" t="s">
        <v>4</v>
      </c>
      <c r="D1767" s="3" t="str">
        <f>VLOOKUP(C1767,Countries!$B$3:$C$140,2,FALSE)</f>
        <v>Asia</v>
      </c>
      <c r="E1767" s="3" t="s">
        <v>135</v>
      </c>
      <c r="F1767" s="3" t="str">
        <f>VLOOKUP(E1767,Countries!$B$3:$C$140,2,FALSE)</f>
        <v>Asia</v>
      </c>
      <c r="G1767" s="4">
        <v>6</v>
      </c>
      <c r="H1767" s="4">
        <v>0</v>
      </c>
    </row>
    <row r="1768" spans="2:8" x14ac:dyDescent="0.2">
      <c r="B1768" s="3" t="s">
        <v>160</v>
      </c>
      <c r="C1768" s="3" t="s">
        <v>4</v>
      </c>
      <c r="D1768" s="3" t="str">
        <f>VLOOKUP(C1768,Countries!$B$3:$C$140,2,FALSE)</f>
        <v>Asia</v>
      </c>
      <c r="E1768" s="3" t="s">
        <v>57</v>
      </c>
      <c r="F1768" s="3" t="str">
        <f>VLOOKUP(E1768,Countries!$B$3:$C$140,2,FALSE)</f>
        <v>Europe/Asia</v>
      </c>
      <c r="G1768" s="4">
        <v>22</v>
      </c>
      <c r="H1768" s="4">
        <v>0</v>
      </c>
    </row>
    <row r="1769" spans="2:8" x14ac:dyDescent="0.2">
      <c r="B1769" s="3" t="s">
        <v>160</v>
      </c>
      <c r="C1769" s="3" t="s">
        <v>4</v>
      </c>
      <c r="D1769" s="3" t="str">
        <f>VLOOKUP(C1769,Countries!$B$3:$C$140,2,FALSE)</f>
        <v>Asia</v>
      </c>
      <c r="E1769" s="3" t="s">
        <v>105</v>
      </c>
      <c r="F1769" s="3" t="str">
        <f>VLOOKUP(E1769,Countries!$B$3:$C$140,2,FALSE)</f>
        <v>Asia</v>
      </c>
      <c r="G1769" s="4">
        <v>2</v>
      </c>
      <c r="H1769" s="4">
        <v>0</v>
      </c>
    </row>
    <row r="1770" spans="2:8" x14ac:dyDescent="0.2">
      <c r="B1770" s="3" t="s">
        <v>160</v>
      </c>
      <c r="C1770" s="3" t="s">
        <v>4</v>
      </c>
      <c r="D1770" s="3" t="str">
        <f>VLOOKUP(C1770,Countries!$B$3:$C$140,2,FALSE)</f>
        <v>Asia</v>
      </c>
      <c r="E1770" s="3" t="s">
        <v>32</v>
      </c>
      <c r="F1770" s="3" t="str">
        <f>VLOOKUP(E1770,Countries!$B$3:$C$140,2,FALSE)</f>
        <v>Europe</v>
      </c>
      <c r="G1770" s="4">
        <v>6</v>
      </c>
      <c r="H1770" s="4">
        <v>0</v>
      </c>
    </row>
    <row r="1771" spans="2:8" x14ac:dyDescent="0.2">
      <c r="B1771" s="3" t="s">
        <v>160</v>
      </c>
      <c r="C1771" s="3" t="s">
        <v>4</v>
      </c>
      <c r="D1771" s="3" t="str">
        <f>VLOOKUP(C1771,Countries!$B$3:$C$140,2,FALSE)</f>
        <v>Asia</v>
      </c>
      <c r="E1771" s="3" t="s">
        <v>33</v>
      </c>
      <c r="F1771" s="3" t="str">
        <f>VLOOKUP(E1771,Countries!$B$3:$C$140,2,FALSE)</f>
        <v>North America</v>
      </c>
      <c r="G1771" s="4">
        <v>2</v>
      </c>
      <c r="H1771" s="4">
        <v>22500</v>
      </c>
    </row>
    <row r="1772" spans="2:8" x14ac:dyDescent="0.2">
      <c r="B1772" s="3" t="s">
        <v>160</v>
      </c>
      <c r="C1772" s="3" t="s">
        <v>35</v>
      </c>
      <c r="D1772" s="3" t="str">
        <f>VLOOKUP(C1772,Countries!$B$3:$C$140,2,FALSE)</f>
        <v>Europe</v>
      </c>
      <c r="E1772" s="3" t="s">
        <v>113</v>
      </c>
      <c r="F1772" s="3" t="str">
        <f>VLOOKUP(E1772,Countries!$B$3:$C$140,2,FALSE)</f>
        <v>Africa</v>
      </c>
      <c r="G1772" s="4">
        <v>4</v>
      </c>
      <c r="H1772" s="4">
        <v>0</v>
      </c>
    </row>
    <row r="1773" spans="2:8" x14ac:dyDescent="0.2">
      <c r="B1773" s="3" t="s">
        <v>160</v>
      </c>
      <c r="C1773" s="3" t="s">
        <v>35</v>
      </c>
      <c r="D1773" s="3" t="str">
        <f>VLOOKUP(C1773,Countries!$B$3:$C$140,2,FALSE)</f>
        <v>Europe</v>
      </c>
      <c r="E1773" s="3" t="s">
        <v>69</v>
      </c>
      <c r="F1773" s="3" t="str">
        <f>VLOOKUP(E1773,Countries!$B$3:$C$140,2,FALSE)</f>
        <v>South America</v>
      </c>
      <c r="G1773" s="4">
        <v>2</v>
      </c>
      <c r="H1773" s="4">
        <v>0</v>
      </c>
    </row>
    <row r="1774" spans="2:8" x14ac:dyDescent="0.2">
      <c r="B1774" s="3" t="s">
        <v>160</v>
      </c>
      <c r="C1774" s="3" t="s">
        <v>35</v>
      </c>
      <c r="D1774" s="3" t="str">
        <f>VLOOKUP(C1774,Countries!$B$3:$C$140,2,FALSE)</f>
        <v>Europe</v>
      </c>
      <c r="E1774" s="3" t="s">
        <v>48</v>
      </c>
      <c r="F1774" s="3" t="str">
        <f>VLOOKUP(E1774,Countries!$B$3:$C$140,2,FALSE)</f>
        <v>Oceania</v>
      </c>
      <c r="G1774" s="4">
        <v>2</v>
      </c>
      <c r="H1774" s="4">
        <v>0</v>
      </c>
    </row>
    <row r="1775" spans="2:8" x14ac:dyDescent="0.2">
      <c r="B1775" s="3" t="s">
        <v>160</v>
      </c>
      <c r="C1775" s="3" t="s">
        <v>35</v>
      </c>
      <c r="D1775" s="3" t="str">
        <f>VLOOKUP(C1775,Countries!$B$3:$C$140,2,FALSE)</f>
        <v>Europe</v>
      </c>
      <c r="E1775" s="3" t="s">
        <v>3</v>
      </c>
      <c r="F1775" s="3" t="str">
        <f>VLOOKUP(E1775,Countries!$B$3:$C$140,2,FALSE)</f>
        <v>Europe</v>
      </c>
      <c r="G1775" s="4">
        <v>2</v>
      </c>
      <c r="H1775" s="4">
        <v>0</v>
      </c>
    </row>
    <row r="1776" spans="2:8" x14ac:dyDescent="0.2">
      <c r="B1776" s="3" t="s">
        <v>160</v>
      </c>
      <c r="C1776" s="3" t="s">
        <v>35</v>
      </c>
      <c r="D1776" s="3" t="str">
        <f>VLOOKUP(C1776,Countries!$B$3:$C$140,2,FALSE)</f>
        <v>Europe</v>
      </c>
      <c r="E1776" s="3" t="s">
        <v>4</v>
      </c>
      <c r="F1776" s="3" t="str">
        <f>VLOOKUP(E1776,Countries!$B$3:$C$140,2,FALSE)</f>
        <v>Asia</v>
      </c>
      <c r="G1776" s="4">
        <v>2</v>
      </c>
      <c r="H1776" s="4">
        <v>0</v>
      </c>
    </row>
    <row r="1777" spans="2:8" x14ac:dyDescent="0.2">
      <c r="B1777" s="3" t="s">
        <v>160</v>
      </c>
      <c r="C1777" s="3" t="s">
        <v>35</v>
      </c>
      <c r="D1777" s="3" t="str">
        <f>VLOOKUP(C1777,Countries!$B$3:$C$140,2,FALSE)</f>
        <v>Europe</v>
      </c>
      <c r="E1777" s="3" t="s">
        <v>59</v>
      </c>
      <c r="F1777" s="3" t="str">
        <f>VLOOKUP(E1777,Countries!$B$3:$C$140,2,FALSE)</f>
        <v>Europe</v>
      </c>
      <c r="G1777" s="4">
        <v>2</v>
      </c>
      <c r="H1777" s="4">
        <v>0</v>
      </c>
    </row>
    <row r="1778" spans="2:8" x14ac:dyDescent="0.2">
      <c r="B1778" s="3" t="s">
        <v>160</v>
      </c>
      <c r="C1778" s="3" t="s">
        <v>35</v>
      </c>
      <c r="D1778" s="3" t="str">
        <f>VLOOKUP(C1778,Countries!$B$3:$C$140,2,FALSE)</f>
        <v>Europe</v>
      </c>
      <c r="E1778" s="3" t="s">
        <v>7</v>
      </c>
      <c r="F1778" s="3" t="str">
        <f>VLOOKUP(E1778,Countries!$B$3:$C$140,2,FALSE)</f>
        <v>South America</v>
      </c>
      <c r="G1778" s="4">
        <v>8</v>
      </c>
      <c r="H1778" s="4">
        <v>0</v>
      </c>
    </row>
    <row r="1779" spans="2:8" x14ac:dyDescent="0.2">
      <c r="B1779" s="3" t="s">
        <v>160</v>
      </c>
      <c r="C1779" s="3" t="s">
        <v>35</v>
      </c>
      <c r="D1779" s="3" t="str">
        <f>VLOOKUP(C1779,Countries!$B$3:$C$140,2,FALSE)</f>
        <v>Europe</v>
      </c>
      <c r="E1779" s="3" t="s">
        <v>36</v>
      </c>
      <c r="F1779" s="3" t="str">
        <f>VLOOKUP(E1779,Countries!$B$3:$C$140,2,FALSE)</f>
        <v>Europe</v>
      </c>
      <c r="G1779" s="4">
        <v>2</v>
      </c>
      <c r="H1779" s="4">
        <v>0</v>
      </c>
    </row>
    <row r="1780" spans="2:8" x14ac:dyDescent="0.2">
      <c r="B1780" s="3" t="s">
        <v>160</v>
      </c>
      <c r="C1780" s="3" t="s">
        <v>35</v>
      </c>
      <c r="D1780" s="3" t="str">
        <f>VLOOKUP(C1780,Countries!$B$3:$C$140,2,FALSE)</f>
        <v>Europe</v>
      </c>
      <c r="E1780" s="3" t="s">
        <v>37</v>
      </c>
      <c r="F1780" s="3" t="str">
        <f>VLOOKUP(E1780,Countries!$B$3:$C$140,2,FALSE)</f>
        <v>Africa</v>
      </c>
      <c r="G1780" s="4">
        <v>4</v>
      </c>
      <c r="H1780" s="4">
        <v>148881.80356473901</v>
      </c>
    </row>
    <row r="1781" spans="2:8" x14ac:dyDescent="0.2">
      <c r="B1781" s="3" t="s">
        <v>160</v>
      </c>
      <c r="C1781" s="3" t="s">
        <v>35</v>
      </c>
      <c r="D1781" s="3" t="str">
        <f>VLOOKUP(C1781,Countries!$B$3:$C$140,2,FALSE)</f>
        <v>Europe</v>
      </c>
      <c r="E1781" s="3" t="s">
        <v>106</v>
      </c>
      <c r="F1781" s="3" t="str">
        <f>VLOOKUP(E1781,Countries!$B$3:$C$140,2,FALSE)</f>
        <v>Africa</v>
      </c>
      <c r="G1781" s="4">
        <v>6</v>
      </c>
      <c r="H1781" s="4">
        <v>0</v>
      </c>
    </row>
    <row r="1782" spans="2:8" x14ac:dyDescent="0.2">
      <c r="B1782" s="3" t="s">
        <v>160</v>
      </c>
      <c r="C1782" s="3" t="s">
        <v>35</v>
      </c>
      <c r="D1782" s="3" t="str">
        <f>VLOOKUP(C1782,Countries!$B$3:$C$140,2,FALSE)</f>
        <v>Europe</v>
      </c>
      <c r="E1782" s="3" t="s">
        <v>71</v>
      </c>
      <c r="F1782" s="3" t="str">
        <f>VLOOKUP(E1782,Countries!$B$3:$C$140,2,FALSE)</f>
        <v>Africa</v>
      </c>
      <c r="G1782" s="4">
        <v>4</v>
      </c>
      <c r="H1782" s="4">
        <v>1311645.0571575002</v>
      </c>
    </row>
    <row r="1783" spans="2:8" x14ac:dyDescent="0.2">
      <c r="B1783" s="3" t="s">
        <v>160</v>
      </c>
      <c r="C1783" s="3" t="s">
        <v>35</v>
      </c>
      <c r="D1783" s="3" t="str">
        <f>VLOOKUP(C1783,Countries!$B$3:$C$140,2,FALSE)</f>
        <v>Europe</v>
      </c>
      <c r="E1783" s="3" t="s">
        <v>61</v>
      </c>
      <c r="F1783" s="3" t="str">
        <f>VLOOKUP(E1783,Countries!$B$3:$C$140,2,FALSE)</f>
        <v>North America</v>
      </c>
      <c r="G1783" s="4">
        <v>4</v>
      </c>
      <c r="H1783" s="4">
        <v>806843.32254439197</v>
      </c>
    </row>
    <row r="1784" spans="2:8" x14ac:dyDescent="0.2">
      <c r="B1784" s="3" t="s">
        <v>160</v>
      </c>
      <c r="C1784" s="3" t="s">
        <v>35</v>
      </c>
      <c r="D1784" s="3" t="str">
        <f>VLOOKUP(C1784,Countries!$B$3:$C$140,2,FALSE)</f>
        <v>Europe</v>
      </c>
      <c r="E1784" s="3" t="s">
        <v>9</v>
      </c>
      <c r="F1784" s="3" t="str">
        <f>VLOOKUP(E1784,Countries!$B$3:$C$140,2,FALSE)</f>
        <v>Europe</v>
      </c>
      <c r="G1784" s="4">
        <v>8</v>
      </c>
      <c r="H1784" s="4">
        <v>242149.85670599999</v>
      </c>
    </row>
    <row r="1785" spans="2:8" x14ac:dyDescent="0.2">
      <c r="B1785" s="3" t="s">
        <v>160</v>
      </c>
      <c r="C1785" s="3" t="s">
        <v>35</v>
      </c>
      <c r="D1785" s="3" t="str">
        <f>VLOOKUP(C1785,Countries!$B$3:$C$140,2,FALSE)</f>
        <v>Europe</v>
      </c>
      <c r="E1785" s="3" t="s">
        <v>62</v>
      </c>
      <c r="F1785" s="3" t="str">
        <f>VLOOKUP(E1785,Countries!$B$3:$C$140,2,FALSE)</f>
        <v>Asia</v>
      </c>
      <c r="G1785" s="4">
        <v>8</v>
      </c>
      <c r="H1785" s="4">
        <v>4035830.9450999997</v>
      </c>
    </row>
    <row r="1786" spans="2:8" x14ac:dyDescent="0.2">
      <c r="B1786" s="3" t="s">
        <v>160</v>
      </c>
      <c r="C1786" s="3" t="s">
        <v>35</v>
      </c>
      <c r="D1786" s="3" t="str">
        <f>VLOOKUP(C1786,Countries!$B$3:$C$140,2,FALSE)</f>
        <v>Europe</v>
      </c>
      <c r="E1786" s="3" t="s">
        <v>10</v>
      </c>
      <c r="F1786" s="3" t="str">
        <f>VLOOKUP(E1786,Countries!$B$3:$C$140,2,FALSE)</f>
        <v>Europe</v>
      </c>
      <c r="G1786" s="4">
        <v>8</v>
      </c>
      <c r="H1786" s="4">
        <v>6986405.1437250003</v>
      </c>
    </row>
    <row r="1787" spans="2:8" x14ac:dyDescent="0.2">
      <c r="B1787" s="3" t="s">
        <v>160</v>
      </c>
      <c r="C1787" s="3" t="s">
        <v>35</v>
      </c>
      <c r="D1787" s="3" t="str">
        <f>VLOOKUP(C1787,Countries!$B$3:$C$140,2,FALSE)</f>
        <v>Europe</v>
      </c>
      <c r="E1787" s="3" t="s">
        <v>63</v>
      </c>
      <c r="F1787" s="3" t="str">
        <f>VLOOKUP(E1787,Countries!$B$3:$C$140,2,FALSE)</f>
        <v>Africa</v>
      </c>
      <c r="G1787" s="4">
        <v>48</v>
      </c>
      <c r="H1787" s="4">
        <v>0</v>
      </c>
    </row>
    <row r="1788" spans="2:8" x14ac:dyDescent="0.2">
      <c r="B1788" s="3" t="s">
        <v>160</v>
      </c>
      <c r="C1788" s="3" t="s">
        <v>35</v>
      </c>
      <c r="D1788" s="3" t="str">
        <f>VLOOKUP(C1788,Countries!$B$3:$C$140,2,FALSE)</f>
        <v>Europe</v>
      </c>
      <c r="E1788" s="3" t="s">
        <v>50</v>
      </c>
      <c r="F1788" s="3" t="str">
        <f>VLOOKUP(E1788,Countries!$B$3:$C$140,2,FALSE)</f>
        <v>Europe</v>
      </c>
      <c r="G1788" s="4">
        <v>18</v>
      </c>
      <c r="H1788" s="4">
        <v>2320602.7934325002</v>
      </c>
    </row>
    <row r="1789" spans="2:8" x14ac:dyDescent="0.2">
      <c r="B1789" s="3" t="s">
        <v>160</v>
      </c>
      <c r="C1789" s="3" t="s">
        <v>35</v>
      </c>
      <c r="D1789" s="3" t="str">
        <f>VLOOKUP(C1789,Countries!$B$3:$C$140,2,FALSE)</f>
        <v>Europe</v>
      </c>
      <c r="E1789" s="3" t="s">
        <v>11</v>
      </c>
      <c r="F1789" s="3" t="str">
        <f>VLOOKUP(E1789,Countries!$B$3:$C$140,2,FALSE)</f>
        <v>Europe</v>
      </c>
      <c r="G1789" s="4">
        <v>24</v>
      </c>
      <c r="H1789" s="4">
        <v>0</v>
      </c>
    </row>
    <row r="1790" spans="2:8" x14ac:dyDescent="0.2">
      <c r="B1790" s="3" t="s">
        <v>160</v>
      </c>
      <c r="C1790" s="3" t="s">
        <v>35</v>
      </c>
      <c r="D1790" s="3" t="str">
        <f>VLOOKUP(C1790,Countries!$B$3:$C$140,2,FALSE)</f>
        <v>Europe</v>
      </c>
      <c r="E1790" s="3" t="s">
        <v>12</v>
      </c>
      <c r="F1790" s="3" t="str">
        <f>VLOOKUP(E1790,Countries!$B$3:$C$140,2,FALSE)</f>
        <v>Europe</v>
      </c>
      <c r="G1790" s="4">
        <v>106</v>
      </c>
      <c r="H1790" s="4">
        <v>18827113.648707751</v>
      </c>
    </row>
    <row r="1791" spans="2:8" x14ac:dyDescent="0.2">
      <c r="B1791" s="3" t="s">
        <v>160</v>
      </c>
      <c r="C1791" s="3" t="s">
        <v>35</v>
      </c>
      <c r="D1791" s="3" t="str">
        <f>VLOOKUP(C1791,Countries!$B$3:$C$140,2,FALSE)</f>
        <v>Europe</v>
      </c>
      <c r="E1791" s="3" t="s">
        <v>13</v>
      </c>
      <c r="F1791" s="3" t="str">
        <f>VLOOKUP(E1791,Countries!$B$3:$C$140,2,FALSE)</f>
        <v>Europe</v>
      </c>
      <c r="G1791" s="4">
        <v>14</v>
      </c>
      <c r="H1791" s="4">
        <v>0</v>
      </c>
    </row>
    <row r="1792" spans="2:8" x14ac:dyDescent="0.2">
      <c r="B1792" s="3" t="s">
        <v>160</v>
      </c>
      <c r="C1792" s="3" t="s">
        <v>35</v>
      </c>
      <c r="D1792" s="3" t="str">
        <f>VLOOKUP(C1792,Countries!$B$3:$C$140,2,FALSE)</f>
        <v>Europe</v>
      </c>
      <c r="E1792" s="3" t="s">
        <v>64</v>
      </c>
      <c r="F1792" s="3" t="str">
        <f>VLOOKUP(E1792,Countries!$B$3:$C$140,2,FALSE)</f>
        <v>Africa</v>
      </c>
      <c r="G1792" s="4">
        <v>6</v>
      </c>
      <c r="H1792" s="4">
        <v>0</v>
      </c>
    </row>
    <row r="1793" spans="2:8" x14ac:dyDescent="0.2">
      <c r="B1793" s="3" t="s">
        <v>160</v>
      </c>
      <c r="C1793" s="3" t="s">
        <v>35</v>
      </c>
      <c r="D1793" s="3" t="str">
        <f>VLOOKUP(C1793,Countries!$B$3:$C$140,2,FALSE)</f>
        <v>Europe</v>
      </c>
      <c r="E1793" s="3" t="s">
        <v>14</v>
      </c>
      <c r="F1793" s="3" t="str">
        <f>VLOOKUP(E1793,Countries!$B$3:$C$140,2,FALSE)</f>
        <v>Europe</v>
      </c>
      <c r="G1793" s="4">
        <v>10</v>
      </c>
      <c r="H1793" s="4">
        <v>0</v>
      </c>
    </row>
    <row r="1794" spans="2:8" x14ac:dyDescent="0.2">
      <c r="B1794" s="3" t="s">
        <v>160</v>
      </c>
      <c r="C1794" s="3" t="s">
        <v>35</v>
      </c>
      <c r="D1794" s="3" t="str">
        <f>VLOOKUP(C1794,Countries!$B$3:$C$140,2,FALSE)</f>
        <v>Europe</v>
      </c>
      <c r="E1794" s="3" t="s">
        <v>15</v>
      </c>
      <c r="F1794" s="3" t="str">
        <f>VLOOKUP(E1794,Countries!$B$3:$C$140,2,FALSE)</f>
        <v>Europe</v>
      </c>
      <c r="G1794" s="4">
        <v>12</v>
      </c>
      <c r="H1794" s="4">
        <v>1432138.9556249999</v>
      </c>
    </row>
    <row r="1795" spans="2:8" x14ac:dyDescent="0.2">
      <c r="B1795" s="3" t="s">
        <v>160</v>
      </c>
      <c r="C1795" s="3" t="s">
        <v>35</v>
      </c>
      <c r="D1795" s="3" t="str">
        <f>VLOOKUP(C1795,Countries!$B$3:$C$140,2,FALSE)</f>
        <v>Europe</v>
      </c>
      <c r="E1795" s="3" t="s">
        <v>16</v>
      </c>
      <c r="F1795" s="3" t="str">
        <f>VLOOKUP(E1795,Countries!$B$3:$C$140,2,FALSE)</f>
        <v>Asia</v>
      </c>
      <c r="G1795" s="4">
        <v>2</v>
      </c>
      <c r="H1795" s="4">
        <v>0</v>
      </c>
    </row>
    <row r="1796" spans="2:8" x14ac:dyDescent="0.2">
      <c r="B1796" s="3" t="s">
        <v>160</v>
      </c>
      <c r="C1796" s="3" t="s">
        <v>35</v>
      </c>
      <c r="D1796" s="3" t="str">
        <f>VLOOKUP(C1796,Countries!$B$3:$C$140,2,FALSE)</f>
        <v>Europe</v>
      </c>
      <c r="E1796" s="3" t="s">
        <v>75</v>
      </c>
      <c r="F1796" s="3" t="str">
        <f>VLOOKUP(E1796,Countries!$B$3:$C$140,2,FALSE)</f>
        <v>Europe</v>
      </c>
      <c r="G1796" s="4">
        <v>2</v>
      </c>
      <c r="H1796" s="4">
        <v>484299.71341199998</v>
      </c>
    </row>
    <row r="1797" spans="2:8" x14ac:dyDescent="0.2">
      <c r="B1797" s="3" t="s">
        <v>160</v>
      </c>
      <c r="C1797" s="3" t="s">
        <v>35</v>
      </c>
      <c r="D1797" s="3" t="str">
        <f>VLOOKUP(C1797,Countries!$B$3:$C$140,2,FALSE)</f>
        <v>Europe</v>
      </c>
      <c r="E1797" s="3" t="s">
        <v>51</v>
      </c>
      <c r="F1797" s="3" t="str">
        <f>VLOOKUP(E1797,Countries!$B$3:$C$140,2,FALSE)</f>
        <v>Asia</v>
      </c>
      <c r="G1797" s="4">
        <v>22</v>
      </c>
      <c r="H1797" s="4">
        <v>5159517.2920605</v>
      </c>
    </row>
    <row r="1798" spans="2:8" x14ac:dyDescent="0.2">
      <c r="B1798" s="3" t="s">
        <v>160</v>
      </c>
      <c r="C1798" s="3" t="s">
        <v>35</v>
      </c>
      <c r="D1798" s="3" t="str">
        <f>VLOOKUP(C1798,Countries!$B$3:$C$140,2,FALSE)</f>
        <v>Europe</v>
      </c>
      <c r="E1798" s="3" t="s">
        <v>17</v>
      </c>
      <c r="F1798" s="3" t="str">
        <f>VLOOKUP(E1798,Countries!$B$3:$C$140,2,FALSE)</f>
        <v>Europe</v>
      </c>
      <c r="G1798" s="4">
        <v>10</v>
      </c>
      <c r="H1798" s="4">
        <v>363224.78505900002</v>
      </c>
    </row>
    <row r="1799" spans="2:8" x14ac:dyDescent="0.2">
      <c r="B1799" s="3" t="s">
        <v>160</v>
      </c>
      <c r="C1799" s="3" t="s">
        <v>35</v>
      </c>
      <c r="D1799" s="3" t="str">
        <f>VLOOKUP(C1799,Countries!$B$3:$C$140,2,FALSE)</f>
        <v>Europe</v>
      </c>
      <c r="E1799" s="3" t="s">
        <v>92</v>
      </c>
      <c r="F1799" s="3" t="str">
        <f>VLOOKUP(E1799,Countries!$B$3:$C$140,2,FALSE)</f>
        <v>Asia</v>
      </c>
      <c r="G1799" s="4">
        <v>4</v>
      </c>
      <c r="H1799" s="4">
        <v>9194197.6509600002</v>
      </c>
    </row>
    <row r="1800" spans="2:8" x14ac:dyDescent="0.2">
      <c r="B1800" s="3" t="s">
        <v>160</v>
      </c>
      <c r="C1800" s="3" t="s">
        <v>35</v>
      </c>
      <c r="D1800" s="3" t="str">
        <f>VLOOKUP(C1800,Countries!$B$3:$C$140,2,FALSE)</f>
        <v>Europe</v>
      </c>
      <c r="E1800" s="3" t="s">
        <v>18</v>
      </c>
      <c r="F1800" s="3" t="str">
        <f>VLOOKUP(E1800,Countries!$B$3:$C$140,2,FALSE)</f>
        <v>Africa</v>
      </c>
      <c r="G1800" s="4">
        <v>4</v>
      </c>
      <c r="H1800" s="4">
        <v>0</v>
      </c>
    </row>
    <row r="1801" spans="2:8" x14ac:dyDescent="0.2">
      <c r="B1801" s="3" t="s">
        <v>160</v>
      </c>
      <c r="C1801" s="3" t="s">
        <v>35</v>
      </c>
      <c r="D1801" s="3" t="str">
        <f>VLOOKUP(C1801,Countries!$B$3:$C$140,2,FALSE)</f>
        <v>Europe</v>
      </c>
      <c r="E1801" s="3" t="s">
        <v>19</v>
      </c>
      <c r="F1801" s="3" t="str">
        <f>VLOOKUP(E1801,Countries!$B$3:$C$140,2,FALSE)</f>
        <v>Asia</v>
      </c>
      <c r="G1801" s="4">
        <v>2</v>
      </c>
      <c r="H1801" s="4">
        <v>0</v>
      </c>
    </row>
    <row r="1802" spans="2:8" x14ac:dyDescent="0.2">
      <c r="B1802" s="3" t="s">
        <v>160</v>
      </c>
      <c r="C1802" s="3" t="s">
        <v>35</v>
      </c>
      <c r="D1802" s="3" t="str">
        <f>VLOOKUP(C1802,Countries!$B$3:$C$140,2,FALSE)</f>
        <v>Europe</v>
      </c>
      <c r="E1802" s="3" t="s">
        <v>77</v>
      </c>
      <c r="F1802" s="3" t="str">
        <f>VLOOKUP(E1802,Countries!$B$3:$C$140,2,FALSE)</f>
        <v>Europe</v>
      </c>
      <c r="G1802" s="4">
        <v>2</v>
      </c>
      <c r="H1802" s="4">
        <v>0</v>
      </c>
    </row>
    <row r="1803" spans="2:8" x14ac:dyDescent="0.2">
      <c r="B1803" s="3" t="s">
        <v>160</v>
      </c>
      <c r="C1803" s="3" t="s">
        <v>35</v>
      </c>
      <c r="D1803" s="3" t="str">
        <f>VLOOKUP(C1803,Countries!$B$3:$C$140,2,FALSE)</f>
        <v>Europe</v>
      </c>
      <c r="E1803" s="3" t="s">
        <v>42</v>
      </c>
      <c r="F1803" s="3" t="str">
        <f>VLOOKUP(E1803,Countries!$B$3:$C$140,2,FALSE)</f>
        <v>Africa</v>
      </c>
      <c r="G1803" s="4">
        <v>2</v>
      </c>
      <c r="H1803" s="4">
        <v>0</v>
      </c>
    </row>
    <row r="1804" spans="2:8" x14ac:dyDescent="0.2">
      <c r="B1804" s="3" t="s">
        <v>160</v>
      </c>
      <c r="C1804" s="3" t="s">
        <v>35</v>
      </c>
      <c r="D1804" s="3" t="str">
        <f>VLOOKUP(C1804,Countries!$B$3:$C$140,2,FALSE)</f>
        <v>Europe</v>
      </c>
      <c r="E1804" s="3" t="s">
        <v>22</v>
      </c>
      <c r="F1804" s="3" t="str">
        <f>VLOOKUP(E1804,Countries!$B$3:$C$140,2,FALSE)</f>
        <v>Europe</v>
      </c>
      <c r="G1804" s="4">
        <v>4</v>
      </c>
      <c r="H1804" s="4">
        <v>0</v>
      </c>
    </row>
    <row r="1805" spans="2:8" x14ac:dyDescent="0.2">
      <c r="B1805" s="3" t="s">
        <v>160</v>
      </c>
      <c r="C1805" s="3" t="s">
        <v>35</v>
      </c>
      <c r="D1805" s="3" t="str">
        <f>VLOOKUP(C1805,Countries!$B$3:$C$140,2,FALSE)</f>
        <v>Europe</v>
      </c>
      <c r="E1805" s="3" t="s">
        <v>53</v>
      </c>
      <c r="F1805" s="3" t="str">
        <f>VLOOKUP(E1805,Countries!$B$3:$C$140,2,FALSE)</f>
        <v>Europe</v>
      </c>
      <c r="G1805" s="4">
        <v>58</v>
      </c>
      <c r="H1805" s="4">
        <v>17988595.239899367</v>
      </c>
    </row>
    <row r="1806" spans="2:8" x14ac:dyDescent="0.2">
      <c r="B1806" s="3" t="s">
        <v>160</v>
      </c>
      <c r="C1806" s="3" t="s">
        <v>35</v>
      </c>
      <c r="D1806" s="3" t="str">
        <f>VLOOKUP(C1806,Countries!$B$3:$C$140,2,FALSE)</f>
        <v>Europe</v>
      </c>
      <c r="E1806" s="3" t="s">
        <v>24</v>
      </c>
      <c r="F1806" s="3" t="str">
        <f>VLOOKUP(E1806,Countries!$B$3:$C$140,2,FALSE)</f>
        <v>Africa</v>
      </c>
      <c r="G1806" s="4">
        <v>10</v>
      </c>
      <c r="H1806" s="4">
        <v>0</v>
      </c>
    </row>
    <row r="1807" spans="2:8" x14ac:dyDescent="0.2">
      <c r="B1807" s="3" t="s">
        <v>160</v>
      </c>
      <c r="C1807" s="3" t="s">
        <v>35</v>
      </c>
      <c r="D1807" s="3" t="str">
        <f>VLOOKUP(C1807,Countries!$B$3:$C$140,2,FALSE)</f>
        <v>Europe</v>
      </c>
      <c r="E1807" s="3" t="s">
        <v>44</v>
      </c>
      <c r="F1807" s="3" t="str">
        <f>VLOOKUP(E1807,Countries!$B$3:$C$140,2,FALSE)</f>
        <v>Europe</v>
      </c>
      <c r="G1807" s="4">
        <v>10</v>
      </c>
      <c r="H1807" s="4">
        <v>19540144.475340031</v>
      </c>
    </row>
    <row r="1808" spans="2:8" x14ac:dyDescent="0.2">
      <c r="B1808" s="3" t="s">
        <v>160</v>
      </c>
      <c r="C1808" s="3" t="s">
        <v>35</v>
      </c>
      <c r="D1808" s="3" t="str">
        <f>VLOOKUP(C1808,Countries!$B$3:$C$140,2,FALSE)</f>
        <v>Europe</v>
      </c>
      <c r="E1808" s="3" t="s">
        <v>80</v>
      </c>
      <c r="F1808" s="3" t="str">
        <f>VLOOKUP(E1808,Countries!$B$3:$C$140,2,FALSE)</f>
        <v>South America</v>
      </c>
      <c r="G1808" s="4">
        <v>2</v>
      </c>
      <c r="H1808" s="4">
        <v>480000</v>
      </c>
    </row>
    <row r="1809" spans="2:8" x14ac:dyDescent="0.2">
      <c r="B1809" s="3" t="s">
        <v>160</v>
      </c>
      <c r="C1809" s="3" t="s">
        <v>35</v>
      </c>
      <c r="D1809" s="3" t="str">
        <f>VLOOKUP(C1809,Countries!$B$3:$C$140,2,FALSE)</f>
        <v>Europe</v>
      </c>
      <c r="E1809" s="3" t="s">
        <v>54</v>
      </c>
      <c r="F1809" s="3" t="str">
        <f>VLOOKUP(E1809,Countries!$B$3:$C$140,2,FALSE)</f>
        <v>Europe</v>
      </c>
      <c r="G1809" s="4">
        <v>8</v>
      </c>
      <c r="H1809" s="4">
        <v>0</v>
      </c>
    </row>
    <row r="1810" spans="2:8" x14ac:dyDescent="0.2">
      <c r="B1810" s="3" t="s">
        <v>160</v>
      </c>
      <c r="C1810" s="3" t="s">
        <v>35</v>
      </c>
      <c r="D1810" s="3" t="str">
        <f>VLOOKUP(C1810,Countries!$B$3:$C$140,2,FALSE)</f>
        <v>Europe</v>
      </c>
      <c r="E1810" s="3" t="s">
        <v>25</v>
      </c>
      <c r="F1810" s="3" t="str">
        <f>VLOOKUP(E1810,Countries!$B$3:$C$140,2,FALSE)</f>
        <v>Europe</v>
      </c>
      <c r="G1810" s="4">
        <v>10</v>
      </c>
      <c r="H1810" s="4">
        <v>3026873.2088250001</v>
      </c>
    </row>
    <row r="1811" spans="2:8" x14ac:dyDescent="0.2">
      <c r="B1811" s="3" t="s">
        <v>160</v>
      </c>
      <c r="C1811" s="3" t="s">
        <v>35</v>
      </c>
      <c r="D1811" s="3" t="str">
        <f>VLOOKUP(C1811,Countries!$B$3:$C$140,2,FALSE)</f>
        <v>Europe</v>
      </c>
      <c r="E1811" s="3" t="s">
        <v>81</v>
      </c>
      <c r="F1811" s="3" t="str">
        <f>VLOOKUP(E1811,Countries!$B$3:$C$140,2,FALSE)</f>
        <v>Asia</v>
      </c>
      <c r="G1811" s="4">
        <v>2</v>
      </c>
      <c r="H1811" s="4">
        <v>0</v>
      </c>
    </row>
    <row r="1812" spans="2:8" x14ac:dyDescent="0.2">
      <c r="B1812" s="3" t="s">
        <v>160</v>
      </c>
      <c r="C1812" s="3" t="s">
        <v>35</v>
      </c>
      <c r="D1812" s="3" t="str">
        <f>VLOOKUP(C1812,Countries!$B$3:$C$140,2,FALSE)</f>
        <v>Europe</v>
      </c>
      <c r="E1812" s="3" t="s">
        <v>26</v>
      </c>
      <c r="F1812" s="3" t="str">
        <f>VLOOKUP(E1812,Countries!$B$3:$C$140,2,FALSE)</f>
        <v>Europe</v>
      </c>
      <c r="G1812" s="4">
        <v>4</v>
      </c>
      <c r="H1812" s="4">
        <v>3782121.4442339996</v>
      </c>
    </row>
    <row r="1813" spans="2:8" x14ac:dyDescent="0.2">
      <c r="B1813" s="3" t="s">
        <v>160</v>
      </c>
      <c r="C1813" s="3" t="s">
        <v>35</v>
      </c>
      <c r="D1813" s="3" t="str">
        <f>VLOOKUP(C1813,Countries!$B$3:$C$140,2,FALSE)</f>
        <v>Europe</v>
      </c>
      <c r="E1813" s="3" t="s">
        <v>46</v>
      </c>
      <c r="F1813" s="3" t="str">
        <f>VLOOKUP(E1813,Countries!$B$3:$C$140,2,FALSE)</f>
        <v>Europe/Asia</v>
      </c>
      <c r="G1813" s="4">
        <v>2</v>
      </c>
      <c r="H1813" s="4">
        <v>2070940.1811525002</v>
      </c>
    </row>
    <row r="1814" spans="2:8" x14ac:dyDescent="0.2">
      <c r="B1814" s="3" t="s">
        <v>160</v>
      </c>
      <c r="C1814" s="3" t="s">
        <v>35</v>
      </c>
      <c r="D1814" s="3" t="str">
        <f>VLOOKUP(C1814,Countries!$B$3:$C$140,2,FALSE)</f>
        <v>Europe</v>
      </c>
      <c r="E1814" s="3" t="s">
        <v>55</v>
      </c>
      <c r="F1814" s="3" t="str">
        <f>VLOOKUP(E1814,Countries!$B$3:$C$140,2,FALSE)</f>
        <v>Europe</v>
      </c>
      <c r="G1814" s="4">
        <v>4</v>
      </c>
      <c r="H1814" s="4">
        <v>0</v>
      </c>
    </row>
    <row r="1815" spans="2:8" x14ac:dyDescent="0.2">
      <c r="B1815" s="3" t="s">
        <v>160</v>
      </c>
      <c r="C1815" s="3" t="s">
        <v>35</v>
      </c>
      <c r="D1815" s="3" t="str">
        <f>VLOOKUP(C1815,Countries!$B$3:$C$140,2,FALSE)</f>
        <v>Europe</v>
      </c>
      <c r="E1815" s="3" t="s">
        <v>47</v>
      </c>
      <c r="F1815" s="3" t="str">
        <f>VLOOKUP(E1815,Countries!$B$3:$C$140,2,FALSE)</f>
        <v>Africa</v>
      </c>
      <c r="G1815" s="4">
        <v>16</v>
      </c>
      <c r="H1815" s="4">
        <v>810225.09966375004</v>
      </c>
    </row>
    <row r="1816" spans="2:8" x14ac:dyDescent="0.2">
      <c r="B1816" s="3" t="s">
        <v>160</v>
      </c>
      <c r="C1816" s="3" t="s">
        <v>35</v>
      </c>
      <c r="D1816" s="3" t="str">
        <f>VLOOKUP(C1816,Countries!$B$3:$C$140,2,FALSE)</f>
        <v>Europe</v>
      </c>
      <c r="E1816" s="3" t="s">
        <v>28</v>
      </c>
      <c r="F1816" s="3" t="str">
        <f>VLOOKUP(E1816,Countries!$B$3:$C$140,2,FALSE)</f>
        <v>Europe</v>
      </c>
      <c r="G1816" s="4">
        <v>4</v>
      </c>
      <c r="H1816" s="4">
        <v>302687.32088250003</v>
      </c>
    </row>
    <row r="1817" spans="2:8" x14ac:dyDescent="0.2">
      <c r="B1817" s="3" t="s">
        <v>160</v>
      </c>
      <c r="C1817" s="3" t="s">
        <v>35</v>
      </c>
      <c r="D1817" s="3" t="str">
        <f>VLOOKUP(C1817,Countries!$B$3:$C$140,2,FALSE)</f>
        <v>Europe</v>
      </c>
      <c r="E1817" s="3" t="s">
        <v>29</v>
      </c>
      <c r="F1817" s="3" t="str">
        <f>VLOOKUP(E1817,Countries!$B$3:$C$140,2,FALSE)</f>
        <v>Europe</v>
      </c>
      <c r="G1817" s="4">
        <v>4</v>
      </c>
      <c r="H1817" s="4">
        <v>0</v>
      </c>
    </row>
    <row r="1818" spans="2:8" x14ac:dyDescent="0.2">
      <c r="B1818" s="3" t="s">
        <v>160</v>
      </c>
      <c r="C1818" s="3" t="s">
        <v>35</v>
      </c>
      <c r="D1818" s="3" t="str">
        <f>VLOOKUP(C1818,Countries!$B$3:$C$140,2,FALSE)</f>
        <v>Europe</v>
      </c>
      <c r="E1818" s="3" t="s">
        <v>56</v>
      </c>
      <c r="F1818" s="3" t="str">
        <f>VLOOKUP(E1818,Countries!$B$3:$C$140,2,FALSE)</f>
        <v>Europe</v>
      </c>
      <c r="G1818" s="4">
        <v>2</v>
      </c>
      <c r="H1818" s="4">
        <v>0</v>
      </c>
    </row>
    <row r="1819" spans="2:8" x14ac:dyDescent="0.2">
      <c r="B1819" s="3" t="s">
        <v>160</v>
      </c>
      <c r="C1819" s="3" t="s">
        <v>35</v>
      </c>
      <c r="D1819" s="3" t="str">
        <f>VLOOKUP(C1819,Countries!$B$3:$C$140,2,FALSE)</f>
        <v>Europe</v>
      </c>
      <c r="E1819" s="3" t="s">
        <v>30</v>
      </c>
      <c r="F1819" s="3" t="str">
        <f>VLOOKUP(E1819,Countries!$B$3:$C$140,2,FALSE)</f>
        <v>Europe</v>
      </c>
      <c r="G1819" s="4">
        <v>4</v>
      </c>
      <c r="H1819" s="4">
        <v>443941.40396100003</v>
      </c>
    </row>
    <row r="1820" spans="2:8" x14ac:dyDescent="0.2">
      <c r="B1820" s="3" t="s">
        <v>160</v>
      </c>
      <c r="C1820" s="3" t="s">
        <v>35</v>
      </c>
      <c r="D1820" s="3" t="str">
        <f>VLOOKUP(C1820,Countries!$B$3:$C$140,2,FALSE)</f>
        <v>Europe</v>
      </c>
      <c r="E1820" s="3" t="s">
        <v>31</v>
      </c>
      <c r="F1820" s="3" t="str">
        <f>VLOOKUP(E1820,Countries!$B$3:$C$140,2,FALSE)</f>
        <v>Europe</v>
      </c>
      <c r="G1820" s="4">
        <v>8</v>
      </c>
      <c r="H1820" s="4">
        <v>7768974.569317501</v>
      </c>
    </row>
    <row r="1821" spans="2:8" x14ac:dyDescent="0.2">
      <c r="B1821" s="3" t="s">
        <v>160</v>
      </c>
      <c r="C1821" s="3" t="s">
        <v>35</v>
      </c>
      <c r="D1821" s="3" t="str">
        <f>VLOOKUP(C1821,Countries!$B$3:$C$140,2,FALSE)</f>
        <v>Europe</v>
      </c>
      <c r="E1821" s="3" t="s">
        <v>112</v>
      </c>
      <c r="F1821" s="3" t="str">
        <f>VLOOKUP(E1821,Countries!$B$3:$C$140,2,FALSE)</f>
        <v>Asia</v>
      </c>
      <c r="G1821" s="4">
        <v>4</v>
      </c>
      <c r="H1821" s="4">
        <v>200425.27314</v>
      </c>
    </row>
    <row r="1822" spans="2:8" x14ac:dyDescent="0.2">
      <c r="B1822" s="3" t="s">
        <v>160</v>
      </c>
      <c r="C1822" s="3" t="s">
        <v>35</v>
      </c>
      <c r="D1822" s="3" t="str">
        <f>VLOOKUP(C1822,Countries!$B$3:$C$140,2,FALSE)</f>
        <v>Europe</v>
      </c>
      <c r="E1822" s="3" t="s">
        <v>84</v>
      </c>
      <c r="F1822" s="3" t="str">
        <f>VLOOKUP(E1822,Countries!$B$3:$C$140,2,FALSE)</f>
        <v>North America</v>
      </c>
      <c r="G1822" s="4">
        <v>2</v>
      </c>
      <c r="H1822" s="4">
        <v>0</v>
      </c>
    </row>
    <row r="1823" spans="2:8" x14ac:dyDescent="0.2">
      <c r="B1823" s="3" t="s">
        <v>160</v>
      </c>
      <c r="C1823" s="3" t="s">
        <v>35</v>
      </c>
      <c r="D1823" s="3" t="str">
        <f>VLOOKUP(C1823,Countries!$B$3:$C$140,2,FALSE)</f>
        <v>Europe</v>
      </c>
      <c r="E1823" s="3" t="s">
        <v>57</v>
      </c>
      <c r="F1823" s="3" t="str">
        <f>VLOOKUP(E1823,Countries!$B$3:$C$140,2,FALSE)</f>
        <v>Europe/Asia</v>
      </c>
      <c r="G1823" s="4">
        <v>8</v>
      </c>
      <c r="H1823" s="4">
        <v>0</v>
      </c>
    </row>
    <row r="1824" spans="2:8" x14ac:dyDescent="0.2">
      <c r="B1824" s="3" t="s">
        <v>160</v>
      </c>
      <c r="C1824" s="3" t="s">
        <v>35</v>
      </c>
      <c r="D1824" s="3" t="str">
        <f>VLOOKUP(C1824,Countries!$B$3:$C$140,2,FALSE)</f>
        <v>Europe</v>
      </c>
      <c r="E1824" s="3" t="s">
        <v>32</v>
      </c>
      <c r="F1824" s="3" t="str">
        <f>VLOOKUP(E1824,Countries!$B$3:$C$140,2,FALSE)</f>
        <v>Europe</v>
      </c>
      <c r="G1824" s="4">
        <v>2</v>
      </c>
      <c r="H1824" s="4">
        <v>1147258.5302115001</v>
      </c>
    </row>
    <row r="1825" spans="2:8" x14ac:dyDescent="0.2">
      <c r="B1825" s="3" t="s">
        <v>160</v>
      </c>
      <c r="C1825" s="3" t="s">
        <v>35</v>
      </c>
      <c r="D1825" s="3" t="str">
        <f>VLOOKUP(C1825,Countries!$B$3:$C$140,2,FALSE)</f>
        <v>Europe</v>
      </c>
      <c r="E1825" s="3" t="s">
        <v>58</v>
      </c>
      <c r="F1825" s="3" t="str">
        <f>VLOOKUP(E1825,Countries!$B$3:$C$140,2,FALSE)</f>
        <v>South America</v>
      </c>
      <c r="G1825" s="4">
        <v>10</v>
      </c>
      <c r="H1825" s="4">
        <v>0</v>
      </c>
    </row>
    <row r="1826" spans="2:8" x14ac:dyDescent="0.2">
      <c r="B1826" s="3" t="s">
        <v>160</v>
      </c>
      <c r="C1826" s="3" t="s">
        <v>35</v>
      </c>
      <c r="D1826" s="3" t="str">
        <f>VLOOKUP(C1826,Countries!$B$3:$C$140,2,FALSE)</f>
        <v>Europe</v>
      </c>
      <c r="E1826" s="3" t="s">
        <v>33</v>
      </c>
      <c r="F1826" s="3" t="str">
        <f>VLOOKUP(E1826,Countries!$B$3:$C$140,2,FALSE)</f>
        <v>North America</v>
      </c>
      <c r="G1826" s="4">
        <v>4</v>
      </c>
      <c r="H1826" s="4">
        <v>5700000</v>
      </c>
    </row>
    <row r="1827" spans="2:8" x14ac:dyDescent="0.2">
      <c r="B1827" s="3" t="s">
        <v>160</v>
      </c>
      <c r="C1827" s="3" t="s">
        <v>6</v>
      </c>
      <c r="D1827" s="3" t="str">
        <f>VLOOKUP(C1827,Countries!$B$3:$C$140,2,FALSE)</f>
        <v>Europe</v>
      </c>
      <c r="E1827" s="3" t="s">
        <v>3</v>
      </c>
      <c r="F1827" s="3" t="str">
        <f>VLOOKUP(E1827,Countries!$B$3:$C$140,2,FALSE)</f>
        <v>Europe</v>
      </c>
      <c r="G1827" s="4">
        <v>8</v>
      </c>
      <c r="H1827" s="4">
        <v>0</v>
      </c>
    </row>
    <row r="1828" spans="2:8" x14ac:dyDescent="0.2">
      <c r="B1828" s="3" t="s">
        <v>160</v>
      </c>
      <c r="C1828" s="3" t="s">
        <v>6</v>
      </c>
      <c r="D1828" s="3" t="str">
        <f>VLOOKUP(C1828,Countries!$B$3:$C$140,2,FALSE)</f>
        <v>Europe</v>
      </c>
      <c r="E1828" s="3" t="s">
        <v>35</v>
      </c>
      <c r="F1828" s="3" t="str">
        <f>VLOOKUP(E1828,Countries!$B$3:$C$140,2,FALSE)</f>
        <v>Europe</v>
      </c>
      <c r="G1828" s="4">
        <v>2</v>
      </c>
      <c r="H1828" s="4">
        <v>0</v>
      </c>
    </row>
    <row r="1829" spans="2:8" x14ac:dyDescent="0.2">
      <c r="B1829" s="3" t="s">
        <v>160</v>
      </c>
      <c r="C1829" s="3" t="s">
        <v>6</v>
      </c>
      <c r="D1829" s="3" t="str">
        <f>VLOOKUP(C1829,Countries!$B$3:$C$140,2,FALSE)</f>
        <v>Europe</v>
      </c>
      <c r="E1829" s="3" t="s">
        <v>7</v>
      </c>
      <c r="F1829" s="3" t="str">
        <f>VLOOKUP(E1829,Countries!$B$3:$C$140,2,FALSE)</f>
        <v>South America</v>
      </c>
      <c r="G1829" s="4">
        <v>2</v>
      </c>
      <c r="H1829" s="4">
        <v>0</v>
      </c>
    </row>
    <row r="1830" spans="2:8" x14ac:dyDescent="0.2">
      <c r="B1830" s="3" t="s">
        <v>160</v>
      </c>
      <c r="C1830" s="3" t="s">
        <v>6</v>
      </c>
      <c r="D1830" s="3" t="str">
        <f>VLOOKUP(C1830,Countries!$B$3:$C$140,2,FALSE)</f>
        <v>Europe</v>
      </c>
      <c r="E1830" s="3" t="s">
        <v>8</v>
      </c>
      <c r="F1830" s="3" t="str">
        <f>VLOOKUP(E1830,Countries!$B$3:$C$140,2,FALSE)</f>
        <v>North America</v>
      </c>
      <c r="G1830" s="4">
        <v>2</v>
      </c>
      <c r="H1830" s="4">
        <v>0</v>
      </c>
    </row>
    <row r="1831" spans="2:8" x14ac:dyDescent="0.2">
      <c r="B1831" s="3" t="s">
        <v>160</v>
      </c>
      <c r="C1831" s="3" t="s">
        <v>6</v>
      </c>
      <c r="D1831" s="3" t="str">
        <f>VLOOKUP(C1831,Countries!$B$3:$C$140,2,FALSE)</f>
        <v>Europe</v>
      </c>
      <c r="E1831" s="3" t="s">
        <v>9</v>
      </c>
      <c r="F1831" s="3" t="str">
        <f>VLOOKUP(E1831,Countries!$B$3:$C$140,2,FALSE)</f>
        <v>Europe</v>
      </c>
      <c r="G1831" s="4">
        <v>20</v>
      </c>
      <c r="H1831" s="4">
        <v>0</v>
      </c>
    </row>
    <row r="1832" spans="2:8" x14ac:dyDescent="0.2">
      <c r="B1832" s="3" t="s">
        <v>160</v>
      </c>
      <c r="C1832" s="3" t="s">
        <v>6</v>
      </c>
      <c r="D1832" s="3" t="str">
        <f>VLOOKUP(C1832,Countries!$B$3:$C$140,2,FALSE)</f>
        <v>Europe</v>
      </c>
      <c r="E1832" s="3" t="s">
        <v>62</v>
      </c>
      <c r="F1832" s="3" t="str">
        <f>VLOOKUP(E1832,Countries!$B$3:$C$140,2,FALSE)</f>
        <v>Asia</v>
      </c>
      <c r="G1832" s="4">
        <v>4</v>
      </c>
      <c r="H1832" s="4">
        <v>0</v>
      </c>
    </row>
    <row r="1833" spans="2:8" x14ac:dyDescent="0.2">
      <c r="B1833" s="3" t="s">
        <v>160</v>
      </c>
      <c r="C1833" s="3" t="s">
        <v>6</v>
      </c>
      <c r="D1833" s="3" t="str">
        <f>VLOOKUP(C1833,Countries!$B$3:$C$140,2,FALSE)</f>
        <v>Europe</v>
      </c>
      <c r="E1833" s="3" t="s">
        <v>49</v>
      </c>
      <c r="F1833" s="3" t="str">
        <f>VLOOKUP(E1833,Countries!$B$3:$C$140,2,FALSE)</f>
        <v>Europe</v>
      </c>
      <c r="G1833" s="4">
        <v>10</v>
      </c>
      <c r="H1833" s="4">
        <v>23521.407020999999</v>
      </c>
    </row>
    <row r="1834" spans="2:8" x14ac:dyDescent="0.2">
      <c r="B1834" s="3" t="s">
        <v>160</v>
      </c>
      <c r="C1834" s="3" t="s">
        <v>6</v>
      </c>
      <c r="D1834" s="3" t="str">
        <f>VLOOKUP(C1834,Countries!$B$3:$C$140,2,FALSE)</f>
        <v>Europe</v>
      </c>
      <c r="E1834" s="3" t="s">
        <v>14</v>
      </c>
      <c r="F1834" s="3" t="str">
        <f>VLOOKUP(E1834,Countries!$B$3:$C$140,2,FALSE)</f>
        <v>Europe</v>
      </c>
      <c r="G1834" s="4">
        <v>6</v>
      </c>
      <c r="H1834" s="4">
        <v>0</v>
      </c>
    </row>
    <row r="1835" spans="2:8" x14ac:dyDescent="0.2">
      <c r="B1835" s="3" t="s">
        <v>160</v>
      </c>
      <c r="C1835" s="3" t="s">
        <v>6</v>
      </c>
      <c r="D1835" s="3" t="str">
        <f>VLOOKUP(C1835,Countries!$B$3:$C$140,2,FALSE)</f>
        <v>Europe</v>
      </c>
      <c r="E1835" s="3" t="s">
        <v>15</v>
      </c>
      <c r="F1835" s="3" t="str">
        <f>VLOOKUP(E1835,Countries!$B$3:$C$140,2,FALSE)</f>
        <v>Europe</v>
      </c>
      <c r="G1835" s="4">
        <v>8</v>
      </c>
      <c r="H1835" s="4">
        <v>0</v>
      </c>
    </row>
    <row r="1836" spans="2:8" x14ac:dyDescent="0.2">
      <c r="B1836" s="3" t="s">
        <v>160</v>
      </c>
      <c r="C1836" s="3" t="s">
        <v>6</v>
      </c>
      <c r="D1836" s="3" t="str">
        <f>VLOOKUP(C1836,Countries!$B$3:$C$140,2,FALSE)</f>
        <v>Europe</v>
      </c>
      <c r="E1836" s="3" t="s">
        <v>16</v>
      </c>
      <c r="F1836" s="3" t="str">
        <f>VLOOKUP(E1836,Countries!$B$3:$C$140,2,FALSE)</f>
        <v>Asia</v>
      </c>
      <c r="G1836" s="4">
        <v>8</v>
      </c>
      <c r="H1836" s="4">
        <v>0</v>
      </c>
    </row>
    <row r="1837" spans="2:8" x14ac:dyDescent="0.2">
      <c r="B1837" s="3" t="s">
        <v>160</v>
      </c>
      <c r="C1837" s="3" t="s">
        <v>6</v>
      </c>
      <c r="D1837" s="3" t="str">
        <f>VLOOKUP(C1837,Countries!$B$3:$C$140,2,FALSE)</f>
        <v>Europe</v>
      </c>
      <c r="E1837" s="3" t="s">
        <v>51</v>
      </c>
      <c r="F1837" s="3" t="str">
        <f>VLOOKUP(E1837,Countries!$B$3:$C$140,2,FALSE)</f>
        <v>Asia</v>
      </c>
      <c r="G1837" s="4">
        <v>2</v>
      </c>
      <c r="H1837" s="4">
        <v>0</v>
      </c>
    </row>
    <row r="1838" spans="2:8" x14ac:dyDescent="0.2">
      <c r="B1838" s="3" t="s">
        <v>160</v>
      </c>
      <c r="C1838" s="3" t="s">
        <v>6</v>
      </c>
      <c r="D1838" s="3" t="str">
        <f>VLOOKUP(C1838,Countries!$B$3:$C$140,2,FALSE)</f>
        <v>Europe</v>
      </c>
      <c r="E1838" s="3" t="s">
        <v>40</v>
      </c>
      <c r="F1838" s="3" t="str">
        <f>VLOOKUP(E1838,Countries!$B$3:$C$140,2,FALSE)</f>
        <v>Asia</v>
      </c>
      <c r="G1838" s="4">
        <v>8</v>
      </c>
      <c r="H1838" s="4">
        <v>0</v>
      </c>
    </row>
    <row r="1839" spans="2:8" x14ac:dyDescent="0.2">
      <c r="B1839" s="3" t="s">
        <v>160</v>
      </c>
      <c r="C1839" s="3" t="s">
        <v>6</v>
      </c>
      <c r="D1839" s="3" t="str">
        <f>VLOOKUP(C1839,Countries!$B$3:$C$140,2,FALSE)</f>
        <v>Europe</v>
      </c>
      <c r="E1839" s="3" t="s">
        <v>93</v>
      </c>
      <c r="F1839" s="3" t="str">
        <f>VLOOKUP(E1839,Countries!$B$3:$C$140,2,FALSE)</f>
        <v>Asia</v>
      </c>
      <c r="G1839" s="4">
        <v>2</v>
      </c>
      <c r="H1839" s="4">
        <v>0</v>
      </c>
    </row>
    <row r="1840" spans="2:8" x14ac:dyDescent="0.2">
      <c r="B1840" s="3" t="s">
        <v>160</v>
      </c>
      <c r="C1840" s="3" t="s">
        <v>6</v>
      </c>
      <c r="D1840" s="3" t="str">
        <f>VLOOKUP(C1840,Countries!$B$3:$C$140,2,FALSE)</f>
        <v>Europe</v>
      </c>
      <c r="E1840" s="3" t="s">
        <v>66</v>
      </c>
      <c r="F1840" s="3" t="str">
        <f>VLOOKUP(E1840,Countries!$B$3:$C$140,2,FALSE)</f>
        <v>Europe</v>
      </c>
      <c r="G1840" s="4">
        <v>2</v>
      </c>
      <c r="H1840" s="4">
        <v>0</v>
      </c>
    </row>
    <row r="1841" spans="2:8" x14ac:dyDescent="0.2">
      <c r="B1841" s="3" t="s">
        <v>160</v>
      </c>
      <c r="C1841" s="3" t="s">
        <v>6</v>
      </c>
      <c r="D1841" s="3" t="str">
        <f>VLOOKUP(C1841,Countries!$B$3:$C$140,2,FALSE)</f>
        <v>Europe</v>
      </c>
      <c r="E1841" s="3" t="s">
        <v>94</v>
      </c>
      <c r="F1841" s="3" t="str">
        <f>VLOOKUP(E1841,Countries!$B$3:$C$140,2,FALSE)</f>
        <v>North America</v>
      </c>
      <c r="G1841" s="4">
        <v>2</v>
      </c>
      <c r="H1841" s="4">
        <v>0</v>
      </c>
    </row>
    <row r="1842" spans="2:8" x14ac:dyDescent="0.2">
      <c r="B1842" s="3" t="s">
        <v>160</v>
      </c>
      <c r="C1842" s="3" t="s">
        <v>6</v>
      </c>
      <c r="D1842" s="3" t="str">
        <f>VLOOKUP(C1842,Countries!$B$3:$C$140,2,FALSE)</f>
        <v>Europe</v>
      </c>
      <c r="E1842" s="3" t="s">
        <v>21</v>
      </c>
      <c r="F1842" s="3" t="str">
        <f>VLOOKUP(E1842,Countries!$B$3:$C$140,2,FALSE)</f>
        <v>Europe</v>
      </c>
      <c r="G1842" s="4">
        <v>2</v>
      </c>
      <c r="H1842" s="4">
        <v>0</v>
      </c>
    </row>
    <row r="1843" spans="2:8" x14ac:dyDescent="0.2">
      <c r="B1843" s="3" t="s">
        <v>160</v>
      </c>
      <c r="C1843" s="3" t="s">
        <v>6</v>
      </c>
      <c r="D1843" s="3" t="str">
        <f>VLOOKUP(C1843,Countries!$B$3:$C$140,2,FALSE)</f>
        <v>Europe</v>
      </c>
      <c r="E1843" s="3" t="s">
        <v>23</v>
      </c>
      <c r="F1843" s="3" t="str">
        <f>VLOOKUP(E1843,Countries!$B$3:$C$140,2,FALSE)</f>
        <v>Europe</v>
      </c>
      <c r="G1843" s="4">
        <v>4</v>
      </c>
      <c r="H1843" s="4">
        <v>0</v>
      </c>
    </row>
    <row r="1844" spans="2:8" x14ac:dyDescent="0.2">
      <c r="B1844" s="3" t="s">
        <v>160</v>
      </c>
      <c r="C1844" s="3" t="s">
        <v>6</v>
      </c>
      <c r="D1844" s="3" t="str">
        <f>VLOOKUP(C1844,Countries!$B$3:$C$140,2,FALSE)</f>
        <v>Europe</v>
      </c>
      <c r="E1844" s="3" t="s">
        <v>53</v>
      </c>
      <c r="F1844" s="3" t="str">
        <f>VLOOKUP(E1844,Countries!$B$3:$C$140,2,FALSE)</f>
        <v>Europe</v>
      </c>
      <c r="G1844" s="4">
        <v>2</v>
      </c>
      <c r="H1844" s="4">
        <v>0</v>
      </c>
    </row>
    <row r="1845" spans="2:8" x14ac:dyDescent="0.2">
      <c r="B1845" s="3" t="s">
        <v>160</v>
      </c>
      <c r="C1845" s="3" t="s">
        <v>6</v>
      </c>
      <c r="D1845" s="3" t="str">
        <f>VLOOKUP(C1845,Countries!$B$3:$C$140,2,FALSE)</f>
        <v>Europe</v>
      </c>
      <c r="E1845" s="3" t="s">
        <v>44</v>
      </c>
      <c r="F1845" s="3" t="str">
        <f>VLOOKUP(E1845,Countries!$B$3:$C$140,2,FALSE)</f>
        <v>Europe</v>
      </c>
      <c r="G1845" s="4">
        <v>2</v>
      </c>
      <c r="H1845" s="4">
        <v>0</v>
      </c>
    </row>
    <row r="1846" spans="2:8" x14ac:dyDescent="0.2">
      <c r="B1846" s="3" t="s">
        <v>160</v>
      </c>
      <c r="C1846" s="3" t="s">
        <v>6</v>
      </c>
      <c r="D1846" s="3" t="str">
        <f>VLOOKUP(C1846,Countries!$B$3:$C$140,2,FALSE)</f>
        <v>Europe</v>
      </c>
      <c r="E1846" s="3" t="s">
        <v>54</v>
      </c>
      <c r="F1846" s="3" t="str">
        <f>VLOOKUP(E1846,Countries!$B$3:$C$140,2,FALSE)</f>
        <v>Europe</v>
      </c>
      <c r="G1846" s="4">
        <v>2</v>
      </c>
      <c r="H1846" s="4">
        <v>0</v>
      </c>
    </row>
    <row r="1847" spans="2:8" x14ac:dyDescent="0.2">
      <c r="B1847" s="3" t="s">
        <v>160</v>
      </c>
      <c r="C1847" s="3" t="s">
        <v>6</v>
      </c>
      <c r="D1847" s="3" t="str">
        <f>VLOOKUP(C1847,Countries!$B$3:$C$140,2,FALSE)</f>
        <v>Europe</v>
      </c>
      <c r="E1847" s="3" t="s">
        <v>26</v>
      </c>
      <c r="F1847" s="3" t="str">
        <f>VLOOKUP(E1847,Countries!$B$3:$C$140,2,FALSE)</f>
        <v>Europe</v>
      </c>
      <c r="G1847" s="4">
        <v>2</v>
      </c>
      <c r="H1847" s="4">
        <v>0</v>
      </c>
    </row>
    <row r="1848" spans="2:8" x14ac:dyDescent="0.2">
      <c r="B1848" s="3" t="s">
        <v>160</v>
      </c>
      <c r="C1848" s="3" t="s">
        <v>6</v>
      </c>
      <c r="D1848" s="3" t="str">
        <f>VLOOKUP(C1848,Countries!$B$3:$C$140,2,FALSE)</f>
        <v>Europe</v>
      </c>
      <c r="E1848" s="3" t="s">
        <v>46</v>
      </c>
      <c r="F1848" s="3" t="str">
        <f>VLOOKUP(E1848,Countries!$B$3:$C$140,2,FALSE)</f>
        <v>Europe/Asia</v>
      </c>
      <c r="G1848" s="4">
        <v>2</v>
      </c>
      <c r="H1848" s="4">
        <v>0</v>
      </c>
    </row>
    <row r="1849" spans="2:8" x14ac:dyDescent="0.2">
      <c r="B1849" s="3" t="s">
        <v>160</v>
      </c>
      <c r="C1849" s="3" t="s">
        <v>6</v>
      </c>
      <c r="D1849" s="3" t="str">
        <f>VLOOKUP(C1849,Countries!$B$3:$C$140,2,FALSE)</f>
        <v>Europe</v>
      </c>
      <c r="E1849" s="3" t="s">
        <v>90</v>
      </c>
      <c r="F1849" s="3" t="str">
        <f>VLOOKUP(E1849,Countries!$B$3:$C$140,2,FALSE)</f>
        <v>Asia</v>
      </c>
      <c r="G1849" s="4">
        <v>2</v>
      </c>
      <c r="H1849" s="4">
        <v>0</v>
      </c>
    </row>
    <row r="1850" spans="2:8" x14ac:dyDescent="0.2">
      <c r="B1850" s="3" t="s">
        <v>160</v>
      </c>
      <c r="C1850" s="3" t="s">
        <v>6</v>
      </c>
      <c r="D1850" s="3" t="str">
        <f>VLOOKUP(C1850,Countries!$B$3:$C$140,2,FALSE)</f>
        <v>Europe</v>
      </c>
      <c r="E1850" s="3" t="s">
        <v>28</v>
      </c>
      <c r="F1850" s="3" t="str">
        <f>VLOOKUP(E1850,Countries!$B$3:$C$140,2,FALSE)</f>
        <v>Europe</v>
      </c>
      <c r="G1850" s="4">
        <v>52</v>
      </c>
      <c r="H1850" s="4">
        <v>0</v>
      </c>
    </row>
    <row r="1851" spans="2:8" x14ac:dyDescent="0.2">
      <c r="B1851" s="3" t="s">
        <v>160</v>
      </c>
      <c r="C1851" s="3" t="s">
        <v>6</v>
      </c>
      <c r="D1851" s="3" t="str">
        <f>VLOOKUP(C1851,Countries!$B$3:$C$140,2,FALSE)</f>
        <v>Europe</v>
      </c>
      <c r="E1851" s="3" t="s">
        <v>29</v>
      </c>
      <c r="F1851" s="3" t="str">
        <f>VLOOKUP(E1851,Countries!$B$3:$C$140,2,FALSE)</f>
        <v>Europe</v>
      </c>
      <c r="G1851" s="4">
        <v>2</v>
      </c>
      <c r="H1851" s="4">
        <v>0</v>
      </c>
    </row>
    <row r="1852" spans="2:8" x14ac:dyDescent="0.2">
      <c r="B1852" s="3" t="s">
        <v>160</v>
      </c>
      <c r="C1852" s="3" t="s">
        <v>6</v>
      </c>
      <c r="D1852" s="3" t="str">
        <f>VLOOKUP(C1852,Countries!$B$3:$C$140,2,FALSE)</f>
        <v>Europe</v>
      </c>
      <c r="E1852" s="3" t="s">
        <v>56</v>
      </c>
      <c r="F1852" s="3" t="str">
        <f>VLOOKUP(E1852,Countries!$B$3:$C$140,2,FALSE)</f>
        <v>Europe</v>
      </c>
      <c r="G1852" s="4">
        <v>2</v>
      </c>
      <c r="H1852" s="4">
        <v>0</v>
      </c>
    </row>
    <row r="1853" spans="2:8" x14ac:dyDescent="0.2">
      <c r="B1853" s="3" t="s">
        <v>160</v>
      </c>
      <c r="C1853" s="3" t="s">
        <v>6</v>
      </c>
      <c r="D1853" s="3" t="str">
        <f>VLOOKUP(C1853,Countries!$B$3:$C$140,2,FALSE)</f>
        <v>Europe</v>
      </c>
      <c r="E1853" s="3" t="s">
        <v>30</v>
      </c>
      <c r="F1853" s="3" t="str">
        <f>VLOOKUP(E1853,Countries!$B$3:$C$140,2,FALSE)</f>
        <v>Europe</v>
      </c>
      <c r="G1853" s="4">
        <v>8</v>
      </c>
      <c r="H1853" s="4">
        <v>0</v>
      </c>
    </row>
    <row r="1854" spans="2:8" x14ac:dyDescent="0.2">
      <c r="B1854" s="3" t="s">
        <v>160</v>
      </c>
      <c r="C1854" s="3" t="s">
        <v>6</v>
      </c>
      <c r="D1854" s="3" t="str">
        <f>VLOOKUP(C1854,Countries!$B$3:$C$140,2,FALSE)</f>
        <v>Europe</v>
      </c>
      <c r="E1854" s="3" t="s">
        <v>33</v>
      </c>
      <c r="F1854" s="3" t="str">
        <f>VLOOKUP(E1854,Countries!$B$3:$C$140,2,FALSE)</f>
        <v>North America</v>
      </c>
      <c r="G1854" s="4">
        <v>2</v>
      </c>
      <c r="H1854" s="4">
        <v>0</v>
      </c>
    </row>
    <row r="1855" spans="2:8" x14ac:dyDescent="0.2">
      <c r="B1855" s="3" t="s">
        <v>160</v>
      </c>
      <c r="C1855" s="3" t="s">
        <v>59</v>
      </c>
      <c r="D1855" s="3" t="str">
        <f>VLOOKUP(C1855,Countries!$B$3:$C$140,2,FALSE)</f>
        <v>Europe</v>
      </c>
      <c r="E1855" s="3" t="s">
        <v>35</v>
      </c>
      <c r="F1855" s="3" t="str">
        <f>VLOOKUP(E1855,Countries!$B$3:$C$140,2,FALSE)</f>
        <v>Europe</v>
      </c>
      <c r="G1855" s="4">
        <v>4</v>
      </c>
      <c r="H1855" s="4">
        <v>484299.71341199998</v>
      </c>
    </row>
    <row r="1856" spans="2:8" x14ac:dyDescent="0.2">
      <c r="B1856" s="3" t="s">
        <v>160</v>
      </c>
      <c r="C1856" s="3" t="s">
        <v>59</v>
      </c>
      <c r="D1856" s="3" t="str">
        <f>VLOOKUP(C1856,Countries!$B$3:$C$140,2,FALSE)</f>
        <v>Europe</v>
      </c>
      <c r="E1856" s="3" t="s">
        <v>36</v>
      </c>
      <c r="F1856" s="3" t="str">
        <f>VLOOKUP(E1856,Countries!$B$3:$C$140,2,FALSE)</f>
        <v>Europe</v>
      </c>
      <c r="G1856" s="4">
        <v>4</v>
      </c>
      <c r="H1856" s="4">
        <v>0</v>
      </c>
    </row>
    <row r="1857" spans="2:8" x14ac:dyDescent="0.2">
      <c r="B1857" s="3" t="s">
        <v>160</v>
      </c>
      <c r="C1857" s="3" t="s">
        <v>59</v>
      </c>
      <c r="D1857" s="3" t="str">
        <f>VLOOKUP(C1857,Countries!$B$3:$C$140,2,FALSE)</f>
        <v>Europe</v>
      </c>
      <c r="E1857" s="3" t="s">
        <v>49</v>
      </c>
      <c r="F1857" s="3" t="str">
        <f>VLOOKUP(E1857,Countries!$B$3:$C$140,2,FALSE)</f>
        <v>Europe</v>
      </c>
      <c r="G1857" s="4">
        <v>4</v>
      </c>
      <c r="H1857" s="4">
        <v>0</v>
      </c>
    </row>
    <row r="1858" spans="2:8" x14ac:dyDescent="0.2">
      <c r="B1858" s="3" t="s">
        <v>160</v>
      </c>
      <c r="C1858" s="3" t="s">
        <v>59</v>
      </c>
      <c r="D1858" s="3" t="str">
        <f>VLOOKUP(C1858,Countries!$B$3:$C$140,2,FALSE)</f>
        <v>Europe</v>
      </c>
      <c r="E1858" s="3" t="s">
        <v>10</v>
      </c>
      <c r="F1858" s="3" t="str">
        <f>VLOOKUP(E1858,Countries!$B$3:$C$140,2,FALSE)</f>
        <v>Europe</v>
      </c>
      <c r="G1858" s="4">
        <v>2</v>
      </c>
      <c r="H1858" s="4">
        <v>0</v>
      </c>
    </row>
    <row r="1859" spans="2:8" x14ac:dyDescent="0.2">
      <c r="B1859" s="3" t="s">
        <v>160</v>
      </c>
      <c r="C1859" s="3" t="s">
        <v>59</v>
      </c>
      <c r="D1859" s="3" t="str">
        <f>VLOOKUP(C1859,Countries!$B$3:$C$140,2,FALSE)</f>
        <v>Europe</v>
      </c>
      <c r="E1859" s="3" t="s">
        <v>73</v>
      </c>
      <c r="F1859" s="3" t="str">
        <f>VLOOKUP(E1859,Countries!$B$3:$C$140,2,FALSE)</f>
        <v>Europe</v>
      </c>
      <c r="G1859" s="4">
        <v>2</v>
      </c>
      <c r="H1859" s="4">
        <v>0</v>
      </c>
    </row>
    <row r="1860" spans="2:8" x14ac:dyDescent="0.2">
      <c r="B1860" s="3" t="s">
        <v>160</v>
      </c>
      <c r="C1860" s="3" t="s">
        <v>59</v>
      </c>
      <c r="D1860" s="3" t="str">
        <f>VLOOKUP(C1860,Countries!$B$3:$C$140,2,FALSE)</f>
        <v>Europe</v>
      </c>
      <c r="E1860" s="3" t="s">
        <v>39</v>
      </c>
      <c r="F1860" s="3" t="str">
        <f>VLOOKUP(E1860,Countries!$B$3:$C$140,2,FALSE)</f>
        <v>Europe/Asia</v>
      </c>
      <c r="G1860" s="4">
        <v>6</v>
      </c>
      <c r="H1860" s="4">
        <v>0</v>
      </c>
    </row>
    <row r="1861" spans="2:8" x14ac:dyDescent="0.2">
      <c r="B1861" s="3" t="s">
        <v>160</v>
      </c>
      <c r="C1861" s="3" t="s">
        <v>59</v>
      </c>
      <c r="D1861" s="3" t="str">
        <f>VLOOKUP(C1861,Countries!$B$3:$C$140,2,FALSE)</f>
        <v>Europe</v>
      </c>
      <c r="E1861" s="3" t="s">
        <v>14</v>
      </c>
      <c r="F1861" s="3" t="str">
        <f>VLOOKUP(E1861,Countries!$B$3:$C$140,2,FALSE)</f>
        <v>Europe</v>
      </c>
      <c r="G1861" s="4">
        <v>2</v>
      </c>
      <c r="H1861" s="4">
        <v>0</v>
      </c>
    </row>
    <row r="1862" spans="2:8" x14ac:dyDescent="0.2">
      <c r="B1862" s="3" t="s">
        <v>160</v>
      </c>
      <c r="C1862" s="3" t="s">
        <v>59</v>
      </c>
      <c r="D1862" s="3" t="str">
        <f>VLOOKUP(C1862,Countries!$B$3:$C$140,2,FALSE)</f>
        <v>Europe</v>
      </c>
      <c r="E1862" s="3" t="s">
        <v>15</v>
      </c>
      <c r="F1862" s="3" t="str">
        <f>VLOOKUP(E1862,Countries!$B$3:$C$140,2,FALSE)</f>
        <v>Europe</v>
      </c>
      <c r="G1862" s="4">
        <v>2</v>
      </c>
      <c r="H1862" s="4">
        <v>0</v>
      </c>
    </row>
    <row r="1863" spans="2:8" x14ac:dyDescent="0.2">
      <c r="B1863" s="3" t="s">
        <v>160</v>
      </c>
      <c r="C1863" s="3" t="s">
        <v>59</v>
      </c>
      <c r="D1863" s="3" t="str">
        <f>VLOOKUP(C1863,Countries!$B$3:$C$140,2,FALSE)</f>
        <v>Europe</v>
      </c>
      <c r="E1863" s="3" t="s">
        <v>17</v>
      </c>
      <c r="F1863" s="3" t="str">
        <f>VLOOKUP(E1863,Countries!$B$3:$C$140,2,FALSE)</f>
        <v>Europe</v>
      </c>
      <c r="G1863" s="4">
        <v>2</v>
      </c>
      <c r="H1863" s="4">
        <v>0</v>
      </c>
    </row>
    <row r="1864" spans="2:8" x14ac:dyDescent="0.2">
      <c r="B1864" s="3" t="s">
        <v>160</v>
      </c>
      <c r="C1864" s="3" t="s">
        <v>59</v>
      </c>
      <c r="D1864" s="3" t="str">
        <f>VLOOKUP(C1864,Countries!$B$3:$C$140,2,FALSE)</f>
        <v>Europe</v>
      </c>
      <c r="E1864" s="3" t="s">
        <v>40</v>
      </c>
      <c r="F1864" s="3" t="str">
        <f>VLOOKUP(E1864,Countries!$B$3:$C$140,2,FALSE)</f>
        <v>Asia</v>
      </c>
      <c r="G1864" s="4">
        <v>10</v>
      </c>
      <c r="H1864" s="4">
        <v>0</v>
      </c>
    </row>
    <row r="1865" spans="2:8" x14ac:dyDescent="0.2">
      <c r="B1865" s="3" t="s">
        <v>160</v>
      </c>
      <c r="C1865" s="3" t="s">
        <v>59</v>
      </c>
      <c r="D1865" s="3" t="str">
        <f>VLOOKUP(C1865,Countries!$B$3:$C$140,2,FALSE)</f>
        <v>Europe</v>
      </c>
      <c r="E1865" s="3" t="s">
        <v>66</v>
      </c>
      <c r="F1865" s="3" t="str">
        <f>VLOOKUP(E1865,Countries!$B$3:$C$140,2,FALSE)</f>
        <v>Europe</v>
      </c>
      <c r="G1865" s="4">
        <v>2</v>
      </c>
      <c r="H1865" s="4">
        <v>0</v>
      </c>
    </row>
    <row r="1866" spans="2:8" x14ac:dyDescent="0.2">
      <c r="B1866" s="3" t="s">
        <v>160</v>
      </c>
      <c r="C1866" s="3" t="s">
        <v>59</v>
      </c>
      <c r="D1866" s="3" t="str">
        <f>VLOOKUP(C1866,Countries!$B$3:$C$140,2,FALSE)</f>
        <v>Europe</v>
      </c>
      <c r="E1866" s="3" t="s">
        <v>52</v>
      </c>
      <c r="F1866" s="3" t="str">
        <f>VLOOKUP(E1866,Countries!$B$3:$C$140,2,FALSE)</f>
        <v>Europe</v>
      </c>
      <c r="G1866" s="4">
        <v>12</v>
      </c>
      <c r="H1866" s="4">
        <v>135000</v>
      </c>
    </row>
    <row r="1867" spans="2:8" x14ac:dyDescent="0.2">
      <c r="B1867" s="3" t="s">
        <v>160</v>
      </c>
      <c r="C1867" s="3" t="s">
        <v>59</v>
      </c>
      <c r="D1867" s="3" t="str">
        <f>VLOOKUP(C1867,Countries!$B$3:$C$140,2,FALSE)</f>
        <v>Europe</v>
      </c>
      <c r="E1867" s="3" t="s">
        <v>43</v>
      </c>
      <c r="F1867" s="3" t="str">
        <f>VLOOKUP(E1867,Countries!$B$3:$C$140,2,FALSE)</f>
        <v>Europe</v>
      </c>
      <c r="G1867" s="4">
        <v>4</v>
      </c>
      <c r="H1867" s="4">
        <v>0</v>
      </c>
    </row>
    <row r="1868" spans="2:8" x14ac:dyDescent="0.2">
      <c r="B1868" s="3" t="s">
        <v>160</v>
      </c>
      <c r="C1868" s="3" t="s">
        <v>59</v>
      </c>
      <c r="D1868" s="3" t="str">
        <f>VLOOKUP(C1868,Countries!$B$3:$C$140,2,FALSE)</f>
        <v>Europe</v>
      </c>
      <c r="E1868" s="3" t="s">
        <v>21</v>
      </c>
      <c r="F1868" s="3" t="str">
        <f>VLOOKUP(E1868,Countries!$B$3:$C$140,2,FALSE)</f>
        <v>Europe</v>
      </c>
      <c r="G1868" s="4">
        <v>2</v>
      </c>
      <c r="H1868" s="4">
        <v>0</v>
      </c>
    </row>
    <row r="1869" spans="2:8" x14ac:dyDescent="0.2">
      <c r="B1869" s="3" t="s">
        <v>160</v>
      </c>
      <c r="C1869" s="3" t="s">
        <v>59</v>
      </c>
      <c r="D1869" s="3" t="str">
        <f>VLOOKUP(C1869,Countries!$B$3:$C$140,2,FALSE)</f>
        <v>Europe</v>
      </c>
      <c r="E1869" s="3" t="s">
        <v>53</v>
      </c>
      <c r="F1869" s="3" t="str">
        <f>VLOOKUP(E1869,Countries!$B$3:$C$140,2,FALSE)</f>
        <v>Europe</v>
      </c>
      <c r="G1869" s="4">
        <v>2</v>
      </c>
      <c r="H1869" s="4">
        <v>0</v>
      </c>
    </row>
    <row r="1870" spans="2:8" x14ac:dyDescent="0.2">
      <c r="B1870" s="3" t="s">
        <v>160</v>
      </c>
      <c r="C1870" s="3" t="s">
        <v>59</v>
      </c>
      <c r="D1870" s="3" t="str">
        <f>VLOOKUP(C1870,Countries!$B$3:$C$140,2,FALSE)</f>
        <v>Europe</v>
      </c>
      <c r="E1870" s="3" t="s">
        <v>54</v>
      </c>
      <c r="F1870" s="3" t="str">
        <f>VLOOKUP(E1870,Countries!$B$3:$C$140,2,FALSE)</f>
        <v>Europe</v>
      </c>
      <c r="G1870" s="4">
        <v>16</v>
      </c>
      <c r="H1870" s="4">
        <v>0</v>
      </c>
    </row>
    <row r="1871" spans="2:8" x14ac:dyDescent="0.2">
      <c r="B1871" s="3" t="s">
        <v>160</v>
      </c>
      <c r="C1871" s="3" t="s">
        <v>59</v>
      </c>
      <c r="D1871" s="3" t="str">
        <f>VLOOKUP(C1871,Countries!$B$3:$C$140,2,FALSE)</f>
        <v>Europe</v>
      </c>
      <c r="E1871" s="3" t="s">
        <v>26</v>
      </c>
      <c r="F1871" s="3" t="str">
        <f>VLOOKUP(E1871,Countries!$B$3:$C$140,2,FALSE)</f>
        <v>Europe</v>
      </c>
      <c r="G1871" s="4">
        <v>4</v>
      </c>
      <c r="H1871" s="4">
        <v>0</v>
      </c>
    </row>
    <row r="1872" spans="2:8" x14ac:dyDescent="0.2">
      <c r="B1872" s="3" t="s">
        <v>160</v>
      </c>
      <c r="C1872" s="3" t="s">
        <v>59</v>
      </c>
      <c r="D1872" s="3" t="str">
        <f>VLOOKUP(C1872,Countries!$B$3:$C$140,2,FALSE)</f>
        <v>Europe</v>
      </c>
      <c r="E1872" s="3" t="s">
        <v>46</v>
      </c>
      <c r="F1872" s="3" t="str">
        <f>VLOOKUP(E1872,Countries!$B$3:$C$140,2,FALSE)</f>
        <v>Europe/Asia</v>
      </c>
      <c r="G1872" s="4">
        <v>50</v>
      </c>
      <c r="H1872" s="4">
        <v>154998.83854500001</v>
      </c>
    </row>
    <row r="1873" spans="2:8" x14ac:dyDescent="0.2">
      <c r="B1873" s="3" t="s">
        <v>160</v>
      </c>
      <c r="C1873" s="3" t="s">
        <v>59</v>
      </c>
      <c r="D1873" s="3" t="str">
        <f>VLOOKUP(C1873,Countries!$B$3:$C$140,2,FALSE)</f>
        <v>Europe</v>
      </c>
      <c r="E1873" s="3" t="s">
        <v>55</v>
      </c>
      <c r="F1873" s="3" t="str">
        <f>VLOOKUP(E1873,Countries!$B$3:$C$140,2,FALSE)</f>
        <v>Europe</v>
      </c>
      <c r="G1873" s="4">
        <v>2</v>
      </c>
      <c r="H1873" s="4">
        <v>0</v>
      </c>
    </row>
    <row r="1874" spans="2:8" x14ac:dyDescent="0.2">
      <c r="B1874" s="3" t="s">
        <v>160</v>
      </c>
      <c r="C1874" s="3" t="s">
        <v>59</v>
      </c>
      <c r="D1874" s="3" t="str">
        <f>VLOOKUP(C1874,Countries!$B$3:$C$140,2,FALSE)</f>
        <v>Europe</v>
      </c>
      <c r="E1874" s="3" t="s">
        <v>28</v>
      </c>
      <c r="F1874" s="3" t="str">
        <f>VLOOKUP(E1874,Countries!$B$3:$C$140,2,FALSE)</f>
        <v>Europe</v>
      </c>
      <c r="G1874" s="4">
        <v>4</v>
      </c>
      <c r="H1874" s="4">
        <v>0</v>
      </c>
    </row>
    <row r="1875" spans="2:8" x14ac:dyDescent="0.2">
      <c r="B1875" s="3" t="s">
        <v>160</v>
      </c>
      <c r="C1875" s="3" t="s">
        <v>59</v>
      </c>
      <c r="D1875" s="3" t="str">
        <f>VLOOKUP(C1875,Countries!$B$3:$C$140,2,FALSE)</f>
        <v>Europe</v>
      </c>
      <c r="E1875" s="3" t="s">
        <v>31</v>
      </c>
      <c r="F1875" s="3" t="str">
        <f>VLOOKUP(E1875,Countries!$B$3:$C$140,2,FALSE)</f>
        <v>Europe</v>
      </c>
      <c r="G1875" s="4">
        <v>4</v>
      </c>
      <c r="H1875" s="4">
        <v>0</v>
      </c>
    </row>
    <row r="1876" spans="2:8" x14ac:dyDescent="0.2">
      <c r="B1876" s="3" t="s">
        <v>160</v>
      </c>
      <c r="C1876" s="3" t="s">
        <v>59</v>
      </c>
      <c r="D1876" s="3" t="str">
        <f>VLOOKUP(C1876,Countries!$B$3:$C$140,2,FALSE)</f>
        <v>Europe</v>
      </c>
      <c r="E1876" s="3" t="s">
        <v>135</v>
      </c>
      <c r="F1876" s="3" t="str">
        <f>VLOOKUP(E1876,Countries!$B$3:$C$140,2,FALSE)</f>
        <v>Asia</v>
      </c>
      <c r="G1876" s="4">
        <v>2</v>
      </c>
      <c r="H1876" s="4">
        <v>0</v>
      </c>
    </row>
    <row r="1877" spans="2:8" x14ac:dyDescent="0.2">
      <c r="B1877" s="3" t="s">
        <v>160</v>
      </c>
      <c r="C1877" s="3" t="s">
        <v>59</v>
      </c>
      <c r="D1877" s="3" t="str">
        <f>VLOOKUP(C1877,Countries!$B$3:$C$140,2,FALSE)</f>
        <v>Europe</v>
      </c>
      <c r="E1877" s="3" t="s">
        <v>32</v>
      </c>
      <c r="F1877" s="3" t="str">
        <f>VLOOKUP(E1877,Countries!$B$3:$C$140,2,FALSE)</f>
        <v>Europe</v>
      </c>
      <c r="G1877" s="4">
        <v>28</v>
      </c>
      <c r="H1877" s="4">
        <v>300</v>
      </c>
    </row>
    <row r="1878" spans="2:8" x14ac:dyDescent="0.2">
      <c r="B1878" s="3" t="s">
        <v>160</v>
      </c>
      <c r="C1878" s="3" t="s">
        <v>59</v>
      </c>
      <c r="D1878" s="3" t="str">
        <f>VLOOKUP(C1878,Countries!$B$3:$C$140,2,FALSE)</f>
        <v>Europe</v>
      </c>
      <c r="E1878" s="3" t="s">
        <v>58</v>
      </c>
      <c r="F1878" s="3" t="str">
        <f>VLOOKUP(E1878,Countries!$B$3:$C$140,2,FALSE)</f>
        <v>South America</v>
      </c>
      <c r="G1878" s="4">
        <v>4</v>
      </c>
      <c r="H1878" s="4">
        <v>0</v>
      </c>
    </row>
    <row r="1879" spans="2:8" x14ac:dyDescent="0.2">
      <c r="B1879" s="3" t="s">
        <v>160</v>
      </c>
      <c r="C1879" s="3" t="s">
        <v>59</v>
      </c>
      <c r="D1879" s="3" t="str">
        <f>VLOOKUP(C1879,Countries!$B$3:$C$140,2,FALSE)</f>
        <v>Europe</v>
      </c>
      <c r="E1879" s="3" t="s">
        <v>87</v>
      </c>
      <c r="F1879" s="3" t="str">
        <f>VLOOKUP(E1879,Countries!$B$3:$C$140,2,FALSE)</f>
        <v>Asia</v>
      </c>
      <c r="G1879" s="4">
        <v>6</v>
      </c>
      <c r="H1879" s="4">
        <v>0</v>
      </c>
    </row>
    <row r="1880" spans="2:8" x14ac:dyDescent="0.2">
      <c r="B1880" s="3" t="s">
        <v>160</v>
      </c>
      <c r="C1880" s="3" t="s">
        <v>36</v>
      </c>
      <c r="D1880" s="3" t="str">
        <f>VLOOKUP(C1880,Countries!$B$3:$C$140,2,FALSE)</f>
        <v>Europe</v>
      </c>
      <c r="E1880" s="3" t="s">
        <v>2</v>
      </c>
      <c r="F1880" s="3" t="str">
        <f>VLOOKUP(E1880,Countries!$B$3:$C$140,2,FALSE)</f>
        <v>Europe</v>
      </c>
      <c r="G1880" s="4">
        <v>2</v>
      </c>
      <c r="H1880" s="4">
        <v>0</v>
      </c>
    </row>
    <row r="1881" spans="2:8" x14ac:dyDescent="0.2">
      <c r="B1881" s="3" t="s">
        <v>160</v>
      </c>
      <c r="C1881" s="3" t="s">
        <v>36</v>
      </c>
      <c r="D1881" s="3" t="str">
        <f>VLOOKUP(C1881,Countries!$B$3:$C$140,2,FALSE)</f>
        <v>Europe</v>
      </c>
      <c r="E1881" s="3" t="s">
        <v>113</v>
      </c>
      <c r="F1881" s="3" t="str">
        <f>VLOOKUP(E1881,Countries!$B$3:$C$140,2,FALSE)</f>
        <v>Africa</v>
      </c>
      <c r="G1881" s="4">
        <v>4</v>
      </c>
      <c r="H1881" s="4">
        <v>0</v>
      </c>
    </row>
    <row r="1882" spans="2:8" x14ac:dyDescent="0.2">
      <c r="B1882" s="3" t="s">
        <v>160</v>
      </c>
      <c r="C1882" s="3" t="s">
        <v>36</v>
      </c>
      <c r="D1882" s="3" t="str">
        <f>VLOOKUP(C1882,Countries!$B$3:$C$140,2,FALSE)</f>
        <v>Europe</v>
      </c>
      <c r="E1882" s="3" t="s">
        <v>34</v>
      </c>
      <c r="F1882" s="3" t="str">
        <f>VLOOKUP(E1882,Countries!$B$3:$C$140,2,FALSE)</f>
        <v>Asia</v>
      </c>
      <c r="G1882" s="4">
        <v>4</v>
      </c>
      <c r="H1882" s="4">
        <v>0</v>
      </c>
    </row>
    <row r="1883" spans="2:8" x14ac:dyDescent="0.2">
      <c r="B1883" s="3" t="s">
        <v>160</v>
      </c>
      <c r="C1883" s="3" t="s">
        <v>36</v>
      </c>
      <c r="D1883" s="3" t="str">
        <f>VLOOKUP(C1883,Countries!$B$3:$C$140,2,FALSE)</f>
        <v>Europe</v>
      </c>
      <c r="E1883" s="3" t="s">
        <v>3</v>
      </c>
      <c r="F1883" s="3" t="str">
        <f>VLOOKUP(E1883,Countries!$B$3:$C$140,2,FALSE)</f>
        <v>Europe</v>
      </c>
      <c r="G1883" s="4">
        <v>2</v>
      </c>
      <c r="H1883" s="4">
        <v>0</v>
      </c>
    </row>
    <row r="1884" spans="2:8" x14ac:dyDescent="0.2">
      <c r="B1884" s="3" t="s">
        <v>160</v>
      </c>
      <c r="C1884" s="3" t="s">
        <v>36</v>
      </c>
      <c r="D1884" s="3" t="str">
        <f>VLOOKUP(C1884,Countries!$B$3:$C$140,2,FALSE)</f>
        <v>Europe</v>
      </c>
      <c r="E1884" s="3" t="s">
        <v>35</v>
      </c>
      <c r="F1884" s="3" t="str">
        <f>VLOOKUP(E1884,Countries!$B$3:$C$140,2,FALSE)</f>
        <v>Europe</v>
      </c>
      <c r="G1884" s="4">
        <v>8</v>
      </c>
      <c r="H1884" s="4">
        <v>0</v>
      </c>
    </row>
    <row r="1885" spans="2:8" x14ac:dyDescent="0.2">
      <c r="B1885" s="3" t="s">
        <v>160</v>
      </c>
      <c r="C1885" s="3" t="s">
        <v>36</v>
      </c>
      <c r="D1885" s="3" t="str">
        <f>VLOOKUP(C1885,Countries!$B$3:$C$140,2,FALSE)</f>
        <v>Europe</v>
      </c>
      <c r="E1885" s="3" t="s">
        <v>7</v>
      </c>
      <c r="F1885" s="3" t="str">
        <f>VLOOKUP(E1885,Countries!$B$3:$C$140,2,FALSE)</f>
        <v>South America</v>
      </c>
      <c r="G1885" s="4">
        <v>34</v>
      </c>
      <c r="H1885" s="4">
        <v>2431123.925295</v>
      </c>
    </row>
    <row r="1886" spans="2:8" x14ac:dyDescent="0.2">
      <c r="B1886" s="3" t="s">
        <v>160</v>
      </c>
      <c r="C1886" s="3" t="s">
        <v>36</v>
      </c>
      <c r="D1886" s="3" t="str">
        <f>VLOOKUP(C1886,Countries!$B$3:$C$140,2,FALSE)</f>
        <v>Europe</v>
      </c>
      <c r="E1886" s="3" t="s">
        <v>89</v>
      </c>
      <c r="F1886" s="3" t="str">
        <f>VLOOKUP(E1886,Countries!$B$3:$C$140,2,FALSE)</f>
        <v>Asia</v>
      </c>
      <c r="G1886" s="4">
        <v>8</v>
      </c>
      <c r="H1886" s="4">
        <v>0</v>
      </c>
    </row>
    <row r="1887" spans="2:8" x14ac:dyDescent="0.2">
      <c r="B1887" s="3" t="s">
        <v>160</v>
      </c>
      <c r="C1887" s="3" t="s">
        <v>36</v>
      </c>
      <c r="D1887" s="3" t="str">
        <f>VLOOKUP(C1887,Countries!$B$3:$C$140,2,FALSE)</f>
        <v>Europe</v>
      </c>
      <c r="E1887" s="3" t="s">
        <v>106</v>
      </c>
      <c r="F1887" s="3" t="str">
        <f>VLOOKUP(E1887,Countries!$B$3:$C$140,2,FALSE)</f>
        <v>Africa</v>
      </c>
      <c r="G1887" s="4">
        <v>2</v>
      </c>
      <c r="H1887" s="4">
        <v>0</v>
      </c>
    </row>
    <row r="1888" spans="2:8" x14ac:dyDescent="0.2">
      <c r="B1888" s="3" t="s">
        <v>160</v>
      </c>
      <c r="C1888" s="3" t="s">
        <v>36</v>
      </c>
      <c r="D1888" s="3" t="str">
        <f>VLOOKUP(C1888,Countries!$B$3:$C$140,2,FALSE)</f>
        <v>Europe</v>
      </c>
      <c r="E1888" s="3" t="s">
        <v>72</v>
      </c>
      <c r="F1888" s="3" t="str">
        <f>VLOOKUP(E1888,Countries!$B$3:$C$140,2,FALSE)</f>
        <v>South America</v>
      </c>
      <c r="G1888" s="4">
        <v>2</v>
      </c>
      <c r="H1888" s="4">
        <v>300000</v>
      </c>
    </row>
    <row r="1889" spans="2:8" x14ac:dyDescent="0.2">
      <c r="B1889" s="3" t="s">
        <v>160</v>
      </c>
      <c r="C1889" s="3" t="s">
        <v>36</v>
      </c>
      <c r="D1889" s="3" t="str">
        <f>VLOOKUP(C1889,Countries!$B$3:$C$140,2,FALSE)</f>
        <v>Europe</v>
      </c>
      <c r="E1889" s="3" t="s">
        <v>62</v>
      </c>
      <c r="F1889" s="3" t="str">
        <f>VLOOKUP(E1889,Countries!$B$3:$C$140,2,FALSE)</f>
        <v>Asia</v>
      </c>
      <c r="G1889" s="4">
        <v>26</v>
      </c>
      <c r="H1889" s="4">
        <v>0</v>
      </c>
    </row>
    <row r="1890" spans="2:8" x14ac:dyDescent="0.2">
      <c r="B1890" s="3" t="s">
        <v>160</v>
      </c>
      <c r="C1890" s="3" t="s">
        <v>36</v>
      </c>
      <c r="D1890" s="3" t="str">
        <f>VLOOKUP(C1890,Countries!$B$3:$C$140,2,FALSE)</f>
        <v>Europe</v>
      </c>
      <c r="E1890" s="3" t="s">
        <v>49</v>
      </c>
      <c r="F1890" s="3" t="str">
        <f>VLOOKUP(E1890,Countries!$B$3:$C$140,2,FALSE)</f>
        <v>Europe</v>
      </c>
      <c r="G1890" s="4">
        <v>2</v>
      </c>
      <c r="H1890" s="4">
        <v>0</v>
      </c>
    </row>
    <row r="1891" spans="2:8" x14ac:dyDescent="0.2">
      <c r="B1891" s="3" t="s">
        <v>160</v>
      </c>
      <c r="C1891" s="3" t="s">
        <v>36</v>
      </c>
      <c r="D1891" s="3" t="str">
        <f>VLOOKUP(C1891,Countries!$B$3:$C$140,2,FALSE)</f>
        <v>Europe</v>
      </c>
      <c r="E1891" s="3" t="s">
        <v>63</v>
      </c>
      <c r="F1891" s="3" t="str">
        <f>VLOOKUP(E1891,Countries!$B$3:$C$140,2,FALSE)</f>
        <v>Africa</v>
      </c>
      <c r="G1891" s="4">
        <v>2</v>
      </c>
      <c r="H1891" s="4">
        <v>0</v>
      </c>
    </row>
    <row r="1892" spans="2:8" x14ac:dyDescent="0.2">
      <c r="B1892" s="3" t="s">
        <v>160</v>
      </c>
      <c r="C1892" s="3" t="s">
        <v>36</v>
      </c>
      <c r="D1892" s="3" t="str">
        <f>VLOOKUP(C1892,Countries!$B$3:$C$140,2,FALSE)</f>
        <v>Europe</v>
      </c>
      <c r="E1892" s="3" t="s">
        <v>50</v>
      </c>
      <c r="F1892" s="3" t="str">
        <f>VLOOKUP(E1892,Countries!$B$3:$C$140,2,FALSE)</f>
        <v>Europe</v>
      </c>
      <c r="G1892" s="4">
        <v>14</v>
      </c>
      <c r="H1892" s="4">
        <v>1489221.6187419002</v>
      </c>
    </row>
    <row r="1893" spans="2:8" x14ac:dyDescent="0.2">
      <c r="B1893" s="3" t="s">
        <v>160</v>
      </c>
      <c r="C1893" s="3" t="s">
        <v>36</v>
      </c>
      <c r="D1893" s="3" t="str">
        <f>VLOOKUP(C1893,Countries!$B$3:$C$140,2,FALSE)</f>
        <v>Europe</v>
      </c>
      <c r="E1893" s="3" t="s">
        <v>11</v>
      </c>
      <c r="F1893" s="3" t="str">
        <f>VLOOKUP(E1893,Countries!$B$3:$C$140,2,FALSE)</f>
        <v>Europe</v>
      </c>
      <c r="G1893" s="4">
        <v>10</v>
      </c>
      <c r="H1893" s="4">
        <v>0</v>
      </c>
    </row>
    <row r="1894" spans="2:8" x14ac:dyDescent="0.2">
      <c r="B1894" s="3" t="s">
        <v>160</v>
      </c>
      <c r="C1894" s="3" t="s">
        <v>36</v>
      </c>
      <c r="D1894" s="3" t="str">
        <f>VLOOKUP(C1894,Countries!$B$3:$C$140,2,FALSE)</f>
        <v>Europe</v>
      </c>
      <c r="E1894" s="3" t="s">
        <v>12</v>
      </c>
      <c r="F1894" s="3" t="str">
        <f>VLOOKUP(E1894,Countries!$B$3:$C$140,2,FALSE)</f>
        <v>Europe</v>
      </c>
      <c r="G1894" s="4">
        <v>24</v>
      </c>
      <c r="H1894" s="4">
        <v>0</v>
      </c>
    </row>
    <row r="1895" spans="2:8" x14ac:dyDescent="0.2">
      <c r="B1895" s="3" t="s">
        <v>160</v>
      </c>
      <c r="C1895" s="3" t="s">
        <v>36</v>
      </c>
      <c r="D1895" s="3" t="str">
        <f>VLOOKUP(C1895,Countries!$B$3:$C$140,2,FALSE)</f>
        <v>Europe</v>
      </c>
      <c r="E1895" s="3" t="s">
        <v>13</v>
      </c>
      <c r="F1895" s="3" t="str">
        <f>VLOOKUP(E1895,Countries!$B$3:$C$140,2,FALSE)</f>
        <v>Europe</v>
      </c>
      <c r="G1895" s="4">
        <v>16</v>
      </c>
      <c r="H1895" s="4">
        <v>0</v>
      </c>
    </row>
    <row r="1896" spans="2:8" x14ac:dyDescent="0.2">
      <c r="B1896" s="3" t="s">
        <v>160</v>
      </c>
      <c r="C1896" s="3" t="s">
        <v>36</v>
      </c>
      <c r="D1896" s="3" t="str">
        <f>VLOOKUP(C1896,Countries!$B$3:$C$140,2,FALSE)</f>
        <v>Europe</v>
      </c>
      <c r="E1896" s="3" t="s">
        <v>14</v>
      </c>
      <c r="F1896" s="3" t="str">
        <f>VLOOKUP(E1896,Countries!$B$3:$C$140,2,FALSE)</f>
        <v>Europe</v>
      </c>
      <c r="G1896" s="4">
        <v>10</v>
      </c>
      <c r="H1896" s="4">
        <v>0</v>
      </c>
    </row>
    <row r="1897" spans="2:8" x14ac:dyDescent="0.2">
      <c r="B1897" s="3" t="s">
        <v>160</v>
      </c>
      <c r="C1897" s="3" t="s">
        <v>36</v>
      </c>
      <c r="D1897" s="3" t="str">
        <f>VLOOKUP(C1897,Countries!$B$3:$C$140,2,FALSE)</f>
        <v>Europe</v>
      </c>
      <c r="E1897" s="3" t="s">
        <v>15</v>
      </c>
      <c r="F1897" s="3" t="str">
        <f>VLOOKUP(E1897,Countries!$B$3:$C$140,2,FALSE)</f>
        <v>Europe</v>
      </c>
      <c r="G1897" s="4">
        <v>2</v>
      </c>
      <c r="H1897" s="4">
        <v>0</v>
      </c>
    </row>
    <row r="1898" spans="2:8" x14ac:dyDescent="0.2">
      <c r="B1898" s="3" t="s">
        <v>160</v>
      </c>
      <c r="C1898" s="3" t="s">
        <v>36</v>
      </c>
      <c r="D1898" s="3" t="str">
        <f>VLOOKUP(C1898,Countries!$B$3:$C$140,2,FALSE)</f>
        <v>Europe</v>
      </c>
      <c r="E1898" s="3" t="s">
        <v>51</v>
      </c>
      <c r="F1898" s="3" t="str">
        <f>VLOOKUP(E1898,Countries!$B$3:$C$140,2,FALSE)</f>
        <v>Asia</v>
      </c>
      <c r="G1898" s="4">
        <v>2</v>
      </c>
      <c r="H1898" s="4">
        <v>0</v>
      </c>
    </row>
    <row r="1899" spans="2:8" x14ac:dyDescent="0.2">
      <c r="B1899" s="3" t="s">
        <v>160</v>
      </c>
      <c r="C1899" s="3" t="s">
        <v>36</v>
      </c>
      <c r="D1899" s="3" t="str">
        <f>VLOOKUP(C1899,Countries!$B$3:$C$140,2,FALSE)</f>
        <v>Europe</v>
      </c>
      <c r="E1899" s="3" t="s">
        <v>17</v>
      </c>
      <c r="F1899" s="3" t="str">
        <f>VLOOKUP(E1899,Countries!$B$3:$C$140,2,FALSE)</f>
        <v>Europe</v>
      </c>
      <c r="G1899" s="4">
        <v>54</v>
      </c>
      <c r="H1899" s="4">
        <v>1210749.2835300001</v>
      </c>
    </row>
    <row r="1900" spans="2:8" x14ac:dyDescent="0.2">
      <c r="B1900" s="3" t="s">
        <v>160</v>
      </c>
      <c r="C1900" s="3" t="s">
        <v>36</v>
      </c>
      <c r="D1900" s="3" t="str">
        <f>VLOOKUP(C1900,Countries!$B$3:$C$140,2,FALSE)</f>
        <v>Europe</v>
      </c>
      <c r="E1900" s="3" t="s">
        <v>40</v>
      </c>
      <c r="F1900" s="3" t="str">
        <f>VLOOKUP(E1900,Countries!$B$3:$C$140,2,FALSE)</f>
        <v>Asia</v>
      </c>
      <c r="G1900" s="4">
        <v>4</v>
      </c>
      <c r="H1900" s="4">
        <v>0</v>
      </c>
    </row>
    <row r="1901" spans="2:8" x14ac:dyDescent="0.2">
      <c r="B1901" s="3" t="s">
        <v>160</v>
      </c>
      <c r="C1901" s="3" t="s">
        <v>36</v>
      </c>
      <c r="D1901" s="3" t="str">
        <f>VLOOKUP(C1901,Countries!$B$3:$C$140,2,FALSE)</f>
        <v>Europe</v>
      </c>
      <c r="E1901" s="3" t="s">
        <v>66</v>
      </c>
      <c r="F1901" s="3" t="str">
        <f>VLOOKUP(E1901,Countries!$B$3:$C$140,2,FALSE)</f>
        <v>Europe</v>
      </c>
      <c r="G1901" s="4">
        <v>2</v>
      </c>
      <c r="H1901" s="4">
        <v>0</v>
      </c>
    </row>
    <row r="1902" spans="2:8" x14ac:dyDescent="0.2">
      <c r="B1902" s="3" t="s">
        <v>160</v>
      </c>
      <c r="C1902" s="3" t="s">
        <v>36</v>
      </c>
      <c r="D1902" s="3" t="str">
        <f>VLOOKUP(C1902,Countries!$B$3:$C$140,2,FALSE)</f>
        <v>Europe</v>
      </c>
      <c r="E1902" s="3" t="s">
        <v>43</v>
      </c>
      <c r="F1902" s="3" t="str">
        <f>VLOOKUP(E1902,Countries!$B$3:$C$140,2,FALSE)</f>
        <v>Europe</v>
      </c>
      <c r="G1902" s="4">
        <v>4</v>
      </c>
      <c r="H1902" s="4">
        <v>605374.64176500007</v>
      </c>
    </row>
    <row r="1903" spans="2:8" x14ac:dyDescent="0.2">
      <c r="B1903" s="3" t="s">
        <v>160</v>
      </c>
      <c r="C1903" s="3" t="s">
        <v>36</v>
      </c>
      <c r="D1903" s="3" t="str">
        <f>VLOOKUP(C1903,Countries!$B$3:$C$140,2,FALSE)</f>
        <v>Europe</v>
      </c>
      <c r="E1903" s="3" t="s">
        <v>22</v>
      </c>
      <c r="F1903" s="3" t="str">
        <f>VLOOKUP(E1903,Countries!$B$3:$C$140,2,FALSE)</f>
        <v>Europe</v>
      </c>
      <c r="G1903" s="4">
        <v>6</v>
      </c>
      <c r="H1903" s="4">
        <v>0</v>
      </c>
    </row>
    <row r="1904" spans="2:8" x14ac:dyDescent="0.2">
      <c r="B1904" s="3" t="s">
        <v>160</v>
      </c>
      <c r="C1904" s="3" t="s">
        <v>36</v>
      </c>
      <c r="D1904" s="3" t="str">
        <f>VLOOKUP(C1904,Countries!$B$3:$C$140,2,FALSE)</f>
        <v>Europe</v>
      </c>
      <c r="E1904" s="3" t="s">
        <v>128</v>
      </c>
      <c r="F1904" s="3" t="str">
        <f>VLOOKUP(E1904,Countries!$B$3:$C$140,2,FALSE)</f>
        <v>Africa</v>
      </c>
      <c r="G1904" s="4">
        <v>2</v>
      </c>
      <c r="H1904" s="4">
        <v>0</v>
      </c>
    </row>
    <row r="1905" spans="2:8" x14ac:dyDescent="0.2">
      <c r="B1905" s="3" t="s">
        <v>160</v>
      </c>
      <c r="C1905" s="3" t="s">
        <v>36</v>
      </c>
      <c r="D1905" s="3" t="str">
        <f>VLOOKUP(C1905,Countries!$B$3:$C$140,2,FALSE)</f>
        <v>Europe</v>
      </c>
      <c r="E1905" s="3" t="s">
        <v>53</v>
      </c>
      <c r="F1905" s="3" t="str">
        <f>VLOOKUP(E1905,Countries!$B$3:$C$140,2,FALSE)</f>
        <v>Europe</v>
      </c>
      <c r="G1905" s="4">
        <v>18</v>
      </c>
      <c r="H1905" s="4">
        <v>2172789.3238920001</v>
      </c>
    </row>
    <row r="1906" spans="2:8" x14ac:dyDescent="0.2">
      <c r="B1906" s="3" t="s">
        <v>160</v>
      </c>
      <c r="C1906" s="3" t="s">
        <v>36</v>
      </c>
      <c r="D1906" s="3" t="str">
        <f>VLOOKUP(C1906,Countries!$B$3:$C$140,2,FALSE)</f>
        <v>Europe</v>
      </c>
      <c r="E1906" s="3" t="s">
        <v>44</v>
      </c>
      <c r="F1906" s="3" t="str">
        <f>VLOOKUP(E1906,Countries!$B$3:$C$140,2,FALSE)</f>
        <v>Europe</v>
      </c>
      <c r="G1906" s="4">
        <v>4</v>
      </c>
      <c r="H1906" s="4">
        <v>0</v>
      </c>
    </row>
    <row r="1907" spans="2:8" x14ac:dyDescent="0.2">
      <c r="B1907" s="3" t="s">
        <v>160</v>
      </c>
      <c r="C1907" s="3" t="s">
        <v>36</v>
      </c>
      <c r="D1907" s="3" t="str">
        <f>VLOOKUP(C1907,Countries!$B$3:$C$140,2,FALSE)</f>
        <v>Europe</v>
      </c>
      <c r="E1907" s="3" t="s">
        <v>54</v>
      </c>
      <c r="F1907" s="3" t="str">
        <f>VLOOKUP(E1907,Countries!$B$3:$C$140,2,FALSE)</f>
        <v>Europe</v>
      </c>
      <c r="G1907" s="4">
        <v>18</v>
      </c>
      <c r="H1907" s="4">
        <v>0</v>
      </c>
    </row>
    <row r="1908" spans="2:8" x14ac:dyDescent="0.2">
      <c r="B1908" s="3" t="s">
        <v>160</v>
      </c>
      <c r="C1908" s="3" t="s">
        <v>36</v>
      </c>
      <c r="D1908" s="3" t="str">
        <f>VLOOKUP(C1908,Countries!$B$3:$C$140,2,FALSE)</f>
        <v>Europe</v>
      </c>
      <c r="E1908" s="3" t="s">
        <v>25</v>
      </c>
      <c r="F1908" s="3" t="str">
        <f>VLOOKUP(E1908,Countries!$B$3:$C$140,2,FALSE)</f>
        <v>Europe</v>
      </c>
      <c r="G1908" s="4">
        <v>10</v>
      </c>
      <c r="H1908" s="4">
        <v>101924.42804249999</v>
      </c>
    </row>
    <row r="1909" spans="2:8" x14ac:dyDescent="0.2">
      <c r="B1909" s="3" t="s">
        <v>160</v>
      </c>
      <c r="C1909" s="3" t="s">
        <v>36</v>
      </c>
      <c r="D1909" s="3" t="str">
        <f>VLOOKUP(C1909,Countries!$B$3:$C$140,2,FALSE)</f>
        <v>Europe</v>
      </c>
      <c r="E1909" s="3" t="s">
        <v>81</v>
      </c>
      <c r="F1909" s="3" t="str">
        <f>VLOOKUP(E1909,Countries!$B$3:$C$140,2,FALSE)</f>
        <v>Asia</v>
      </c>
      <c r="G1909" s="4">
        <v>2</v>
      </c>
      <c r="H1909" s="4">
        <v>0</v>
      </c>
    </row>
    <row r="1910" spans="2:8" x14ac:dyDescent="0.2">
      <c r="B1910" s="3" t="s">
        <v>160</v>
      </c>
      <c r="C1910" s="3" t="s">
        <v>36</v>
      </c>
      <c r="D1910" s="3" t="str">
        <f>VLOOKUP(C1910,Countries!$B$3:$C$140,2,FALSE)</f>
        <v>Europe</v>
      </c>
      <c r="E1910" s="3" t="s">
        <v>26</v>
      </c>
      <c r="F1910" s="3" t="str">
        <f>VLOOKUP(E1910,Countries!$B$3:$C$140,2,FALSE)</f>
        <v>Europe</v>
      </c>
      <c r="G1910" s="4">
        <v>18</v>
      </c>
      <c r="H1910" s="4">
        <v>1019047.31363775</v>
      </c>
    </row>
    <row r="1911" spans="2:8" x14ac:dyDescent="0.2">
      <c r="B1911" s="3" t="s">
        <v>160</v>
      </c>
      <c r="C1911" s="3" t="s">
        <v>36</v>
      </c>
      <c r="D1911" s="3" t="str">
        <f>VLOOKUP(C1911,Countries!$B$3:$C$140,2,FALSE)</f>
        <v>Europe</v>
      </c>
      <c r="E1911" s="3" t="s">
        <v>46</v>
      </c>
      <c r="F1911" s="3" t="str">
        <f>VLOOKUP(E1911,Countries!$B$3:$C$140,2,FALSE)</f>
        <v>Europe/Asia</v>
      </c>
      <c r="G1911" s="4">
        <v>2</v>
      </c>
      <c r="H1911" s="4">
        <v>0</v>
      </c>
    </row>
    <row r="1912" spans="2:8" x14ac:dyDescent="0.2">
      <c r="B1912" s="3" t="s">
        <v>160</v>
      </c>
      <c r="C1912" s="3" t="s">
        <v>36</v>
      </c>
      <c r="D1912" s="3" t="str">
        <f>VLOOKUP(C1912,Countries!$B$3:$C$140,2,FALSE)</f>
        <v>Europe</v>
      </c>
      <c r="E1912" s="3" t="s">
        <v>55</v>
      </c>
      <c r="F1912" s="3" t="str">
        <f>VLOOKUP(E1912,Countries!$B$3:$C$140,2,FALSE)</f>
        <v>Europe</v>
      </c>
      <c r="G1912" s="4">
        <v>6</v>
      </c>
      <c r="H1912" s="4">
        <v>0</v>
      </c>
    </row>
    <row r="1913" spans="2:8" x14ac:dyDescent="0.2">
      <c r="B1913" s="3" t="s">
        <v>160</v>
      </c>
      <c r="C1913" s="3" t="s">
        <v>36</v>
      </c>
      <c r="D1913" s="3" t="str">
        <f>VLOOKUP(C1913,Countries!$B$3:$C$140,2,FALSE)</f>
        <v>Europe</v>
      </c>
      <c r="E1913" s="3" t="s">
        <v>47</v>
      </c>
      <c r="F1913" s="3" t="str">
        <f>VLOOKUP(E1913,Countries!$B$3:$C$140,2,FALSE)</f>
        <v>Africa</v>
      </c>
      <c r="G1913" s="4">
        <v>2</v>
      </c>
      <c r="H1913" s="4">
        <v>15000</v>
      </c>
    </row>
    <row r="1914" spans="2:8" x14ac:dyDescent="0.2">
      <c r="B1914" s="3" t="s">
        <v>160</v>
      </c>
      <c r="C1914" s="3" t="s">
        <v>36</v>
      </c>
      <c r="D1914" s="3" t="str">
        <f>VLOOKUP(C1914,Countries!$B$3:$C$140,2,FALSE)</f>
        <v>Europe</v>
      </c>
      <c r="E1914" s="3" t="s">
        <v>28</v>
      </c>
      <c r="F1914" s="3" t="str">
        <f>VLOOKUP(E1914,Countries!$B$3:$C$140,2,FALSE)</f>
        <v>Europe</v>
      </c>
      <c r="G1914" s="4">
        <v>2</v>
      </c>
      <c r="H1914" s="4">
        <v>0</v>
      </c>
    </row>
    <row r="1915" spans="2:8" x14ac:dyDescent="0.2">
      <c r="B1915" s="3" t="s">
        <v>160</v>
      </c>
      <c r="C1915" s="3" t="s">
        <v>36</v>
      </c>
      <c r="D1915" s="3" t="str">
        <f>VLOOKUP(C1915,Countries!$B$3:$C$140,2,FALSE)</f>
        <v>Europe</v>
      </c>
      <c r="E1915" s="3" t="s">
        <v>29</v>
      </c>
      <c r="F1915" s="3" t="str">
        <f>VLOOKUP(E1915,Countries!$B$3:$C$140,2,FALSE)</f>
        <v>Europe</v>
      </c>
      <c r="G1915" s="4">
        <v>6</v>
      </c>
      <c r="H1915" s="4">
        <v>55678.075757999992</v>
      </c>
    </row>
    <row r="1916" spans="2:8" x14ac:dyDescent="0.2">
      <c r="B1916" s="3" t="s">
        <v>160</v>
      </c>
      <c r="C1916" s="3" t="s">
        <v>36</v>
      </c>
      <c r="D1916" s="3" t="str">
        <f>VLOOKUP(C1916,Countries!$B$3:$C$140,2,FALSE)</f>
        <v>Europe</v>
      </c>
      <c r="E1916" s="3" t="s">
        <v>56</v>
      </c>
      <c r="F1916" s="3" t="str">
        <f>VLOOKUP(E1916,Countries!$B$3:$C$140,2,FALSE)</f>
        <v>Europe</v>
      </c>
      <c r="G1916" s="4">
        <v>4</v>
      </c>
      <c r="H1916" s="4">
        <v>605374.64176500007</v>
      </c>
    </row>
    <row r="1917" spans="2:8" x14ac:dyDescent="0.2">
      <c r="B1917" s="3" t="s">
        <v>160</v>
      </c>
      <c r="C1917" s="3" t="s">
        <v>36</v>
      </c>
      <c r="D1917" s="3" t="str">
        <f>VLOOKUP(C1917,Countries!$B$3:$C$140,2,FALSE)</f>
        <v>Europe</v>
      </c>
      <c r="E1917" s="3" t="s">
        <v>30</v>
      </c>
      <c r="F1917" s="3" t="str">
        <f>VLOOKUP(E1917,Countries!$B$3:$C$140,2,FALSE)</f>
        <v>Europe</v>
      </c>
      <c r="G1917" s="4">
        <v>2</v>
      </c>
      <c r="H1917" s="4">
        <v>807166.18901999993</v>
      </c>
    </row>
    <row r="1918" spans="2:8" x14ac:dyDescent="0.2">
      <c r="B1918" s="3" t="s">
        <v>160</v>
      </c>
      <c r="C1918" s="3" t="s">
        <v>36</v>
      </c>
      <c r="D1918" s="3" t="str">
        <f>VLOOKUP(C1918,Countries!$B$3:$C$140,2,FALSE)</f>
        <v>Europe</v>
      </c>
      <c r="E1918" s="3" t="s">
        <v>31</v>
      </c>
      <c r="F1918" s="3" t="str">
        <f>VLOOKUP(E1918,Countries!$B$3:$C$140,2,FALSE)</f>
        <v>Europe</v>
      </c>
      <c r="G1918" s="4">
        <v>8</v>
      </c>
      <c r="H1918" s="4">
        <v>0</v>
      </c>
    </row>
    <row r="1919" spans="2:8" x14ac:dyDescent="0.2">
      <c r="B1919" s="3" t="s">
        <v>160</v>
      </c>
      <c r="C1919" s="3" t="s">
        <v>36</v>
      </c>
      <c r="D1919" s="3" t="str">
        <f>VLOOKUP(C1919,Countries!$B$3:$C$140,2,FALSE)</f>
        <v>Europe</v>
      </c>
      <c r="E1919" s="3" t="s">
        <v>57</v>
      </c>
      <c r="F1919" s="3" t="str">
        <f>VLOOKUP(E1919,Countries!$B$3:$C$140,2,FALSE)</f>
        <v>Europe/Asia</v>
      </c>
      <c r="G1919" s="4">
        <v>8</v>
      </c>
      <c r="H1919" s="4">
        <v>0</v>
      </c>
    </row>
    <row r="1920" spans="2:8" x14ac:dyDescent="0.2">
      <c r="B1920" s="3" t="s">
        <v>160</v>
      </c>
      <c r="C1920" s="3" t="s">
        <v>36</v>
      </c>
      <c r="D1920" s="3" t="str">
        <f>VLOOKUP(C1920,Countries!$B$3:$C$140,2,FALSE)</f>
        <v>Europe</v>
      </c>
      <c r="E1920" s="3" t="s">
        <v>32</v>
      </c>
      <c r="F1920" s="3" t="str">
        <f>VLOOKUP(E1920,Countries!$B$3:$C$140,2,FALSE)</f>
        <v>Europe</v>
      </c>
      <c r="G1920" s="4">
        <v>4</v>
      </c>
      <c r="H1920" s="4">
        <v>0</v>
      </c>
    </row>
    <row r="1921" spans="2:8" x14ac:dyDescent="0.2">
      <c r="B1921" s="3" t="s">
        <v>160</v>
      </c>
      <c r="C1921" s="3" t="s">
        <v>36</v>
      </c>
      <c r="D1921" s="3" t="str">
        <f>VLOOKUP(C1921,Countries!$B$3:$C$140,2,FALSE)</f>
        <v>Europe</v>
      </c>
      <c r="E1921" s="3" t="s">
        <v>58</v>
      </c>
      <c r="F1921" s="3" t="str">
        <f>VLOOKUP(E1921,Countries!$B$3:$C$140,2,FALSE)</f>
        <v>South America</v>
      </c>
      <c r="G1921" s="4">
        <v>2</v>
      </c>
      <c r="H1921" s="4">
        <v>0</v>
      </c>
    </row>
    <row r="1922" spans="2:8" x14ac:dyDescent="0.2">
      <c r="B1922" s="3" t="s">
        <v>160</v>
      </c>
      <c r="C1922" s="3" t="s">
        <v>9</v>
      </c>
      <c r="D1922" s="3" t="str">
        <f>VLOOKUP(C1922,Countries!$B$3:$C$140,2,FALSE)</f>
        <v>Europe</v>
      </c>
      <c r="E1922" s="3" t="s">
        <v>3</v>
      </c>
      <c r="F1922" s="3" t="str">
        <f>VLOOKUP(E1922,Countries!$B$3:$C$140,2,FALSE)</f>
        <v>Europe</v>
      </c>
      <c r="G1922" s="4">
        <v>6</v>
      </c>
      <c r="H1922" s="4">
        <v>0</v>
      </c>
    </row>
    <row r="1923" spans="2:8" x14ac:dyDescent="0.2">
      <c r="B1923" s="3" t="s">
        <v>160</v>
      </c>
      <c r="C1923" s="3" t="s">
        <v>9</v>
      </c>
      <c r="D1923" s="3" t="str">
        <f>VLOOKUP(C1923,Countries!$B$3:$C$140,2,FALSE)</f>
        <v>Europe</v>
      </c>
      <c r="E1923" s="3" t="s">
        <v>35</v>
      </c>
      <c r="F1923" s="3" t="str">
        <f>VLOOKUP(E1923,Countries!$B$3:$C$140,2,FALSE)</f>
        <v>Europe</v>
      </c>
      <c r="G1923" s="4">
        <v>10</v>
      </c>
      <c r="H1923" s="4">
        <v>0</v>
      </c>
    </row>
    <row r="1924" spans="2:8" x14ac:dyDescent="0.2">
      <c r="B1924" s="3" t="s">
        <v>160</v>
      </c>
      <c r="C1924" s="3" t="s">
        <v>9</v>
      </c>
      <c r="D1924" s="3" t="str">
        <f>VLOOKUP(C1924,Countries!$B$3:$C$140,2,FALSE)</f>
        <v>Europe</v>
      </c>
      <c r="E1924" s="3" t="s">
        <v>6</v>
      </c>
      <c r="F1924" s="3" t="str">
        <f>VLOOKUP(E1924,Countries!$B$3:$C$140,2,FALSE)</f>
        <v>Europe</v>
      </c>
      <c r="G1924" s="4">
        <v>22</v>
      </c>
      <c r="H1924" s="4">
        <v>468681.04765446304</v>
      </c>
    </row>
    <row r="1925" spans="2:8" x14ac:dyDescent="0.2">
      <c r="B1925" s="3" t="s">
        <v>160</v>
      </c>
      <c r="C1925" s="3" t="s">
        <v>9</v>
      </c>
      <c r="D1925" s="3" t="str">
        <f>VLOOKUP(C1925,Countries!$B$3:$C$140,2,FALSE)</f>
        <v>Europe</v>
      </c>
      <c r="E1925" s="3" t="s">
        <v>7</v>
      </c>
      <c r="F1925" s="3" t="str">
        <f>VLOOKUP(E1925,Countries!$B$3:$C$140,2,FALSE)</f>
        <v>South America</v>
      </c>
      <c r="G1925" s="4">
        <v>4</v>
      </c>
      <c r="H1925" s="4">
        <v>0</v>
      </c>
    </row>
    <row r="1926" spans="2:8" x14ac:dyDescent="0.2">
      <c r="B1926" s="3" t="s">
        <v>160</v>
      </c>
      <c r="C1926" s="3" t="s">
        <v>9</v>
      </c>
      <c r="D1926" s="3" t="str">
        <f>VLOOKUP(C1926,Countries!$B$3:$C$140,2,FALSE)</f>
        <v>Europe</v>
      </c>
      <c r="E1926" s="3" t="s">
        <v>88</v>
      </c>
      <c r="F1926" s="3" t="str">
        <f>VLOOKUP(E1926,Countries!$B$3:$C$140,2,FALSE)</f>
        <v>South America</v>
      </c>
      <c r="G1926" s="4">
        <v>4</v>
      </c>
      <c r="H1926" s="4">
        <v>8250000</v>
      </c>
    </row>
    <row r="1927" spans="2:8" x14ac:dyDescent="0.2">
      <c r="B1927" s="3" t="s">
        <v>160</v>
      </c>
      <c r="C1927" s="3" t="s">
        <v>9</v>
      </c>
      <c r="D1927" s="3" t="str">
        <f>VLOOKUP(C1927,Countries!$B$3:$C$140,2,FALSE)</f>
        <v>Europe</v>
      </c>
      <c r="E1927" s="3" t="s">
        <v>89</v>
      </c>
      <c r="F1927" s="3" t="str">
        <f>VLOOKUP(E1927,Countries!$B$3:$C$140,2,FALSE)</f>
        <v>Asia</v>
      </c>
      <c r="G1927" s="4">
        <v>4</v>
      </c>
      <c r="H1927" s="4">
        <v>0</v>
      </c>
    </row>
    <row r="1928" spans="2:8" x14ac:dyDescent="0.2">
      <c r="B1928" s="3" t="s">
        <v>160</v>
      </c>
      <c r="C1928" s="3" t="s">
        <v>9</v>
      </c>
      <c r="D1928" s="3" t="str">
        <f>VLOOKUP(C1928,Countries!$B$3:$C$140,2,FALSE)</f>
        <v>Europe</v>
      </c>
      <c r="E1928" s="3" t="s">
        <v>37</v>
      </c>
      <c r="F1928" s="3" t="str">
        <f>VLOOKUP(E1928,Countries!$B$3:$C$140,2,FALSE)</f>
        <v>Africa</v>
      </c>
      <c r="G1928" s="4">
        <v>2</v>
      </c>
      <c r="H1928" s="4">
        <v>0</v>
      </c>
    </row>
    <row r="1929" spans="2:8" x14ac:dyDescent="0.2">
      <c r="B1929" s="3" t="s">
        <v>160</v>
      </c>
      <c r="C1929" s="3" t="s">
        <v>9</v>
      </c>
      <c r="D1929" s="3" t="str">
        <f>VLOOKUP(C1929,Countries!$B$3:$C$140,2,FALSE)</f>
        <v>Europe</v>
      </c>
      <c r="E1929" s="3" t="s">
        <v>62</v>
      </c>
      <c r="F1929" s="3" t="str">
        <f>VLOOKUP(E1929,Countries!$B$3:$C$140,2,FALSE)</f>
        <v>Asia</v>
      </c>
      <c r="G1929" s="4">
        <v>2</v>
      </c>
      <c r="H1929" s="4">
        <v>0</v>
      </c>
    </row>
    <row r="1930" spans="2:8" x14ac:dyDescent="0.2">
      <c r="B1930" s="3" t="s">
        <v>160</v>
      </c>
      <c r="C1930" s="3" t="s">
        <v>9</v>
      </c>
      <c r="D1930" s="3" t="str">
        <f>VLOOKUP(C1930,Countries!$B$3:$C$140,2,FALSE)</f>
        <v>Europe</v>
      </c>
      <c r="E1930" s="3" t="s">
        <v>49</v>
      </c>
      <c r="F1930" s="3" t="str">
        <f>VLOOKUP(E1930,Countries!$B$3:$C$140,2,FALSE)</f>
        <v>Europe</v>
      </c>
      <c r="G1930" s="4">
        <v>2</v>
      </c>
      <c r="H1930" s="4">
        <v>0</v>
      </c>
    </row>
    <row r="1931" spans="2:8" x14ac:dyDescent="0.2">
      <c r="B1931" s="3" t="s">
        <v>160</v>
      </c>
      <c r="C1931" s="3" t="s">
        <v>9</v>
      </c>
      <c r="D1931" s="3" t="str">
        <f>VLOOKUP(C1931,Countries!$B$3:$C$140,2,FALSE)</f>
        <v>Europe</v>
      </c>
      <c r="E1931" s="3" t="s">
        <v>50</v>
      </c>
      <c r="F1931" s="3" t="str">
        <f>VLOOKUP(E1931,Countries!$B$3:$C$140,2,FALSE)</f>
        <v>Europe</v>
      </c>
      <c r="G1931" s="4">
        <v>2</v>
      </c>
      <c r="H1931" s="4">
        <v>0</v>
      </c>
    </row>
    <row r="1932" spans="2:8" x14ac:dyDescent="0.2">
      <c r="B1932" s="3" t="s">
        <v>160</v>
      </c>
      <c r="C1932" s="3" t="s">
        <v>9</v>
      </c>
      <c r="D1932" s="3" t="str">
        <f>VLOOKUP(C1932,Countries!$B$3:$C$140,2,FALSE)</f>
        <v>Europe</v>
      </c>
      <c r="E1932" s="3" t="s">
        <v>11</v>
      </c>
      <c r="F1932" s="3" t="str">
        <f>VLOOKUP(E1932,Countries!$B$3:$C$140,2,FALSE)</f>
        <v>Europe</v>
      </c>
      <c r="G1932" s="4">
        <v>4</v>
      </c>
      <c r="H1932" s="4">
        <v>0</v>
      </c>
    </row>
    <row r="1933" spans="2:8" x14ac:dyDescent="0.2">
      <c r="B1933" s="3" t="s">
        <v>160</v>
      </c>
      <c r="C1933" s="3" t="s">
        <v>9</v>
      </c>
      <c r="D1933" s="3" t="str">
        <f>VLOOKUP(C1933,Countries!$B$3:$C$140,2,FALSE)</f>
        <v>Europe</v>
      </c>
      <c r="E1933" s="3" t="s">
        <v>12</v>
      </c>
      <c r="F1933" s="3" t="str">
        <f>VLOOKUP(E1933,Countries!$B$3:$C$140,2,FALSE)</f>
        <v>Europe</v>
      </c>
      <c r="G1933" s="4">
        <v>2</v>
      </c>
      <c r="H1933" s="4">
        <v>0</v>
      </c>
    </row>
    <row r="1934" spans="2:8" x14ac:dyDescent="0.2">
      <c r="B1934" s="3" t="s">
        <v>160</v>
      </c>
      <c r="C1934" s="3" t="s">
        <v>9</v>
      </c>
      <c r="D1934" s="3" t="str">
        <f>VLOOKUP(C1934,Countries!$B$3:$C$140,2,FALSE)</f>
        <v>Europe</v>
      </c>
      <c r="E1934" s="3" t="s">
        <v>13</v>
      </c>
      <c r="F1934" s="3" t="str">
        <f>VLOOKUP(E1934,Countries!$B$3:$C$140,2,FALSE)</f>
        <v>Europe</v>
      </c>
      <c r="G1934" s="4">
        <v>6</v>
      </c>
      <c r="H1934" s="4">
        <v>1533615.7591380002</v>
      </c>
    </row>
    <row r="1935" spans="2:8" x14ac:dyDescent="0.2">
      <c r="B1935" s="3" t="s">
        <v>160</v>
      </c>
      <c r="C1935" s="3" t="s">
        <v>9</v>
      </c>
      <c r="D1935" s="3" t="str">
        <f>VLOOKUP(C1935,Countries!$B$3:$C$140,2,FALSE)</f>
        <v>Europe</v>
      </c>
      <c r="E1935" s="3" t="s">
        <v>14</v>
      </c>
      <c r="F1935" s="3" t="str">
        <f>VLOOKUP(E1935,Countries!$B$3:$C$140,2,FALSE)</f>
        <v>Europe</v>
      </c>
      <c r="G1935" s="4">
        <v>2</v>
      </c>
      <c r="H1935" s="4">
        <v>0</v>
      </c>
    </row>
    <row r="1936" spans="2:8" x14ac:dyDescent="0.2">
      <c r="B1936" s="3" t="s">
        <v>160</v>
      </c>
      <c r="C1936" s="3" t="s">
        <v>9</v>
      </c>
      <c r="D1936" s="3" t="str">
        <f>VLOOKUP(C1936,Countries!$B$3:$C$140,2,FALSE)</f>
        <v>Europe</v>
      </c>
      <c r="E1936" s="3" t="s">
        <v>15</v>
      </c>
      <c r="F1936" s="3" t="str">
        <f>VLOOKUP(E1936,Countries!$B$3:$C$140,2,FALSE)</f>
        <v>Europe</v>
      </c>
      <c r="G1936" s="4">
        <v>6</v>
      </c>
      <c r="H1936" s="4">
        <v>0</v>
      </c>
    </row>
    <row r="1937" spans="2:8" x14ac:dyDescent="0.2">
      <c r="B1937" s="3" t="s">
        <v>160</v>
      </c>
      <c r="C1937" s="3" t="s">
        <v>9</v>
      </c>
      <c r="D1937" s="3" t="str">
        <f>VLOOKUP(C1937,Countries!$B$3:$C$140,2,FALSE)</f>
        <v>Europe</v>
      </c>
      <c r="E1937" s="3" t="s">
        <v>16</v>
      </c>
      <c r="F1937" s="3" t="str">
        <f>VLOOKUP(E1937,Countries!$B$3:$C$140,2,FALSE)</f>
        <v>Asia</v>
      </c>
      <c r="G1937" s="4">
        <v>2</v>
      </c>
      <c r="H1937" s="4">
        <v>0</v>
      </c>
    </row>
    <row r="1938" spans="2:8" x14ac:dyDescent="0.2">
      <c r="B1938" s="3" t="s">
        <v>160</v>
      </c>
      <c r="C1938" s="3" t="s">
        <v>9</v>
      </c>
      <c r="D1938" s="3" t="str">
        <f>VLOOKUP(C1938,Countries!$B$3:$C$140,2,FALSE)</f>
        <v>Europe</v>
      </c>
      <c r="E1938" s="3" t="s">
        <v>51</v>
      </c>
      <c r="F1938" s="3" t="str">
        <f>VLOOKUP(E1938,Countries!$B$3:$C$140,2,FALSE)</f>
        <v>Asia</v>
      </c>
      <c r="G1938" s="4">
        <v>6</v>
      </c>
      <c r="H1938" s="4">
        <v>0</v>
      </c>
    </row>
    <row r="1939" spans="2:8" x14ac:dyDescent="0.2">
      <c r="B1939" s="3" t="s">
        <v>160</v>
      </c>
      <c r="C1939" s="3" t="s">
        <v>9</v>
      </c>
      <c r="D1939" s="3" t="str">
        <f>VLOOKUP(C1939,Countries!$B$3:$C$140,2,FALSE)</f>
        <v>Europe</v>
      </c>
      <c r="E1939" s="3" t="s">
        <v>17</v>
      </c>
      <c r="F1939" s="3" t="str">
        <f>VLOOKUP(E1939,Countries!$B$3:$C$140,2,FALSE)</f>
        <v>Europe</v>
      </c>
      <c r="G1939" s="4">
        <v>12</v>
      </c>
      <c r="H1939" s="4">
        <v>40358.309451000001</v>
      </c>
    </row>
    <row r="1940" spans="2:8" x14ac:dyDescent="0.2">
      <c r="B1940" s="3" t="s">
        <v>160</v>
      </c>
      <c r="C1940" s="3" t="s">
        <v>9</v>
      </c>
      <c r="D1940" s="3" t="str">
        <f>VLOOKUP(C1940,Countries!$B$3:$C$140,2,FALSE)</f>
        <v>Europe</v>
      </c>
      <c r="E1940" s="3" t="s">
        <v>40</v>
      </c>
      <c r="F1940" s="3" t="str">
        <f>VLOOKUP(E1940,Countries!$B$3:$C$140,2,FALSE)</f>
        <v>Asia</v>
      </c>
      <c r="G1940" s="4">
        <v>4</v>
      </c>
      <c r="H1940" s="4">
        <v>0</v>
      </c>
    </row>
    <row r="1941" spans="2:8" x14ac:dyDescent="0.2">
      <c r="B1941" s="3" t="s">
        <v>160</v>
      </c>
      <c r="C1941" s="3" t="s">
        <v>9</v>
      </c>
      <c r="D1941" s="3" t="str">
        <f>VLOOKUP(C1941,Countries!$B$3:$C$140,2,FALSE)</f>
        <v>Europe</v>
      </c>
      <c r="E1941" s="3" t="s">
        <v>93</v>
      </c>
      <c r="F1941" s="3" t="str">
        <f>VLOOKUP(E1941,Countries!$B$3:$C$140,2,FALSE)</f>
        <v>Asia</v>
      </c>
      <c r="G1941" s="4">
        <v>4</v>
      </c>
      <c r="H1941" s="4">
        <v>0</v>
      </c>
    </row>
    <row r="1942" spans="2:8" x14ac:dyDescent="0.2">
      <c r="B1942" s="3" t="s">
        <v>160</v>
      </c>
      <c r="C1942" s="3" t="s">
        <v>9</v>
      </c>
      <c r="D1942" s="3" t="str">
        <f>VLOOKUP(C1942,Countries!$B$3:$C$140,2,FALSE)</f>
        <v>Europe</v>
      </c>
      <c r="E1942" s="3" t="s">
        <v>19</v>
      </c>
      <c r="F1942" s="3" t="str">
        <f>VLOOKUP(E1942,Countries!$B$3:$C$140,2,FALSE)</f>
        <v>Asia</v>
      </c>
      <c r="G1942" s="4">
        <v>2</v>
      </c>
      <c r="H1942" s="4">
        <v>180000</v>
      </c>
    </row>
    <row r="1943" spans="2:8" x14ac:dyDescent="0.2">
      <c r="B1943" s="3" t="s">
        <v>160</v>
      </c>
      <c r="C1943" s="3" t="s">
        <v>9</v>
      </c>
      <c r="D1943" s="3" t="str">
        <f>VLOOKUP(C1943,Countries!$B$3:$C$140,2,FALSE)</f>
        <v>Europe</v>
      </c>
      <c r="E1943" s="3" t="s">
        <v>53</v>
      </c>
      <c r="F1943" s="3" t="str">
        <f>VLOOKUP(E1943,Countries!$B$3:$C$140,2,FALSE)</f>
        <v>Europe</v>
      </c>
      <c r="G1943" s="4">
        <v>2</v>
      </c>
      <c r="H1943" s="4">
        <v>0</v>
      </c>
    </row>
    <row r="1944" spans="2:8" x14ac:dyDescent="0.2">
      <c r="B1944" s="3" t="s">
        <v>160</v>
      </c>
      <c r="C1944" s="3" t="s">
        <v>9</v>
      </c>
      <c r="D1944" s="3" t="str">
        <f>VLOOKUP(C1944,Countries!$B$3:$C$140,2,FALSE)</f>
        <v>Europe</v>
      </c>
      <c r="E1944" s="3" t="s">
        <v>54</v>
      </c>
      <c r="F1944" s="3" t="str">
        <f>VLOOKUP(E1944,Countries!$B$3:$C$140,2,FALSE)</f>
        <v>Europe</v>
      </c>
      <c r="G1944" s="4">
        <v>2</v>
      </c>
      <c r="H1944" s="4">
        <v>80716.618902000002</v>
      </c>
    </row>
    <row r="1945" spans="2:8" x14ac:dyDescent="0.2">
      <c r="B1945" s="3" t="s">
        <v>160</v>
      </c>
      <c r="C1945" s="3" t="s">
        <v>9</v>
      </c>
      <c r="D1945" s="3" t="str">
        <f>VLOOKUP(C1945,Countries!$B$3:$C$140,2,FALSE)</f>
        <v>Europe</v>
      </c>
      <c r="E1945" s="3" t="s">
        <v>25</v>
      </c>
      <c r="F1945" s="3" t="str">
        <f>VLOOKUP(E1945,Countries!$B$3:$C$140,2,FALSE)</f>
        <v>Europe</v>
      </c>
      <c r="G1945" s="4">
        <v>2</v>
      </c>
      <c r="H1945" s="4">
        <v>0</v>
      </c>
    </row>
    <row r="1946" spans="2:8" x14ac:dyDescent="0.2">
      <c r="B1946" s="3" t="s">
        <v>160</v>
      </c>
      <c r="C1946" s="3" t="s">
        <v>9</v>
      </c>
      <c r="D1946" s="3" t="str">
        <f>VLOOKUP(C1946,Countries!$B$3:$C$140,2,FALSE)</f>
        <v>Europe</v>
      </c>
      <c r="E1946" s="3" t="s">
        <v>46</v>
      </c>
      <c r="F1946" s="3" t="str">
        <f>VLOOKUP(E1946,Countries!$B$3:$C$140,2,FALSE)</f>
        <v>Europe/Asia</v>
      </c>
      <c r="G1946" s="4">
        <v>2</v>
      </c>
      <c r="H1946" s="4">
        <v>0</v>
      </c>
    </row>
    <row r="1947" spans="2:8" x14ac:dyDescent="0.2">
      <c r="B1947" s="3" t="s">
        <v>160</v>
      </c>
      <c r="C1947" s="3" t="s">
        <v>9</v>
      </c>
      <c r="D1947" s="3" t="str">
        <f>VLOOKUP(C1947,Countries!$B$3:$C$140,2,FALSE)</f>
        <v>Europe</v>
      </c>
      <c r="E1947" s="3" t="s">
        <v>28</v>
      </c>
      <c r="F1947" s="3" t="str">
        <f>VLOOKUP(E1947,Countries!$B$3:$C$140,2,FALSE)</f>
        <v>Europe</v>
      </c>
      <c r="G1947" s="4">
        <v>4</v>
      </c>
      <c r="H1947" s="4">
        <v>0</v>
      </c>
    </row>
    <row r="1948" spans="2:8" x14ac:dyDescent="0.2">
      <c r="B1948" s="3" t="s">
        <v>160</v>
      </c>
      <c r="C1948" s="3" t="s">
        <v>9</v>
      </c>
      <c r="D1948" s="3" t="str">
        <f>VLOOKUP(C1948,Countries!$B$3:$C$140,2,FALSE)</f>
        <v>Europe</v>
      </c>
      <c r="E1948" s="3" t="s">
        <v>30</v>
      </c>
      <c r="F1948" s="3" t="str">
        <f>VLOOKUP(E1948,Countries!$B$3:$C$140,2,FALSE)</f>
        <v>Europe</v>
      </c>
      <c r="G1948" s="4">
        <v>8</v>
      </c>
      <c r="H1948" s="4">
        <v>0</v>
      </c>
    </row>
    <row r="1949" spans="2:8" x14ac:dyDescent="0.2">
      <c r="B1949" s="3" t="s">
        <v>160</v>
      </c>
      <c r="C1949" s="3" t="s">
        <v>9</v>
      </c>
      <c r="D1949" s="3" t="str">
        <f>VLOOKUP(C1949,Countries!$B$3:$C$140,2,FALSE)</f>
        <v>Europe</v>
      </c>
      <c r="E1949" s="3" t="s">
        <v>57</v>
      </c>
      <c r="F1949" s="3" t="str">
        <f>VLOOKUP(E1949,Countries!$B$3:$C$140,2,FALSE)</f>
        <v>Europe/Asia</v>
      </c>
      <c r="G1949" s="4">
        <v>4</v>
      </c>
      <c r="H1949" s="4">
        <v>0</v>
      </c>
    </row>
    <row r="1950" spans="2:8" x14ac:dyDescent="0.2">
      <c r="B1950" s="3" t="s">
        <v>160</v>
      </c>
      <c r="C1950" s="3" t="s">
        <v>9</v>
      </c>
      <c r="D1950" s="3" t="str">
        <f>VLOOKUP(C1950,Countries!$B$3:$C$140,2,FALSE)</f>
        <v>Europe</v>
      </c>
      <c r="E1950" s="3" t="s">
        <v>32</v>
      </c>
      <c r="F1950" s="3" t="str">
        <f>VLOOKUP(E1950,Countries!$B$3:$C$140,2,FALSE)</f>
        <v>Europe</v>
      </c>
      <c r="G1950" s="4">
        <v>4</v>
      </c>
      <c r="H1950" s="4">
        <v>0</v>
      </c>
    </row>
    <row r="1951" spans="2:8" x14ac:dyDescent="0.2">
      <c r="B1951" s="3" t="s">
        <v>160</v>
      </c>
      <c r="C1951" s="3" t="s">
        <v>62</v>
      </c>
      <c r="D1951" s="3" t="str">
        <f>VLOOKUP(C1951,Countries!$B$3:$C$140,2,FALSE)</f>
        <v>Asia</v>
      </c>
      <c r="E1951" s="3" t="s">
        <v>68</v>
      </c>
      <c r="F1951" s="3" t="str">
        <f>VLOOKUP(E1951,Countries!$B$3:$C$140,2,FALSE)</f>
        <v>Africa</v>
      </c>
      <c r="G1951" s="4">
        <v>4</v>
      </c>
      <c r="H1951" s="4">
        <v>0</v>
      </c>
    </row>
    <row r="1952" spans="2:8" x14ac:dyDescent="0.2">
      <c r="B1952" s="3" t="s">
        <v>160</v>
      </c>
      <c r="C1952" s="3" t="s">
        <v>62</v>
      </c>
      <c r="D1952" s="3" t="str">
        <f>VLOOKUP(C1952,Countries!$B$3:$C$140,2,FALSE)</f>
        <v>Asia</v>
      </c>
      <c r="E1952" s="3" t="s">
        <v>48</v>
      </c>
      <c r="F1952" s="3" t="str">
        <f>VLOOKUP(E1952,Countries!$B$3:$C$140,2,FALSE)</f>
        <v>Oceania</v>
      </c>
      <c r="G1952" s="4">
        <v>6</v>
      </c>
      <c r="H1952" s="4">
        <v>0</v>
      </c>
    </row>
    <row r="1953" spans="2:8" x14ac:dyDescent="0.2">
      <c r="B1953" s="3" t="s">
        <v>160</v>
      </c>
      <c r="C1953" s="3" t="s">
        <v>62</v>
      </c>
      <c r="D1953" s="3" t="str">
        <f>VLOOKUP(C1953,Countries!$B$3:$C$140,2,FALSE)</f>
        <v>Asia</v>
      </c>
      <c r="E1953" s="3" t="s">
        <v>3</v>
      </c>
      <c r="F1953" s="3" t="str">
        <f>VLOOKUP(E1953,Countries!$B$3:$C$140,2,FALSE)</f>
        <v>Europe</v>
      </c>
      <c r="G1953" s="4">
        <v>2</v>
      </c>
      <c r="H1953" s="4">
        <v>0</v>
      </c>
    </row>
    <row r="1954" spans="2:8" x14ac:dyDescent="0.2">
      <c r="B1954" s="3" t="s">
        <v>160</v>
      </c>
      <c r="C1954" s="3" t="s">
        <v>62</v>
      </c>
      <c r="D1954" s="3" t="str">
        <f>VLOOKUP(C1954,Countries!$B$3:$C$140,2,FALSE)</f>
        <v>Asia</v>
      </c>
      <c r="E1954" s="3" t="s">
        <v>4</v>
      </c>
      <c r="F1954" s="3" t="str">
        <f>VLOOKUP(E1954,Countries!$B$3:$C$140,2,FALSE)</f>
        <v>Asia</v>
      </c>
      <c r="G1954" s="4">
        <v>2</v>
      </c>
      <c r="H1954" s="4">
        <v>0</v>
      </c>
    </row>
    <row r="1955" spans="2:8" x14ac:dyDescent="0.2">
      <c r="B1955" s="3" t="s">
        <v>160</v>
      </c>
      <c r="C1955" s="3" t="s">
        <v>62</v>
      </c>
      <c r="D1955" s="3" t="str">
        <f>VLOOKUP(C1955,Countries!$B$3:$C$140,2,FALSE)</f>
        <v>Asia</v>
      </c>
      <c r="E1955" s="3" t="s">
        <v>35</v>
      </c>
      <c r="F1955" s="3" t="str">
        <f>VLOOKUP(E1955,Countries!$B$3:$C$140,2,FALSE)</f>
        <v>Europe</v>
      </c>
      <c r="G1955" s="4">
        <v>12</v>
      </c>
      <c r="H1955" s="4">
        <v>0</v>
      </c>
    </row>
    <row r="1956" spans="2:8" x14ac:dyDescent="0.2">
      <c r="B1956" s="3" t="s">
        <v>160</v>
      </c>
      <c r="C1956" s="3" t="s">
        <v>62</v>
      </c>
      <c r="D1956" s="3" t="str">
        <f>VLOOKUP(C1956,Countries!$B$3:$C$140,2,FALSE)</f>
        <v>Asia</v>
      </c>
      <c r="E1956" s="3" t="s">
        <v>7</v>
      </c>
      <c r="F1956" s="3" t="str">
        <f>VLOOKUP(E1956,Countries!$B$3:$C$140,2,FALSE)</f>
        <v>South America</v>
      </c>
      <c r="G1956" s="4">
        <v>10</v>
      </c>
      <c r="H1956" s="4">
        <v>0</v>
      </c>
    </row>
    <row r="1957" spans="2:8" x14ac:dyDescent="0.2">
      <c r="B1957" s="3" t="s">
        <v>160</v>
      </c>
      <c r="C1957" s="3" t="s">
        <v>62</v>
      </c>
      <c r="D1957" s="3" t="str">
        <f>VLOOKUP(C1957,Countries!$B$3:$C$140,2,FALSE)</f>
        <v>Asia</v>
      </c>
      <c r="E1957" s="3" t="s">
        <v>36</v>
      </c>
      <c r="F1957" s="3" t="str">
        <f>VLOOKUP(E1957,Countries!$B$3:$C$140,2,FALSE)</f>
        <v>Europe</v>
      </c>
      <c r="G1957" s="4">
        <v>10</v>
      </c>
      <c r="H1957" s="4">
        <v>0</v>
      </c>
    </row>
    <row r="1958" spans="2:8" x14ac:dyDescent="0.2">
      <c r="B1958" s="3" t="s">
        <v>160</v>
      </c>
      <c r="C1958" s="3" t="s">
        <v>62</v>
      </c>
      <c r="D1958" s="3" t="str">
        <f>VLOOKUP(C1958,Countries!$B$3:$C$140,2,FALSE)</f>
        <v>Asia</v>
      </c>
      <c r="E1958" s="3" t="s">
        <v>88</v>
      </c>
      <c r="F1958" s="3" t="str">
        <f>VLOOKUP(E1958,Countries!$B$3:$C$140,2,FALSE)</f>
        <v>South America</v>
      </c>
      <c r="G1958" s="4">
        <v>2</v>
      </c>
      <c r="H1958" s="4">
        <v>0</v>
      </c>
    </row>
    <row r="1959" spans="2:8" x14ac:dyDescent="0.2">
      <c r="B1959" s="3" t="s">
        <v>160</v>
      </c>
      <c r="C1959" s="3" t="s">
        <v>62</v>
      </c>
      <c r="D1959" s="3" t="str">
        <f>VLOOKUP(C1959,Countries!$B$3:$C$140,2,FALSE)</f>
        <v>Asia</v>
      </c>
      <c r="E1959" s="3" t="s">
        <v>89</v>
      </c>
      <c r="F1959" s="3" t="str">
        <f>VLOOKUP(E1959,Countries!$B$3:$C$140,2,FALSE)</f>
        <v>Asia</v>
      </c>
      <c r="G1959" s="4">
        <v>2</v>
      </c>
      <c r="H1959" s="4">
        <v>0</v>
      </c>
    </row>
    <row r="1960" spans="2:8" x14ac:dyDescent="0.2">
      <c r="B1960" s="3" t="s">
        <v>160</v>
      </c>
      <c r="C1960" s="3" t="s">
        <v>62</v>
      </c>
      <c r="D1960" s="3" t="str">
        <f>VLOOKUP(C1960,Countries!$B$3:$C$140,2,FALSE)</f>
        <v>Asia</v>
      </c>
      <c r="E1960" s="3" t="s">
        <v>9</v>
      </c>
      <c r="F1960" s="3" t="str">
        <f>VLOOKUP(E1960,Countries!$B$3:$C$140,2,FALSE)</f>
        <v>Europe</v>
      </c>
      <c r="G1960" s="4">
        <v>8</v>
      </c>
      <c r="H1960" s="4">
        <v>0</v>
      </c>
    </row>
    <row r="1961" spans="2:8" x14ac:dyDescent="0.2">
      <c r="B1961" s="3" t="s">
        <v>160</v>
      </c>
      <c r="C1961" s="3" t="s">
        <v>62</v>
      </c>
      <c r="D1961" s="3" t="str">
        <f>VLOOKUP(C1961,Countries!$B$3:$C$140,2,FALSE)</f>
        <v>Asia</v>
      </c>
      <c r="E1961" s="3" t="s">
        <v>10</v>
      </c>
      <c r="F1961" s="3" t="str">
        <f>VLOOKUP(E1961,Countries!$B$3:$C$140,2,FALSE)</f>
        <v>Europe</v>
      </c>
      <c r="G1961" s="4">
        <v>2</v>
      </c>
      <c r="H1961" s="4">
        <v>1412540.830785</v>
      </c>
    </row>
    <row r="1962" spans="2:8" x14ac:dyDescent="0.2">
      <c r="B1962" s="3" t="s">
        <v>160</v>
      </c>
      <c r="C1962" s="3" t="s">
        <v>62</v>
      </c>
      <c r="D1962" s="3" t="str">
        <f>VLOOKUP(C1962,Countries!$B$3:$C$140,2,FALSE)</f>
        <v>Asia</v>
      </c>
      <c r="E1962" s="3" t="s">
        <v>107</v>
      </c>
      <c r="F1962" s="3" t="str">
        <f>VLOOKUP(E1962,Countries!$B$3:$C$140,2,FALSE)</f>
        <v>South America</v>
      </c>
      <c r="G1962" s="4">
        <v>4</v>
      </c>
      <c r="H1962" s="4">
        <v>0</v>
      </c>
    </row>
    <row r="1963" spans="2:8" x14ac:dyDescent="0.2">
      <c r="B1963" s="3" t="s">
        <v>160</v>
      </c>
      <c r="C1963" s="3" t="s">
        <v>62</v>
      </c>
      <c r="D1963" s="3" t="str">
        <f>VLOOKUP(C1963,Countries!$B$3:$C$140,2,FALSE)</f>
        <v>Asia</v>
      </c>
      <c r="E1963" s="3" t="s">
        <v>50</v>
      </c>
      <c r="F1963" s="3" t="str">
        <f>VLOOKUP(E1963,Countries!$B$3:$C$140,2,FALSE)</f>
        <v>Europe</v>
      </c>
      <c r="G1963" s="4">
        <v>12</v>
      </c>
      <c r="H1963" s="4">
        <v>0</v>
      </c>
    </row>
    <row r="1964" spans="2:8" x14ac:dyDescent="0.2">
      <c r="B1964" s="3" t="s">
        <v>160</v>
      </c>
      <c r="C1964" s="3" t="s">
        <v>62</v>
      </c>
      <c r="D1964" s="3" t="str">
        <f>VLOOKUP(C1964,Countries!$B$3:$C$140,2,FALSE)</f>
        <v>Asia</v>
      </c>
      <c r="E1964" s="3" t="s">
        <v>11</v>
      </c>
      <c r="F1964" s="3" t="str">
        <f>VLOOKUP(E1964,Countries!$B$3:$C$140,2,FALSE)</f>
        <v>Europe</v>
      </c>
      <c r="G1964" s="4">
        <v>36</v>
      </c>
      <c r="H1964" s="4">
        <v>0</v>
      </c>
    </row>
    <row r="1965" spans="2:8" x14ac:dyDescent="0.2">
      <c r="B1965" s="3" t="s">
        <v>160</v>
      </c>
      <c r="C1965" s="3" t="s">
        <v>62</v>
      </c>
      <c r="D1965" s="3" t="str">
        <f>VLOOKUP(C1965,Countries!$B$3:$C$140,2,FALSE)</f>
        <v>Asia</v>
      </c>
      <c r="E1965" s="3" t="s">
        <v>73</v>
      </c>
      <c r="F1965" s="3" t="str">
        <f>VLOOKUP(E1965,Countries!$B$3:$C$140,2,FALSE)</f>
        <v>Europe</v>
      </c>
      <c r="G1965" s="4">
        <v>2</v>
      </c>
      <c r="H1965" s="4">
        <v>0</v>
      </c>
    </row>
    <row r="1966" spans="2:8" x14ac:dyDescent="0.2">
      <c r="B1966" s="3" t="s">
        <v>160</v>
      </c>
      <c r="C1966" s="3" t="s">
        <v>62</v>
      </c>
      <c r="D1966" s="3" t="str">
        <f>VLOOKUP(C1966,Countries!$B$3:$C$140,2,FALSE)</f>
        <v>Asia</v>
      </c>
      <c r="E1966" s="3" t="s">
        <v>12</v>
      </c>
      <c r="F1966" s="3" t="str">
        <f>VLOOKUP(E1966,Countries!$B$3:$C$140,2,FALSE)</f>
        <v>Europe</v>
      </c>
      <c r="G1966" s="4">
        <v>12</v>
      </c>
      <c r="H1966" s="4">
        <v>0</v>
      </c>
    </row>
    <row r="1967" spans="2:8" x14ac:dyDescent="0.2">
      <c r="B1967" s="3" t="s">
        <v>160</v>
      </c>
      <c r="C1967" s="3" t="s">
        <v>62</v>
      </c>
      <c r="D1967" s="3" t="str">
        <f>VLOOKUP(C1967,Countries!$B$3:$C$140,2,FALSE)</f>
        <v>Asia</v>
      </c>
      <c r="E1967" s="3" t="s">
        <v>13</v>
      </c>
      <c r="F1967" s="3" t="str">
        <f>VLOOKUP(E1967,Countries!$B$3:$C$140,2,FALSE)</f>
        <v>Europe</v>
      </c>
      <c r="G1967" s="4">
        <v>2</v>
      </c>
      <c r="H1967" s="4">
        <v>0</v>
      </c>
    </row>
    <row r="1968" spans="2:8" x14ac:dyDescent="0.2">
      <c r="B1968" s="3" t="s">
        <v>160</v>
      </c>
      <c r="C1968" s="3" t="s">
        <v>62</v>
      </c>
      <c r="D1968" s="3" t="str">
        <f>VLOOKUP(C1968,Countries!$B$3:$C$140,2,FALSE)</f>
        <v>Asia</v>
      </c>
      <c r="E1968" s="3" t="s">
        <v>64</v>
      </c>
      <c r="F1968" s="3" t="str">
        <f>VLOOKUP(E1968,Countries!$B$3:$C$140,2,FALSE)</f>
        <v>Africa</v>
      </c>
      <c r="G1968" s="4">
        <v>4</v>
      </c>
      <c r="H1968" s="4">
        <v>0</v>
      </c>
    </row>
    <row r="1969" spans="2:8" x14ac:dyDescent="0.2">
      <c r="B1969" s="3" t="s">
        <v>160</v>
      </c>
      <c r="C1969" s="3" t="s">
        <v>62</v>
      </c>
      <c r="D1969" s="3" t="str">
        <f>VLOOKUP(C1969,Countries!$B$3:$C$140,2,FALSE)</f>
        <v>Asia</v>
      </c>
      <c r="E1969" s="3" t="s">
        <v>14</v>
      </c>
      <c r="F1969" s="3" t="str">
        <f>VLOOKUP(E1969,Countries!$B$3:$C$140,2,FALSE)</f>
        <v>Europe</v>
      </c>
      <c r="G1969" s="4">
        <v>78</v>
      </c>
      <c r="H1969" s="4">
        <v>0</v>
      </c>
    </row>
    <row r="1970" spans="2:8" x14ac:dyDescent="0.2">
      <c r="B1970" s="3" t="s">
        <v>160</v>
      </c>
      <c r="C1970" s="3" t="s">
        <v>62</v>
      </c>
      <c r="D1970" s="3" t="str">
        <f>VLOOKUP(C1970,Countries!$B$3:$C$140,2,FALSE)</f>
        <v>Asia</v>
      </c>
      <c r="E1970" s="3" t="s">
        <v>118</v>
      </c>
      <c r="F1970" s="3" t="str">
        <f>VLOOKUP(E1970,Countries!$B$3:$C$140,2,FALSE)</f>
        <v>Africa</v>
      </c>
      <c r="G1970" s="4">
        <v>2</v>
      </c>
      <c r="H1970" s="4">
        <v>0</v>
      </c>
    </row>
    <row r="1971" spans="2:8" x14ac:dyDescent="0.2">
      <c r="B1971" s="3" t="s">
        <v>160</v>
      </c>
      <c r="C1971" s="3" t="s">
        <v>62</v>
      </c>
      <c r="D1971" s="3" t="str">
        <f>VLOOKUP(C1971,Countries!$B$3:$C$140,2,FALSE)</f>
        <v>Asia</v>
      </c>
      <c r="E1971" s="3" t="s">
        <v>15</v>
      </c>
      <c r="F1971" s="3" t="str">
        <f>VLOOKUP(E1971,Countries!$B$3:$C$140,2,FALSE)</f>
        <v>Europe</v>
      </c>
      <c r="G1971" s="4">
        <v>6</v>
      </c>
      <c r="H1971" s="4">
        <v>0</v>
      </c>
    </row>
    <row r="1972" spans="2:8" x14ac:dyDescent="0.2">
      <c r="B1972" s="3" t="s">
        <v>160</v>
      </c>
      <c r="C1972" s="3" t="s">
        <v>62</v>
      </c>
      <c r="D1972" s="3" t="str">
        <f>VLOOKUP(C1972,Countries!$B$3:$C$140,2,FALSE)</f>
        <v>Asia</v>
      </c>
      <c r="E1972" s="3" t="s">
        <v>16</v>
      </c>
      <c r="F1972" s="3" t="str">
        <f>VLOOKUP(E1972,Countries!$B$3:$C$140,2,FALSE)</f>
        <v>Asia</v>
      </c>
      <c r="G1972" s="4">
        <v>2</v>
      </c>
      <c r="H1972" s="4">
        <v>0</v>
      </c>
    </row>
    <row r="1973" spans="2:8" x14ac:dyDescent="0.2">
      <c r="B1973" s="3" t="s">
        <v>160</v>
      </c>
      <c r="C1973" s="3" t="s">
        <v>62</v>
      </c>
      <c r="D1973" s="3" t="str">
        <f>VLOOKUP(C1973,Countries!$B$3:$C$140,2,FALSE)</f>
        <v>Asia</v>
      </c>
      <c r="E1973" s="3" t="s">
        <v>51</v>
      </c>
      <c r="F1973" s="3" t="str">
        <f>VLOOKUP(E1973,Countries!$B$3:$C$140,2,FALSE)</f>
        <v>Asia</v>
      </c>
      <c r="G1973" s="4">
        <v>14</v>
      </c>
      <c r="H1973" s="4">
        <v>39789.156042000002</v>
      </c>
    </row>
    <row r="1974" spans="2:8" x14ac:dyDescent="0.2">
      <c r="B1974" s="3" t="s">
        <v>160</v>
      </c>
      <c r="C1974" s="3" t="s">
        <v>62</v>
      </c>
      <c r="D1974" s="3" t="str">
        <f>VLOOKUP(C1974,Countries!$B$3:$C$140,2,FALSE)</f>
        <v>Asia</v>
      </c>
      <c r="E1974" s="3" t="s">
        <v>17</v>
      </c>
      <c r="F1974" s="3" t="str">
        <f>VLOOKUP(E1974,Countries!$B$3:$C$140,2,FALSE)</f>
        <v>Europe</v>
      </c>
      <c r="G1974" s="4">
        <v>4</v>
      </c>
      <c r="H1974" s="4">
        <v>0</v>
      </c>
    </row>
    <row r="1975" spans="2:8" x14ac:dyDescent="0.2">
      <c r="B1975" s="3" t="s">
        <v>160</v>
      </c>
      <c r="C1975" s="3" t="s">
        <v>62</v>
      </c>
      <c r="D1975" s="3" t="str">
        <f>VLOOKUP(C1975,Countries!$B$3:$C$140,2,FALSE)</f>
        <v>Asia</v>
      </c>
      <c r="E1975" s="3" t="s">
        <v>40</v>
      </c>
      <c r="F1975" s="3" t="str">
        <f>VLOOKUP(E1975,Countries!$B$3:$C$140,2,FALSE)</f>
        <v>Asia</v>
      </c>
      <c r="G1975" s="4">
        <v>2</v>
      </c>
      <c r="H1975" s="4">
        <v>0</v>
      </c>
    </row>
    <row r="1976" spans="2:8" x14ac:dyDescent="0.2">
      <c r="B1976" s="3" t="s">
        <v>160</v>
      </c>
      <c r="C1976" s="3" t="s">
        <v>62</v>
      </c>
      <c r="D1976" s="3" t="str">
        <f>VLOOKUP(C1976,Countries!$B$3:$C$140,2,FALSE)</f>
        <v>Asia</v>
      </c>
      <c r="E1976" s="3" t="s">
        <v>136</v>
      </c>
      <c r="F1976" s="3" t="str">
        <f>VLOOKUP(E1976,Countries!$B$3:$C$140,2,FALSE)</f>
        <v>Asia</v>
      </c>
      <c r="G1976" s="4">
        <v>2</v>
      </c>
      <c r="H1976" s="4">
        <v>0</v>
      </c>
    </row>
    <row r="1977" spans="2:8" x14ac:dyDescent="0.2">
      <c r="B1977" s="3" t="s">
        <v>160</v>
      </c>
      <c r="C1977" s="3" t="s">
        <v>62</v>
      </c>
      <c r="D1977" s="3" t="str">
        <f>VLOOKUP(C1977,Countries!$B$3:$C$140,2,FALSE)</f>
        <v>Asia</v>
      </c>
      <c r="E1977" s="3" t="s">
        <v>42</v>
      </c>
      <c r="F1977" s="3" t="str">
        <f>VLOOKUP(E1977,Countries!$B$3:$C$140,2,FALSE)</f>
        <v>Africa</v>
      </c>
      <c r="G1977" s="4">
        <v>2</v>
      </c>
      <c r="H1977" s="4">
        <v>0</v>
      </c>
    </row>
    <row r="1978" spans="2:8" x14ac:dyDescent="0.2">
      <c r="B1978" s="3" t="s">
        <v>160</v>
      </c>
      <c r="C1978" s="3" t="s">
        <v>62</v>
      </c>
      <c r="D1978" s="3" t="str">
        <f>VLOOKUP(C1978,Countries!$B$3:$C$140,2,FALSE)</f>
        <v>Asia</v>
      </c>
      <c r="E1978" s="3" t="s">
        <v>131</v>
      </c>
      <c r="F1978" s="3" t="str">
        <f>VLOOKUP(E1978,Countries!$B$3:$C$140,2,FALSE)</f>
        <v>Asia</v>
      </c>
      <c r="G1978" s="4">
        <v>2</v>
      </c>
      <c r="H1978" s="4">
        <v>0</v>
      </c>
    </row>
    <row r="1979" spans="2:8" x14ac:dyDescent="0.2">
      <c r="B1979" s="3" t="s">
        <v>160</v>
      </c>
      <c r="C1979" s="3" t="s">
        <v>62</v>
      </c>
      <c r="D1979" s="3" t="str">
        <f>VLOOKUP(C1979,Countries!$B$3:$C$140,2,FALSE)</f>
        <v>Asia</v>
      </c>
      <c r="E1979" s="3" t="s">
        <v>21</v>
      </c>
      <c r="F1979" s="3" t="str">
        <f>VLOOKUP(E1979,Countries!$B$3:$C$140,2,FALSE)</f>
        <v>Europe</v>
      </c>
      <c r="G1979" s="4">
        <v>2</v>
      </c>
      <c r="H1979" s="4">
        <v>0</v>
      </c>
    </row>
    <row r="1980" spans="2:8" x14ac:dyDescent="0.2">
      <c r="B1980" s="3" t="s">
        <v>160</v>
      </c>
      <c r="C1980" s="3" t="s">
        <v>62</v>
      </c>
      <c r="D1980" s="3" t="str">
        <f>VLOOKUP(C1980,Countries!$B$3:$C$140,2,FALSE)</f>
        <v>Asia</v>
      </c>
      <c r="E1980" s="3" t="s">
        <v>22</v>
      </c>
      <c r="F1980" s="3" t="str">
        <f>VLOOKUP(E1980,Countries!$B$3:$C$140,2,FALSE)</f>
        <v>Europe</v>
      </c>
      <c r="G1980" s="4">
        <v>4</v>
      </c>
      <c r="H1980" s="4">
        <v>0</v>
      </c>
    </row>
    <row r="1981" spans="2:8" x14ac:dyDescent="0.2">
      <c r="B1981" s="3" t="s">
        <v>160</v>
      </c>
      <c r="C1981" s="3" t="s">
        <v>62</v>
      </c>
      <c r="D1981" s="3" t="str">
        <f>VLOOKUP(C1981,Countries!$B$3:$C$140,2,FALSE)</f>
        <v>Asia</v>
      </c>
      <c r="E1981" s="3" t="s">
        <v>53</v>
      </c>
      <c r="F1981" s="3" t="str">
        <f>VLOOKUP(E1981,Countries!$B$3:$C$140,2,FALSE)</f>
        <v>Europe</v>
      </c>
      <c r="G1981" s="4">
        <v>6</v>
      </c>
      <c r="H1981" s="4">
        <v>0</v>
      </c>
    </row>
    <row r="1982" spans="2:8" x14ac:dyDescent="0.2">
      <c r="B1982" s="3" t="s">
        <v>160</v>
      </c>
      <c r="C1982" s="3" t="s">
        <v>62</v>
      </c>
      <c r="D1982" s="3" t="str">
        <f>VLOOKUP(C1982,Countries!$B$3:$C$140,2,FALSE)</f>
        <v>Asia</v>
      </c>
      <c r="E1982" s="3" t="s">
        <v>54</v>
      </c>
      <c r="F1982" s="3" t="str">
        <f>VLOOKUP(E1982,Countries!$B$3:$C$140,2,FALSE)</f>
        <v>Europe</v>
      </c>
      <c r="G1982" s="4">
        <v>4</v>
      </c>
      <c r="H1982" s="4">
        <v>0</v>
      </c>
    </row>
    <row r="1983" spans="2:8" x14ac:dyDescent="0.2">
      <c r="B1983" s="3" t="s">
        <v>160</v>
      </c>
      <c r="C1983" s="3" t="s">
        <v>62</v>
      </c>
      <c r="D1983" s="3" t="str">
        <f>VLOOKUP(C1983,Countries!$B$3:$C$140,2,FALSE)</f>
        <v>Asia</v>
      </c>
      <c r="E1983" s="3" t="s">
        <v>25</v>
      </c>
      <c r="F1983" s="3" t="str">
        <f>VLOOKUP(E1983,Countries!$B$3:$C$140,2,FALSE)</f>
        <v>Europe</v>
      </c>
      <c r="G1983" s="4">
        <v>80</v>
      </c>
      <c r="H1983" s="4">
        <v>60537.464176499998</v>
      </c>
    </row>
    <row r="1984" spans="2:8" x14ac:dyDescent="0.2">
      <c r="B1984" s="3" t="s">
        <v>160</v>
      </c>
      <c r="C1984" s="3" t="s">
        <v>62</v>
      </c>
      <c r="D1984" s="3" t="str">
        <f>VLOOKUP(C1984,Countries!$B$3:$C$140,2,FALSE)</f>
        <v>Asia</v>
      </c>
      <c r="E1984" s="3" t="s">
        <v>26</v>
      </c>
      <c r="F1984" s="3" t="str">
        <f>VLOOKUP(E1984,Countries!$B$3:$C$140,2,FALSE)</f>
        <v>Europe</v>
      </c>
      <c r="G1984" s="4">
        <v>16</v>
      </c>
      <c r="H1984" s="4">
        <v>201791.54725499998</v>
      </c>
    </row>
    <row r="1985" spans="2:8" x14ac:dyDescent="0.2">
      <c r="B1985" s="3" t="s">
        <v>160</v>
      </c>
      <c r="C1985" s="3" t="s">
        <v>62</v>
      </c>
      <c r="D1985" s="3" t="str">
        <f>VLOOKUP(C1985,Countries!$B$3:$C$140,2,FALSE)</f>
        <v>Asia</v>
      </c>
      <c r="E1985" s="3" t="s">
        <v>46</v>
      </c>
      <c r="F1985" s="3" t="str">
        <f>VLOOKUP(E1985,Countries!$B$3:$C$140,2,FALSE)</f>
        <v>Europe/Asia</v>
      </c>
      <c r="G1985" s="4">
        <v>6</v>
      </c>
      <c r="H1985" s="4">
        <v>0</v>
      </c>
    </row>
    <row r="1986" spans="2:8" x14ac:dyDescent="0.2">
      <c r="B1986" s="3" t="s">
        <v>160</v>
      </c>
      <c r="C1986" s="3" t="s">
        <v>62</v>
      </c>
      <c r="D1986" s="3" t="str">
        <f>VLOOKUP(C1986,Countries!$B$3:$C$140,2,FALSE)</f>
        <v>Asia</v>
      </c>
      <c r="E1986" s="3" t="s">
        <v>55</v>
      </c>
      <c r="F1986" s="3" t="str">
        <f>VLOOKUP(E1986,Countries!$B$3:$C$140,2,FALSE)</f>
        <v>Europe</v>
      </c>
      <c r="G1986" s="4">
        <v>2</v>
      </c>
      <c r="H1986" s="4">
        <v>0</v>
      </c>
    </row>
    <row r="1987" spans="2:8" x14ac:dyDescent="0.2">
      <c r="B1987" s="3" t="s">
        <v>160</v>
      </c>
      <c r="C1987" s="3" t="s">
        <v>62</v>
      </c>
      <c r="D1987" s="3" t="str">
        <f>VLOOKUP(C1987,Countries!$B$3:$C$140,2,FALSE)</f>
        <v>Asia</v>
      </c>
      <c r="E1987" s="3" t="s">
        <v>28</v>
      </c>
      <c r="F1987" s="3" t="str">
        <f>VLOOKUP(E1987,Countries!$B$3:$C$140,2,FALSE)</f>
        <v>Europe</v>
      </c>
      <c r="G1987" s="4">
        <v>8</v>
      </c>
      <c r="H1987" s="4">
        <v>7264495.7011799999</v>
      </c>
    </row>
    <row r="1988" spans="2:8" x14ac:dyDescent="0.2">
      <c r="B1988" s="3" t="s">
        <v>160</v>
      </c>
      <c r="C1988" s="3" t="s">
        <v>62</v>
      </c>
      <c r="D1988" s="3" t="str">
        <f>VLOOKUP(C1988,Countries!$B$3:$C$140,2,FALSE)</f>
        <v>Asia</v>
      </c>
      <c r="E1988" s="3" t="s">
        <v>29</v>
      </c>
      <c r="F1988" s="3" t="str">
        <f>VLOOKUP(E1988,Countries!$B$3:$C$140,2,FALSE)</f>
        <v>Europe</v>
      </c>
      <c r="G1988" s="4">
        <v>4</v>
      </c>
      <c r="H1988" s="4">
        <v>0</v>
      </c>
    </row>
    <row r="1989" spans="2:8" x14ac:dyDescent="0.2">
      <c r="B1989" s="3" t="s">
        <v>160</v>
      </c>
      <c r="C1989" s="3" t="s">
        <v>62</v>
      </c>
      <c r="D1989" s="3" t="str">
        <f>VLOOKUP(C1989,Countries!$B$3:$C$140,2,FALSE)</f>
        <v>Asia</v>
      </c>
      <c r="E1989" s="3" t="s">
        <v>30</v>
      </c>
      <c r="F1989" s="3" t="str">
        <f>VLOOKUP(E1989,Countries!$B$3:$C$140,2,FALSE)</f>
        <v>Europe</v>
      </c>
      <c r="G1989" s="4">
        <v>10</v>
      </c>
      <c r="H1989" s="4">
        <v>0</v>
      </c>
    </row>
    <row r="1990" spans="2:8" x14ac:dyDescent="0.2">
      <c r="B1990" s="3" t="s">
        <v>160</v>
      </c>
      <c r="C1990" s="3" t="s">
        <v>62</v>
      </c>
      <c r="D1990" s="3" t="str">
        <f>VLOOKUP(C1990,Countries!$B$3:$C$140,2,FALSE)</f>
        <v>Asia</v>
      </c>
      <c r="E1990" s="3" t="s">
        <v>31</v>
      </c>
      <c r="F1990" s="3" t="str">
        <f>VLOOKUP(E1990,Countries!$B$3:$C$140,2,FALSE)</f>
        <v>Europe</v>
      </c>
      <c r="G1990" s="4">
        <v>4</v>
      </c>
      <c r="H1990" s="4">
        <v>0</v>
      </c>
    </row>
    <row r="1991" spans="2:8" x14ac:dyDescent="0.2">
      <c r="B1991" s="3" t="s">
        <v>160</v>
      </c>
      <c r="C1991" s="3" t="s">
        <v>62</v>
      </c>
      <c r="D1991" s="3" t="str">
        <f>VLOOKUP(C1991,Countries!$B$3:$C$140,2,FALSE)</f>
        <v>Asia</v>
      </c>
      <c r="E1991" s="3" t="s">
        <v>57</v>
      </c>
      <c r="F1991" s="3" t="str">
        <f>VLOOKUP(E1991,Countries!$B$3:$C$140,2,FALSE)</f>
        <v>Europe/Asia</v>
      </c>
      <c r="G1991" s="4">
        <v>2</v>
      </c>
      <c r="H1991" s="4">
        <v>0</v>
      </c>
    </row>
    <row r="1992" spans="2:8" x14ac:dyDescent="0.2">
      <c r="B1992" s="3" t="s">
        <v>160</v>
      </c>
      <c r="C1992" s="3" t="s">
        <v>62</v>
      </c>
      <c r="D1992" s="3" t="str">
        <f>VLOOKUP(C1992,Countries!$B$3:$C$140,2,FALSE)</f>
        <v>Asia</v>
      </c>
      <c r="E1992" s="3" t="s">
        <v>32</v>
      </c>
      <c r="F1992" s="3" t="str">
        <f>VLOOKUP(E1992,Countries!$B$3:$C$140,2,FALSE)</f>
        <v>Europe</v>
      </c>
      <c r="G1992" s="4">
        <v>14</v>
      </c>
      <c r="H1992" s="4">
        <v>0</v>
      </c>
    </row>
    <row r="1993" spans="2:8" x14ac:dyDescent="0.2">
      <c r="B1993" s="3" t="s">
        <v>160</v>
      </c>
      <c r="C1993" s="3" t="s">
        <v>62</v>
      </c>
      <c r="D1993" s="3" t="str">
        <f>VLOOKUP(C1993,Countries!$B$3:$C$140,2,FALSE)</f>
        <v>Asia</v>
      </c>
      <c r="E1993" s="3" t="s">
        <v>86</v>
      </c>
      <c r="F1993" s="3" t="str">
        <f>VLOOKUP(E1993,Countries!$B$3:$C$140,2,FALSE)</f>
        <v>Europe</v>
      </c>
      <c r="G1993" s="4">
        <v>2</v>
      </c>
      <c r="H1993" s="4">
        <v>0</v>
      </c>
    </row>
    <row r="1994" spans="2:8" x14ac:dyDescent="0.2">
      <c r="B1994" s="3" t="s">
        <v>160</v>
      </c>
      <c r="C1994" s="3" t="s">
        <v>49</v>
      </c>
      <c r="D1994" s="3" t="str">
        <f>VLOOKUP(C1994,Countries!$B$3:$C$140,2,FALSE)</f>
        <v>Europe</v>
      </c>
      <c r="E1994" s="3" t="s">
        <v>2</v>
      </c>
      <c r="F1994" s="3" t="str">
        <f>VLOOKUP(E1994,Countries!$B$3:$C$140,2,FALSE)</f>
        <v>Europe</v>
      </c>
      <c r="G1994" s="4">
        <v>2</v>
      </c>
      <c r="H1994" s="4">
        <v>1210749.2835300001</v>
      </c>
    </row>
    <row r="1995" spans="2:8" x14ac:dyDescent="0.2">
      <c r="B1995" s="3" t="s">
        <v>160</v>
      </c>
      <c r="C1995" s="3" t="s">
        <v>49</v>
      </c>
      <c r="D1995" s="3" t="str">
        <f>VLOOKUP(C1995,Countries!$B$3:$C$140,2,FALSE)</f>
        <v>Europe</v>
      </c>
      <c r="E1995" s="3" t="s">
        <v>34</v>
      </c>
      <c r="F1995" s="3" t="str">
        <f>VLOOKUP(E1995,Countries!$B$3:$C$140,2,FALSE)</f>
        <v>Asia</v>
      </c>
      <c r="G1995" s="4">
        <v>4</v>
      </c>
      <c r="H1995" s="4">
        <v>403583.09450999997</v>
      </c>
    </row>
    <row r="1996" spans="2:8" x14ac:dyDescent="0.2">
      <c r="B1996" s="3" t="s">
        <v>160</v>
      </c>
      <c r="C1996" s="3" t="s">
        <v>49</v>
      </c>
      <c r="D1996" s="3" t="str">
        <f>VLOOKUP(C1996,Countries!$B$3:$C$140,2,FALSE)</f>
        <v>Europe</v>
      </c>
      <c r="E1996" s="3" t="s">
        <v>48</v>
      </c>
      <c r="F1996" s="3" t="str">
        <f>VLOOKUP(E1996,Countries!$B$3:$C$140,2,FALSE)</f>
        <v>Oceania</v>
      </c>
      <c r="G1996" s="4">
        <v>2</v>
      </c>
      <c r="H1996" s="4">
        <v>0</v>
      </c>
    </row>
    <row r="1997" spans="2:8" x14ac:dyDescent="0.2">
      <c r="B1997" s="3" t="s">
        <v>160</v>
      </c>
      <c r="C1997" s="3" t="s">
        <v>49</v>
      </c>
      <c r="D1997" s="3" t="str">
        <f>VLOOKUP(C1997,Countries!$B$3:$C$140,2,FALSE)</f>
        <v>Europe</v>
      </c>
      <c r="E1997" s="3" t="s">
        <v>3</v>
      </c>
      <c r="F1997" s="3" t="str">
        <f>VLOOKUP(E1997,Countries!$B$3:$C$140,2,FALSE)</f>
        <v>Europe</v>
      </c>
      <c r="G1997" s="4">
        <v>4</v>
      </c>
      <c r="H1997" s="4">
        <v>302687.32088250003</v>
      </c>
    </row>
    <row r="1998" spans="2:8" x14ac:dyDescent="0.2">
      <c r="B1998" s="3" t="s">
        <v>160</v>
      </c>
      <c r="C1998" s="3" t="s">
        <v>49</v>
      </c>
      <c r="D1998" s="3" t="str">
        <f>VLOOKUP(C1998,Countries!$B$3:$C$140,2,FALSE)</f>
        <v>Europe</v>
      </c>
      <c r="E1998" s="3" t="s">
        <v>4</v>
      </c>
      <c r="F1998" s="3" t="str">
        <f>VLOOKUP(E1998,Countries!$B$3:$C$140,2,FALSE)</f>
        <v>Asia</v>
      </c>
      <c r="G1998" s="4">
        <v>2</v>
      </c>
      <c r="H1998" s="4">
        <v>0</v>
      </c>
    </row>
    <row r="1999" spans="2:8" x14ac:dyDescent="0.2">
      <c r="B1999" s="3" t="s">
        <v>160</v>
      </c>
      <c r="C1999" s="3" t="s">
        <v>49</v>
      </c>
      <c r="D1999" s="3" t="str">
        <f>VLOOKUP(C1999,Countries!$B$3:$C$140,2,FALSE)</f>
        <v>Europe</v>
      </c>
      <c r="E1999" s="3" t="s">
        <v>35</v>
      </c>
      <c r="F1999" s="3" t="str">
        <f>VLOOKUP(E1999,Countries!$B$3:$C$140,2,FALSE)</f>
        <v>Europe</v>
      </c>
      <c r="G1999" s="4">
        <v>6</v>
      </c>
      <c r="H1999" s="4">
        <v>807166.18901999993</v>
      </c>
    </row>
    <row r="2000" spans="2:8" x14ac:dyDescent="0.2">
      <c r="B2000" s="3" t="s">
        <v>160</v>
      </c>
      <c r="C2000" s="3" t="s">
        <v>49</v>
      </c>
      <c r="D2000" s="3" t="str">
        <f>VLOOKUP(C2000,Countries!$B$3:$C$140,2,FALSE)</f>
        <v>Europe</v>
      </c>
      <c r="E2000" s="3" t="s">
        <v>6</v>
      </c>
      <c r="F2000" s="3" t="str">
        <f>VLOOKUP(E2000,Countries!$B$3:$C$140,2,FALSE)</f>
        <v>Europe</v>
      </c>
      <c r="G2000" s="4">
        <v>12</v>
      </c>
      <c r="H2000" s="4">
        <v>593960.65277369996</v>
      </c>
    </row>
    <row r="2001" spans="2:8" x14ac:dyDescent="0.2">
      <c r="B2001" s="3" t="s">
        <v>160</v>
      </c>
      <c r="C2001" s="3" t="s">
        <v>49</v>
      </c>
      <c r="D2001" s="3" t="str">
        <f>VLOOKUP(C2001,Countries!$B$3:$C$140,2,FALSE)</f>
        <v>Europe</v>
      </c>
      <c r="E2001" s="3" t="s">
        <v>7</v>
      </c>
      <c r="F2001" s="3" t="str">
        <f>VLOOKUP(E2001,Countries!$B$3:$C$140,2,FALSE)</f>
        <v>South America</v>
      </c>
      <c r="G2001" s="4">
        <v>2</v>
      </c>
      <c r="H2001" s="4">
        <v>0</v>
      </c>
    </row>
    <row r="2002" spans="2:8" x14ac:dyDescent="0.2">
      <c r="B2002" s="3" t="s">
        <v>160</v>
      </c>
      <c r="C2002" s="3" t="s">
        <v>49</v>
      </c>
      <c r="D2002" s="3" t="str">
        <f>VLOOKUP(C2002,Countries!$B$3:$C$140,2,FALSE)</f>
        <v>Europe</v>
      </c>
      <c r="E2002" s="3" t="s">
        <v>36</v>
      </c>
      <c r="F2002" s="3" t="str">
        <f>VLOOKUP(E2002,Countries!$B$3:$C$140,2,FALSE)</f>
        <v>Europe</v>
      </c>
      <c r="G2002" s="4">
        <v>2</v>
      </c>
      <c r="H2002" s="4">
        <v>242149.85670599999</v>
      </c>
    </row>
    <row r="2003" spans="2:8" x14ac:dyDescent="0.2">
      <c r="B2003" s="3" t="s">
        <v>160</v>
      </c>
      <c r="C2003" s="3" t="s">
        <v>49</v>
      </c>
      <c r="D2003" s="3" t="str">
        <f>VLOOKUP(C2003,Countries!$B$3:$C$140,2,FALSE)</f>
        <v>Europe</v>
      </c>
      <c r="E2003" s="3" t="s">
        <v>37</v>
      </c>
      <c r="F2003" s="3" t="str">
        <f>VLOOKUP(E2003,Countries!$B$3:$C$140,2,FALSE)</f>
        <v>Africa</v>
      </c>
      <c r="G2003" s="4">
        <v>4</v>
      </c>
      <c r="H2003" s="4">
        <v>686091.26066699997</v>
      </c>
    </row>
    <row r="2004" spans="2:8" x14ac:dyDescent="0.2">
      <c r="B2004" s="3" t="s">
        <v>160</v>
      </c>
      <c r="C2004" s="3" t="s">
        <v>49</v>
      </c>
      <c r="D2004" s="3" t="str">
        <f>VLOOKUP(C2004,Countries!$B$3:$C$140,2,FALSE)</f>
        <v>Europe</v>
      </c>
      <c r="E2004" s="3" t="s">
        <v>9</v>
      </c>
      <c r="F2004" s="3" t="str">
        <f>VLOOKUP(E2004,Countries!$B$3:$C$140,2,FALSE)</f>
        <v>Europe</v>
      </c>
      <c r="G2004" s="4">
        <v>2</v>
      </c>
      <c r="H2004" s="4">
        <v>0</v>
      </c>
    </row>
    <row r="2005" spans="2:8" x14ac:dyDescent="0.2">
      <c r="B2005" s="3" t="s">
        <v>160</v>
      </c>
      <c r="C2005" s="3" t="s">
        <v>49</v>
      </c>
      <c r="D2005" s="3" t="str">
        <f>VLOOKUP(C2005,Countries!$B$3:$C$140,2,FALSE)</f>
        <v>Europe</v>
      </c>
      <c r="E2005" s="3" t="s">
        <v>62</v>
      </c>
      <c r="F2005" s="3" t="str">
        <f>VLOOKUP(E2005,Countries!$B$3:$C$140,2,FALSE)</f>
        <v>Asia</v>
      </c>
      <c r="G2005" s="4">
        <v>4</v>
      </c>
      <c r="H2005" s="4">
        <v>0</v>
      </c>
    </row>
    <row r="2006" spans="2:8" x14ac:dyDescent="0.2">
      <c r="B2006" s="3" t="s">
        <v>160</v>
      </c>
      <c r="C2006" s="3" t="s">
        <v>49</v>
      </c>
      <c r="D2006" s="3" t="str">
        <f>VLOOKUP(C2006,Countries!$B$3:$C$140,2,FALSE)</f>
        <v>Europe</v>
      </c>
      <c r="E2006" s="3" t="s">
        <v>50</v>
      </c>
      <c r="F2006" s="3" t="str">
        <f>VLOOKUP(E2006,Countries!$B$3:$C$140,2,FALSE)</f>
        <v>Europe</v>
      </c>
      <c r="G2006" s="4">
        <v>2</v>
      </c>
      <c r="H2006" s="4">
        <v>0</v>
      </c>
    </row>
    <row r="2007" spans="2:8" x14ac:dyDescent="0.2">
      <c r="B2007" s="3" t="s">
        <v>160</v>
      </c>
      <c r="C2007" s="3" t="s">
        <v>49</v>
      </c>
      <c r="D2007" s="3" t="str">
        <f>VLOOKUP(C2007,Countries!$B$3:$C$140,2,FALSE)</f>
        <v>Europe</v>
      </c>
      <c r="E2007" s="3" t="s">
        <v>11</v>
      </c>
      <c r="F2007" s="3" t="str">
        <f>VLOOKUP(E2007,Countries!$B$3:$C$140,2,FALSE)</f>
        <v>Europe</v>
      </c>
      <c r="G2007" s="4">
        <v>6</v>
      </c>
      <c r="H2007" s="4">
        <v>0</v>
      </c>
    </row>
    <row r="2008" spans="2:8" x14ac:dyDescent="0.2">
      <c r="B2008" s="3" t="s">
        <v>160</v>
      </c>
      <c r="C2008" s="3" t="s">
        <v>49</v>
      </c>
      <c r="D2008" s="3" t="str">
        <f>VLOOKUP(C2008,Countries!$B$3:$C$140,2,FALSE)</f>
        <v>Europe</v>
      </c>
      <c r="E2008" s="3" t="s">
        <v>12</v>
      </c>
      <c r="F2008" s="3" t="str">
        <f>VLOOKUP(E2008,Countries!$B$3:$C$140,2,FALSE)</f>
        <v>Europe</v>
      </c>
      <c r="G2008" s="4">
        <v>4</v>
      </c>
      <c r="H2008" s="4">
        <v>343045.63033349998</v>
      </c>
    </row>
    <row r="2009" spans="2:8" x14ac:dyDescent="0.2">
      <c r="B2009" s="3" t="s">
        <v>160</v>
      </c>
      <c r="C2009" s="3" t="s">
        <v>49</v>
      </c>
      <c r="D2009" s="3" t="str">
        <f>VLOOKUP(C2009,Countries!$B$3:$C$140,2,FALSE)</f>
        <v>Europe</v>
      </c>
      <c r="E2009" s="3" t="s">
        <v>13</v>
      </c>
      <c r="F2009" s="3" t="str">
        <f>VLOOKUP(E2009,Countries!$B$3:$C$140,2,FALSE)</f>
        <v>Europe</v>
      </c>
      <c r="G2009" s="4">
        <v>4</v>
      </c>
      <c r="H2009" s="4">
        <v>0</v>
      </c>
    </row>
    <row r="2010" spans="2:8" x14ac:dyDescent="0.2">
      <c r="B2010" s="3" t="s">
        <v>160</v>
      </c>
      <c r="C2010" s="3" t="s">
        <v>49</v>
      </c>
      <c r="D2010" s="3" t="str">
        <f>VLOOKUP(C2010,Countries!$B$3:$C$140,2,FALSE)</f>
        <v>Europe</v>
      </c>
      <c r="E2010" s="3" t="s">
        <v>64</v>
      </c>
      <c r="F2010" s="3" t="str">
        <f>VLOOKUP(E2010,Countries!$B$3:$C$140,2,FALSE)</f>
        <v>Africa</v>
      </c>
      <c r="G2010" s="4">
        <v>2</v>
      </c>
      <c r="H2010" s="4">
        <v>363224.78505900002</v>
      </c>
    </row>
    <row r="2011" spans="2:8" x14ac:dyDescent="0.2">
      <c r="B2011" s="3" t="s">
        <v>160</v>
      </c>
      <c r="C2011" s="3" t="s">
        <v>49</v>
      </c>
      <c r="D2011" s="3" t="str">
        <f>VLOOKUP(C2011,Countries!$B$3:$C$140,2,FALSE)</f>
        <v>Europe</v>
      </c>
      <c r="E2011" s="3" t="s">
        <v>14</v>
      </c>
      <c r="F2011" s="3" t="str">
        <f>VLOOKUP(E2011,Countries!$B$3:$C$140,2,FALSE)</f>
        <v>Europe</v>
      </c>
      <c r="G2011" s="4">
        <v>2</v>
      </c>
      <c r="H2011" s="4">
        <v>0</v>
      </c>
    </row>
    <row r="2012" spans="2:8" x14ac:dyDescent="0.2">
      <c r="B2012" s="3" t="s">
        <v>160</v>
      </c>
      <c r="C2012" s="3" t="s">
        <v>49</v>
      </c>
      <c r="D2012" s="3" t="str">
        <f>VLOOKUP(C2012,Countries!$B$3:$C$140,2,FALSE)</f>
        <v>Europe</v>
      </c>
      <c r="E2012" s="3" t="s">
        <v>15</v>
      </c>
      <c r="F2012" s="3" t="str">
        <f>VLOOKUP(E2012,Countries!$B$3:$C$140,2,FALSE)</f>
        <v>Europe</v>
      </c>
      <c r="G2012" s="4">
        <v>2</v>
      </c>
      <c r="H2012" s="4">
        <v>720752.53118399996</v>
      </c>
    </row>
    <row r="2013" spans="2:8" x14ac:dyDescent="0.2">
      <c r="B2013" s="3" t="s">
        <v>160</v>
      </c>
      <c r="C2013" s="3" t="s">
        <v>49</v>
      </c>
      <c r="D2013" s="3" t="str">
        <f>VLOOKUP(C2013,Countries!$B$3:$C$140,2,FALSE)</f>
        <v>Europe</v>
      </c>
      <c r="E2013" s="3" t="s">
        <v>17</v>
      </c>
      <c r="F2013" s="3" t="str">
        <f>VLOOKUP(E2013,Countries!$B$3:$C$140,2,FALSE)</f>
        <v>Europe</v>
      </c>
      <c r="G2013" s="4">
        <v>4</v>
      </c>
      <c r="H2013" s="4">
        <v>1089674.3551770002</v>
      </c>
    </row>
    <row r="2014" spans="2:8" x14ac:dyDescent="0.2">
      <c r="B2014" s="3" t="s">
        <v>160</v>
      </c>
      <c r="C2014" s="3" t="s">
        <v>49</v>
      </c>
      <c r="D2014" s="3" t="str">
        <f>VLOOKUP(C2014,Countries!$B$3:$C$140,2,FALSE)</f>
        <v>Europe</v>
      </c>
      <c r="E2014" s="3" t="s">
        <v>40</v>
      </c>
      <c r="F2014" s="3" t="str">
        <f>VLOOKUP(E2014,Countries!$B$3:$C$140,2,FALSE)</f>
        <v>Asia</v>
      </c>
      <c r="G2014" s="4">
        <v>4</v>
      </c>
      <c r="H2014" s="4">
        <v>0</v>
      </c>
    </row>
    <row r="2015" spans="2:8" x14ac:dyDescent="0.2">
      <c r="B2015" s="3" t="s">
        <v>160</v>
      </c>
      <c r="C2015" s="3" t="s">
        <v>49</v>
      </c>
      <c r="D2015" s="3" t="str">
        <f>VLOOKUP(C2015,Countries!$B$3:$C$140,2,FALSE)</f>
        <v>Europe</v>
      </c>
      <c r="E2015" s="3" t="s">
        <v>117</v>
      </c>
      <c r="F2015" s="3" t="str">
        <f>VLOOKUP(E2015,Countries!$B$3:$C$140,2,FALSE)</f>
        <v>Asia</v>
      </c>
      <c r="G2015" s="4">
        <v>2</v>
      </c>
      <c r="H2015" s="4">
        <v>0</v>
      </c>
    </row>
    <row r="2016" spans="2:8" x14ac:dyDescent="0.2">
      <c r="B2016" s="3" t="s">
        <v>160</v>
      </c>
      <c r="C2016" s="3" t="s">
        <v>49</v>
      </c>
      <c r="D2016" s="3" t="str">
        <f>VLOOKUP(C2016,Countries!$B$3:$C$140,2,FALSE)</f>
        <v>Europe</v>
      </c>
      <c r="E2016" s="3" t="s">
        <v>21</v>
      </c>
      <c r="F2016" s="3" t="str">
        <f>VLOOKUP(E2016,Countries!$B$3:$C$140,2,FALSE)</f>
        <v>Europe</v>
      </c>
      <c r="G2016" s="4">
        <v>2</v>
      </c>
      <c r="H2016" s="4">
        <v>0</v>
      </c>
    </row>
    <row r="2017" spans="2:8" x14ac:dyDescent="0.2">
      <c r="B2017" s="3" t="s">
        <v>160</v>
      </c>
      <c r="C2017" s="3" t="s">
        <v>49</v>
      </c>
      <c r="D2017" s="3" t="str">
        <f>VLOOKUP(C2017,Countries!$B$3:$C$140,2,FALSE)</f>
        <v>Europe</v>
      </c>
      <c r="E2017" s="3" t="s">
        <v>53</v>
      </c>
      <c r="F2017" s="3" t="str">
        <f>VLOOKUP(E2017,Countries!$B$3:$C$140,2,FALSE)</f>
        <v>Europe</v>
      </c>
      <c r="G2017" s="4">
        <v>2</v>
      </c>
      <c r="H2017" s="4">
        <v>0</v>
      </c>
    </row>
    <row r="2018" spans="2:8" x14ac:dyDescent="0.2">
      <c r="B2018" s="3" t="s">
        <v>160</v>
      </c>
      <c r="C2018" s="3" t="s">
        <v>49</v>
      </c>
      <c r="D2018" s="3" t="str">
        <f>VLOOKUP(C2018,Countries!$B$3:$C$140,2,FALSE)</f>
        <v>Europe</v>
      </c>
      <c r="E2018" s="3" t="s">
        <v>54</v>
      </c>
      <c r="F2018" s="3" t="str">
        <f>VLOOKUP(E2018,Countries!$B$3:$C$140,2,FALSE)</f>
        <v>Europe</v>
      </c>
      <c r="G2018" s="4">
        <v>14</v>
      </c>
      <c r="H2018" s="4">
        <v>0</v>
      </c>
    </row>
    <row r="2019" spans="2:8" x14ac:dyDescent="0.2">
      <c r="B2019" s="3" t="s">
        <v>160</v>
      </c>
      <c r="C2019" s="3" t="s">
        <v>49</v>
      </c>
      <c r="D2019" s="3" t="str">
        <f>VLOOKUP(C2019,Countries!$B$3:$C$140,2,FALSE)</f>
        <v>Europe</v>
      </c>
      <c r="E2019" s="3" t="s">
        <v>46</v>
      </c>
      <c r="F2019" s="3" t="str">
        <f>VLOOKUP(E2019,Countries!$B$3:$C$140,2,FALSE)</f>
        <v>Europe/Asia</v>
      </c>
      <c r="G2019" s="4">
        <v>10</v>
      </c>
      <c r="H2019" s="4">
        <v>0</v>
      </c>
    </row>
    <row r="2020" spans="2:8" x14ac:dyDescent="0.2">
      <c r="B2020" s="3" t="s">
        <v>160</v>
      </c>
      <c r="C2020" s="3" t="s">
        <v>49</v>
      </c>
      <c r="D2020" s="3" t="str">
        <f>VLOOKUP(C2020,Countries!$B$3:$C$140,2,FALSE)</f>
        <v>Europe</v>
      </c>
      <c r="E2020" s="3" t="s">
        <v>55</v>
      </c>
      <c r="F2020" s="3" t="str">
        <f>VLOOKUP(E2020,Countries!$B$3:$C$140,2,FALSE)</f>
        <v>Europe</v>
      </c>
      <c r="G2020" s="4">
        <v>2</v>
      </c>
      <c r="H2020" s="4">
        <v>0</v>
      </c>
    </row>
    <row r="2021" spans="2:8" x14ac:dyDescent="0.2">
      <c r="B2021" s="3" t="s">
        <v>160</v>
      </c>
      <c r="C2021" s="3" t="s">
        <v>49</v>
      </c>
      <c r="D2021" s="3" t="str">
        <f>VLOOKUP(C2021,Countries!$B$3:$C$140,2,FALSE)</f>
        <v>Europe</v>
      </c>
      <c r="E2021" s="3" t="s">
        <v>47</v>
      </c>
      <c r="F2021" s="3" t="str">
        <f>VLOOKUP(E2021,Countries!$B$3:$C$140,2,FALSE)</f>
        <v>Africa</v>
      </c>
      <c r="G2021" s="4">
        <v>2</v>
      </c>
      <c r="H2021" s="4">
        <v>0</v>
      </c>
    </row>
    <row r="2022" spans="2:8" x14ac:dyDescent="0.2">
      <c r="B2022" s="3" t="s">
        <v>160</v>
      </c>
      <c r="C2022" s="3" t="s">
        <v>49</v>
      </c>
      <c r="D2022" s="3" t="str">
        <f>VLOOKUP(C2022,Countries!$B$3:$C$140,2,FALSE)</f>
        <v>Europe</v>
      </c>
      <c r="E2022" s="3" t="s">
        <v>28</v>
      </c>
      <c r="F2022" s="3" t="str">
        <f>VLOOKUP(E2022,Countries!$B$3:$C$140,2,FALSE)</f>
        <v>Europe</v>
      </c>
      <c r="G2022" s="4">
        <v>2</v>
      </c>
      <c r="H2022" s="4">
        <v>0</v>
      </c>
    </row>
    <row r="2023" spans="2:8" x14ac:dyDescent="0.2">
      <c r="B2023" s="3" t="s">
        <v>160</v>
      </c>
      <c r="C2023" s="3" t="s">
        <v>49</v>
      </c>
      <c r="D2023" s="3" t="str">
        <f>VLOOKUP(C2023,Countries!$B$3:$C$140,2,FALSE)</f>
        <v>Europe</v>
      </c>
      <c r="E2023" s="3" t="s">
        <v>29</v>
      </c>
      <c r="F2023" s="3" t="str">
        <f>VLOOKUP(E2023,Countries!$B$3:$C$140,2,FALSE)</f>
        <v>Europe</v>
      </c>
      <c r="G2023" s="4">
        <v>2</v>
      </c>
      <c r="H2023" s="4">
        <v>0</v>
      </c>
    </row>
    <row r="2024" spans="2:8" x14ac:dyDescent="0.2">
      <c r="B2024" s="3" t="s">
        <v>160</v>
      </c>
      <c r="C2024" s="3" t="s">
        <v>49</v>
      </c>
      <c r="D2024" s="3" t="str">
        <f>VLOOKUP(C2024,Countries!$B$3:$C$140,2,FALSE)</f>
        <v>Europe</v>
      </c>
      <c r="E2024" s="3" t="s">
        <v>56</v>
      </c>
      <c r="F2024" s="3" t="str">
        <f>VLOOKUP(E2024,Countries!$B$3:$C$140,2,FALSE)</f>
        <v>Europe</v>
      </c>
      <c r="G2024" s="4">
        <v>96</v>
      </c>
      <c r="H2024" s="4">
        <v>3645919.0695474297</v>
      </c>
    </row>
    <row r="2025" spans="2:8" x14ac:dyDescent="0.2">
      <c r="B2025" s="3" t="s">
        <v>160</v>
      </c>
      <c r="C2025" s="3" t="s">
        <v>49</v>
      </c>
      <c r="D2025" s="3" t="str">
        <f>VLOOKUP(C2025,Countries!$B$3:$C$140,2,FALSE)</f>
        <v>Europe</v>
      </c>
      <c r="E2025" s="3" t="s">
        <v>31</v>
      </c>
      <c r="F2025" s="3" t="str">
        <f>VLOOKUP(E2025,Countries!$B$3:$C$140,2,FALSE)</f>
        <v>Europe</v>
      </c>
      <c r="G2025" s="4">
        <v>2</v>
      </c>
      <c r="H2025" s="4">
        <v>0</v>
      </c>
    </row>
    <row r="2026" spans="2:8" x14ac:dyDescent="0.2">
      <c r="B2026" s="3" t="s">
        <v>160</v>
      </c>
      <c r="C2026" s="3" t="s">
        <v>49</v>
      </c>
      <c r="D2026" s="3" t="str">
        <f>VLOOKUP(C2026,Countries!$B$3:$C$140,2,FALSE)</f>
        <v>Europe</v>
      </c>
      <c r="E2026" s="3" t="s">
        <v>57</v>
      </c>
      <c r="F2026" s="3" t="str">
        <f>VLOOKUP(E2026,Countries!$B$3:$C$140,2,FALSE)</f>
        <v>Europe/Asia</v>
      </c>
      <c r="G2026" s="4">
        <v>6</v>
      </c>
      <c r="H2026" s="4">
        <v>0</v>
      </c>
    </row>
    <row r="2027" spans="2:8" x14ac:dyDescent="0.2">
      <c r="B2027" s="3" t="s">
        <v>160</v>
      </c>
      <c r="C2027" s="3" t="s">
        <v>49</v>
      </c>
      <c r="D2027" s="3" t="str">
        <f>VLOOKUP(C2027,Countries!$B$3:$C$140,2,FALSE)</f>
        <v>Europe</v>
      </c>
      <c r="E2027" s="3" t="s">
        <v>32</v>
      </c>
      <c r="F2027" s="3" t="str">
        <f>VLOOKUP(E2027,Countries!$B$3:$C$140,2,FALSE)</f>
        <v>Europe</v>
      </c>
      <c r="G2027" s="4">
        <v>10</v>
      </c>
      <c r="H2027" s="4">
        <v>453000</v>
      </c>
    </row>
    <row r="2028" spans="2:8" x14ac:dyDescent="0.2">
      <c r="B2028" s="3" t="s">
        <v>160</v>
      </c>
      <c r="C2028" s="3" t="s">
        <v>10</v>
      </c>
      <c r="D2028" s="3" t="str">
        <f>VLOOKUP(C2028,Countries!$B$3:$C$140,2,FALSE)</f>
        <v>Europe</v>
      </c>
      <c r="E2028" s="3" t="s">
        <v>69</v>
      </c>
      <c r="F2028" s="3" t="str">
        <f>VLOOKUP(E2028,Countries!$B$3:$C$140,2,FALSE)</f>
        <v>South America</v>
      </c>
      <c r="G2028" s="4">
        <v>2</v>
      </c>
      <c r="H2028" s="4">
        <v>0</v>
      </c>
    </row>
    <row r="2029" spans="2:8" x14ac:dyDescent="0.2">
      <c r="B2029" s="3" t="s">
        <v>160</v>
      </c>
      <c r="C2029" s="3" t="s">
        <v>10</v>
      </c>
      <c r="D2029" s="3" t="str">
        <f>VLOOKUP(C2029,Countries!$B$3:$C$140,2,FALSE)</f>
        <v>Europe</v>
      </c>
      <c r="E2029" s="3" t="s">
        <v>3</v>
      </c>
      <c r="F2029" s="3" t="str">
        <f>VLOOKUP(E2029,Countries!$B$3:$C$140,2,FALSE)</f>
        <v>Europe</v>
      </c>
      <c r="G2029" s="4">
        <v>12</v>
      </c>
      <c r="H2029" s="4">
        <v>425669.88613452006</v>
      </c>
    </row>
    <row r="2030" spans="2:8" x14ac:dyDescent="0.2">
      <c r="B2030" s="3" t="s">
        <v>160</v>
      </c>
      <c r="C2030" s="3" t="s">
        <v>10</v>
      </c>
      <c r="D2030" s="3" t="str">
        <f>VLOOKUP(C2030,Countries!$B$3:$C$140,2,FALSE)</f>
        <v>Europe</v>
      </c>
      <c r="E2030" s="3" t="s">
        <v>35</v>
      </c>
      <c r="F2030" s="3" t="str">
        <f>VLOOKUP(E2030,Countries!$B$3:$C$140,2,FALSE)</f>
        <v>Europe</v>
      </c>
      <c r="G2030" s="4">
        <v>6</v>
      </c>
      <c r="H2030" s="4">
        <v>5246580.2286300007</v>
      </c>
    </row>
    <row r="2031" spans="2:8" x14ac:dyDescent="0.2">
      <c r="B2031" s="3" t="s">
        <v>160</v>
      </c>
      <c r="C2031" s="3" t="s">
        <v>10</v>
      </c>
      <c r="D2031" s="3" t="str">
        <f>VLOOKUP(C2031,Countries!$B$3:$C$140,2,FALSE)</f>
        <v>Europe</v>
      </c>
      <c r="E2031" s="3" t="s">
        <v>59</v>
      </c>
      <c r="F2031" s="3" t="str">
        <f>VLOOKUP(E2031,Countries!$B$3:$C$140,2,FALSE)</f>
        <v>Europe</v>
      </c>
      <c r="G2031" s="4">
        <v>2</v>
      </c>
      <c r="H2031" s="4">
        <v>0</v>
      </c>
    </row>
    <row r="2032" spans="2:8" x14ac:dyDescent="0.2">
      <c r="B2032" s="3" t="s">
        <v>160</v>
      </c>
      <c r="C2032" s="3" t="s">
        <v>10</v>
      </c>
      <c r="D2032" s="3" t="str">
        <f>VLOOKUP(C2032,Countries!$B$3:$C$140,2,FALSE)</f>
        <v>Europe</v>
      </c>
      <c r="E2032" s="3" t="s">
        <v>7</v>
      </c>
      <c r="F2032" s="3" t="str">
        <f>VLOOKUP(E2032,Countries!$B$3:$C$140,2,FALSE)</f>
        <v>South America</v>
      </c>
      <c r="G2032" s="4">
        <v>2</v>
      </c>
      <c r="H2032" s="4">
        <v>0</v>
      </c>
    </row>
    <row r="2033" spans="2:8" x14ac:dyDescent="0.2">
      <c r="B2033" s="3" t="s">
        <v>160</v>
      </c>
      <c r="C2033" s="3" t="s">
        <v>10</v>
      </c>
      <c r="D2033" s="3" t="str">
        <f>VLOOKUP(C2033,Countries!$B$3:$C$140,2,FALSE)</f>
        <v>Europe</v>
      </c>
      <c r="E2033" s="3" t="s">
        <v>61</v>
      </c>
      <c r="F2033" s="3" t="str">
        <f>VLOOKUP(E2033,Countries!$B$3:$C$140,2,FALSE)</f>
        <v>North America</v>
      </c>
      <c r="G2033" s="4">
        <v>2</v>
      </c>
      <c r="H2033" s="4">
        <v>120000</v>
      </c>
    </row>
    <row r="2034" spans="2:8" x14ac:dyDescent="0.2">
      <c r="B2034" s="3" t="s">
        <v>160</v>
      </c>
      <c r="C2034" s="3" t="s">
        <v>10</v>
      </c>
      <c r="D2034" s="3" t="str">
        <f>VLOOKUP(C2034,Countries!$B$3:$C$140,2,FALSE)</f>
        <v>Europe</v>
      </c>
      <c r="E2034" s="3" t="s">
        <v>62</v>
      </c>
      <c r="F2034" s="3" t="str">
        <f>VLOOKUP(E2034,Countries!$B$3:$C$140,2,FALSE)</f>
        <v>Asia</v>
      </c>
      <c r="G2034" s="4">
        <v>2</v>
      </c>
      <c r="H2034" s="4">
        <v>0</v>
      </c>
    </row>
    <row r="2035" spans="2:8" x14ac:dyDescent="0.2">
      <c r="B2035" s="3" t="s">
        <v>160</v>
      </c>
      <c r="C2035" s="3" t="s">
        <v>10</v>
      </c>
      <c r="D2035" s="3" t="str">
        <f>VLOOKUP(C2035,Countries!$B$3:$C$140,2,FALSE)</f>
        <v>Europe</v>
      </c>
      <c r="E2035" s="3" t="s">
        <v>50</v>
      </c>
      <c r="F2035" s="3" t="str">
        <f>VLOOKUP(E2035,Countries!$B$3:$C$140,2,FALSE)</f>
        <v>Europe</v>
      </c>
      <c r="G2035" s="4">
        <v>6</v>
      </c>
      <c r="H2035" s="4">
        <v>0</v>
      </c>
    </row>
    <row r="2036" spans="2:8" x14ac:dyDescent="0.2">
      <c r="B2036" s="3" t="s">
        <v>160</v>
      </c>
      <c r="C2036" s="3" t="s">
        <v>10</v>
      </c>
      <c r="D2036" s="3" t="str">
        <f>VLOOKUP(C2036,Countries!$B$3:$C$140,2,FALSE)</f>
        <v>Europe</v>
      </c>
      <c r="E2036" s="3" t="s">
        <v>11</v>
      </c>
      <c r="F2036" s="3" t="str">
        <f>VLOOKUP(E2036,Countries!$B$3:$C$140,2,FALSE)</f>
        <v>Europe</v>
      </c>
      <c r="G2036" s="4">
        <v>2</v>
      </c>
      <c r="H2036" s="4">
        <v>2907816.1959445532</v>
      </c>
    </row>
    <row r="2037" spans="2:8" x14ac:dyDescent="0.2">
      <c r="B2037" s="3" t="s">
        <v>160</v>
      </c>
      <c r="C2037" s="3" t="s">
        <v>10</v>
      </c>
      <c r="D2037" s="3" t="str">
        <f>VLOOKUP(C2037,Countries!$B$3:$C$140,2,FALSE)</f>
        <v>Europe</v>
      </c>
      <c r="E2037" s="3" t="s">
        <v>38</v>
      </c>
      <c r="F2037" s="3" t="str">
        <f>VLOOKUP(E2037,Countries!$B$3:$C$140,2,FALSE)</f>
        <v>Europe</v>
      </c>
      <c r="G2037" s="4">
        <v>2</v>
      </c>
      <c r="H2037" s="4">
        <v>524658.02286299993</v>
      </c>
    </row>
    <row r="2038" spans="2:8" x14ac:dyDescent="0.2">
      <c r="B2038" s="3" t="s">
        <v>160</v>
      </c>
      <c r="C2038" s="3" t="s">
        <v>10</v>
      </c>
      <c r="D2038" s="3" t="str">
        <f>VLOOKUP(C2038,Countries!$B$3:$C$140,2,FALSE)</f>
        <v>Europe</v>
      </c>
      <c r="E2038" s="3" t="s">
        <v>73</v>
      </c>
      <c r="F2038" s="3" t="str">
        <f>VLOOKUP(E2038,Countries!$B$3:$C$140,2,FALSE)</f>
        <v>Europe</v>
      </c>
      <c r="G2038" s="4">
        <v>2</v>
      </c>
      <c r="H2038" s="4">
        <v>0</v>
      </c>
    </row>
    <row r="2039" spans="2:8" x14ac:dyDescent="0.2">
      <c r="B2039" s="3" t="s">
        <v>160</v>
      </c>
      <c r="C2039" s="3" t="s">
        <v>10</v>
      </c>
      <c r="D2039" s="3" t="str">
        <f>VLOOKUP(C2039,Countries!$B$3:$C$140,2,FALSE)</f>
        <v>Europe</v>
      </c>
      <c r="E2039" s="3" t="s">
        <v>12</v>
      </c>
      <c r="F2039" s="3" t="str">
        <f>VLOOKUP(E2039,Countries!$B$3:$C$140,2,FALSE)</f>
        <v>Europe</v>
      </c>
      <c r="G2039" s="4">
        <v>12</v>
      </c>
      <c r="H2039" s="4">
        <v>1311645.0571575002</v>
      </c>
    </row>
    <row r="2040" spans="2:8" x14ac:dyDescent="0.2">
      <c r="B2040" s="3" t="s">
        <v>160</v>
      </c>
      <c r="C2040" s="3" t="s">
        <v>10</v>
      </c>
      <c r="D2040" s="3" t="str">
        <f>VLOOKUP(C2040,Countries!$B$3:$C$140,2,FALSE)</f>
        <v>Europe</v>
      </c>
      <c r="E2040" s="3" t="s">
        <v>97</v>
      </c>
      <c r="F2040" s="3" t="str">
        <f>VLOOKUP(E2040,Countries!$B$3:$C$140,2,FALSE)</f>
        <v>Europe</v>
      </c>
      <c r="G2040" s="4">
        <v>4</v>
      </c>
      <c r="H2040" s="4">
        <v>194726.44285200001</v>
      </c>
    </row>
    <row r="2041" spans="2:8" x14ac:dyDescent="0.2">
      <c r="B2041" s="3" t="s">
        <v>160</v>
      </c>
      <c r="C2041" s="3" t="s">
        <v>10</v>
      </c>
      <c r="D2041" s="3" t="str">
        <f>VLOOKUP(C2041,Countries!$B$3:$C$140,2,FALSE)</f>
        <v>Europe</v>
      </c>
      <c r="E2041" s="3" t="s">
        <v>39</v>
      </c>
      <c r="F2041" s="3" t="str">
        <f>VLOOKUP(E2041,Countries!$B$3:$C$140,2,FALSE)</f>
        <v>Europe/Asia</v>
      </c>
      <c r="G2041" s="4">
        <v>4</v>
      </c>
      <c r="H2041" s="4">
        <v>0</v>
      </c>
    </row>
    <row r="2042" spans="2:8" x14ac:dyDescent="0.2">
      <c r="B2042" s="3" t="s">
        <v>160</v>
      </c>
      <c r="C2042" s="3" t="s">
        <v>10</v>
      </c>
      <c r="D2042" s="3" t="str">
        <f>VLOOKUP(C2042,Countries!$B$3:$C$140,2,FALSE)</f>
        <v>Europe</v>
      </c>
      <c r="E2042" s="3" t="s">
        <v>13</v>
      </c>
      <c r="F2042" s="3" t="str">
        <f>VLOOKUP(E2042,Countries!$B$3:$C$140,2,FALSE)</f>
        <v>Europe</v>
      </c>
      <c r="G2042" s="4">
        <v>6</v>
      </c>
      <c r="H2042" s="4">
        <v>524658.02286299993</v>
      </c>
    </row>
    <row r="2043" spans="2:8" x14ac:dyDescent="0.2">
      <c r="B2043" s="3" t="s">
        <v>160</v>
      </c>
      <c r="C2043" s="3" t="s">
        <v>10</v>
      </c>
      <c r="D2043" s="3" t="str">
        <f>VLOOKUP(C2043,Countries!$B$3:$C$140,2,FALSE)</f>
        <v>Europe</v>
      </c>
      <c r="E2043" s="3" t="s">
        <v>75</v>
      </c>
      <c r="F2043" s="3" t="str">
        <f>VLOOKUP(E2043,Countries!$B$3:$C$140,2,FALSE)</f>
        <v>Europe</v>
      </c>
      <c r="G2043" s="4">
        <v>4</v>
      </c>
      <c r="H2043" s="4">
        <v>0</v>
      </c>
    </row>
    <row r="2044" spans="2:8" x14ac:dyDescent="0.2">
      <c r="B2044" s="3" t="s">
        <v>160</v>
      </c>
      <c r="C2044" s="3" t="s">
        <v>10</v>
      </c>
      <c r="D2044" s="3" t="str">
        <f>VLOOKUP(C2044,Countries!$B$3:$C$140,2,FALSE)</f>
        <v>Europe</v>
      </c>
      <c r="E2044" s="3" t="s">
        <v>17</v>
      </c>
      <c r="F2044" s="3" t="str">
        <f>VLOOKUP(E2044,Countries!$B$3:$C$140,2,FALSE)</f>
        <v>Europe</v>
      </c>
      <c r="G2044" s="4">
        <v>4</v>
      </c>
      <c r="H2044" s="4">
        <v>0</v>
      </c>
    </row>
    <row r="2045" spans="2:8" x14ac:dyDescent="0.2">
      <c r="B2045" s="3" t="s">
        <v>160</v>
      </c>
      <c r="C2045" s="3" t="s">
        <v>10</v>
      </c>
      <c r="D2045" s="3" t="str">
        <f>VLOOKUP(C2045,Countries!$B$3:$C$140,2,FALSE)</f>
        <v>Europe</v>
      </c>
      <c r="E2045" s="3" t="s">
        <v>43</v>
      </c>
      <c r="F2045" s="3" t="str">
        <f>VLOOKUP(E2045,Countries!$B$3:$C$140,2,FALSE)</f>
        <v>Europe</v>
      </c>
      <c r="G2045" s="4">
        <v>2</v>
      </c>
      <c r="H2045" s="4">
        <v>404683.56521999999</v>
      </c>
    </row>
    <row r="2046" spans="2:8" x14ac:dyDescent="0.2">
      <c r="B2046" s="3" t="s">
        <v>160</v>
      </c>
      <c r="C2046" s="3" t="s">
        <v>10</v>
      </c>
      <c r="D2046" s="3" t="str">
        <f>VLOOKUP(C2046,Countries!$B$3:$C$140,2,FALSE)</f>
        <v>Europe</v>
      </c>
      <c r="E2046" s="3" t="s">
        <v>53</v>
      </c>
      <c r="F2046" s="3" t="str">
        <f>VLOOKUP(E2046,Countries!$B$3:$C$140,2,FALSE)</f>
        <v>Europe</v>
      </c>
      <c r="G2046" s="4">
        <v>12</v>
      </c>
      <c r="H2046" s="4">
        <v>0</v>
      </c>
    </row>
    <row r="2047" spans="2:8" x14ac:dyDescent="0.2">
      <c r="B2047" s="3" t="s">
        <v>160</v>
      </c>
      <c r="C2047" s="3" t="s">
        <v>10</v>
      </c>
      <c r="D2047" s="3" t="str">
        <f>VLOOKUP(C2047,Countries!$B$3:$C$140,2,FALSE)</f>
        <v>Europe</v>
      </c>
      <c r="E2047" s="3" t="s">
        <v>24</v>
      </c>
      <c r="F2047" s="3" t="str">
        <f>VLOOKUP(E2047,Countries!$B$3:$C$140,2,FALSE)</f>
        <v>Africa</v>
      </c>
      <c r="G2047" s="4">
        <v>8</v>
      </c>
      <c r="H2047" s="4">
        <v>0</v>
      </c>
    </row>
    <row r="2048" spans="2:8" x14ac:dyDescent="0.2">
      <c r="B2048" s="3" t="s">
        <v>160</v>
      </c>
      <c r="C2048" s="3" t="s">
        <v>10</v>
      </c>
      <c r="D2048" s="3" t="str">
        <f>VLOOKUP(C2048,Countries!$B$3:$C$140,2,FALSE)</f>
        <v>Europe</v>
      </c>
      <c r="E2048" s="3" t="s">
        <v>44</v>
      </c>
      <c r="F2048" s="3" t="str">
        <f>VLOOKUP(E2048,Countries!$B$3:$C$140,2,FALSE)</f>
        <v>Europe</v>
      </c>
      <c r="G2048" s="4">
        <v>22</v>
      </c>
      <c r="H2048" s="4">
        <v>1624826.1788927999</v>
      </c>
    </row>
    <row r="2049" spans="2:8" x14ac:dyDescent="0.2">
      <c r="B2049" s="3" t="s">
        <v>160</v>
      </c>
      <c r="C2049" s="3" t="s">
        <v>10</v>
      </c>
      <c r="D2049" s="3" t="str">
        <f>VLOOKUP(C2049,Countries!$B$3:$C$140,2,FALSE)</f>
        <v>Europe</v>
      </c>
      <c r="E2049" s="3" t="s">
        <v>54</v>
      </c>
      <c r="F2049" s="3" t="str">
        <f>VLOOKUP(E2049,Countries!$B$3:$C$140,2,FALSE)</f>
        <v>Europe</v>
      </c>
      <c r="G2049" s="4">
        <v>2</v>
      </c>
      <c r="H2049" s="4">
        <v>0</v>
      </c>
    </row>
    <row r="2050" spans="2:8" x14ac:dyDescent="0.2">
      <c r="B2050" s="3" t="s">
        <v>160</v>
      </c>
      <c r="C2050" s="3" t="s">
        <v>10</v>
      </c>
      <c r="D2050" s="3" t="str">
        <f>VLOOKUP(C2050,Countries!$B$3:$C$140,2,FALSE)</f>
        <v>Europe</v>
      </c>
      <c r="E2050" s="3" t="s">
        <v>25</v>
      </c>
      <c r="F2050" s="3" t="str">
        <f>VLOOKUP(E2050,Countries!$B$3:$C$140,2,FALSE)</f>
        <v>Europe</v>
      </c>
      <c r="G2050" s="4">
        <v>2</v>
      </c>
      <c r="H2050" s="4">
        <v>0</v>
      </c>
    </row>
    <row r="2051" spans="2:8" x14ac:dyDescent="0.2">
      <c r="B2051" s="3" t="s">
        <v>160</v>
      </c>
      <c r="C2051" s="3" t="s">
        <v>10</v>
      </c>
      <c r="D2051" s="3" t="str">
        <f>VLOOKUP(C2051,Countries!$B$3:$C$140,2,FALSE)</f>
        <v>Europe</v>
      </c>
      <c r="E2051" s="3" t="s">
        <v>26</v>
      </c>
      <c r="F2051" s="3" t="str">
        <f>VLOOKUP(E2051,Countries!$B$3:$C$140,2,FALSE)</f>
        <v>Europe</v>
      </c>
      <c r="G2051" s="4">
        <v>2</v>
      </c>
      <c r="H2051" s="4">
        <v>55989.522409500001</v>
      </c>
    </row>
    <row r="2052" spans="2:8" x14ac:dyDescent="0.2">
      <c r="B2052" s="3" t="s">
        <v>160</v>
      </c>
      <c r="C2052" s="3" t="s">
        <v>10</v>
      </c>
      <c r="D2052" s="3" t="str">
        <f>VLOOKUP(C2052,Countries!$B$3:$C$140,2,FALSE)</f>
        <v>Europe</v>
      </c>
      <c r="E2052" s="3" t="s">
        <v>82</v>
      </c>
      <c r="F2052" s="3" t="e">
        <f>VLOOKUP(E2052,Countries!$B$3:$C$140,2,FALSE)</f>
        <v>#N/A</v>
      </c>
      <c r="G2052" s="4">
        <v>2</v>
      </c>
      <c r="H2052" s="4">
        <v>0</v>
      </c>
    </row>
    <row r="2053" spans="2:8" x14ac:dyDescent="0.2">
      <c r="B2053" s="3" t="s">
        <v>160</v>
      </c>
      <c r="C2053" s="3" t="s">
        <v>10</v>
      </c>
      <c r="D2053" s="3" t="str">
        <f>VLOOKUP(C2053,Countries!$B$3:$C$140,2,FALSE)</f>
        <v>Europe</v>
      </c>
      <c r="E2053" s="3" t="s">
        <v>55</v>
      </c>
      <c r="F2053" s="3" t="str">
        <f>VLOOKUP(E2053,Countries!$B$3:$C$140,2,FALSE)</f>
        <v>Europe</v>
      </c>
      <c r="G2053" s="4">
        <v>2</v>
      </c>
      <c r="H2053" s="4">
        <v>637237.52707656601</v>
      </c>
    </row>
    <row r="2054" spans="2:8" x14ac:dyDescent="0.2">
      <c r="B2054" s="3" t="s">
        <v>160</v>
      </c>
      <c r="C2054" s="3" t="s">
        <v>10</v>
      </c>
      <c r="D2054" s="3" t="str">
        <f>VLOOKUP(C2054,Countries!$B$3:$C$140,2,FALSE)</f>
        <v>Europe</v>
      </c>
      <c r="E2054" s="3" t="s">
        <v>98</v>
      </c>
      <c r="F2054" s="3" t="str">
        <f>VLOOKUP(E2054,Countries!$B$3:$C$140,2,FALSE)</f>
        <v>North America</v>
      </c>
      <c r="G2054" s="4">
        <v>6</v>
      </c>
      <c r="H2054" s="4">
        <v>0</v>
      </c>
    </row>
    <row r="2055" spans="2:8" x14ac:dyDescent="0.2">
      <c r="B2055" s="3" t="s">
        <v>160</v>
      </c>
      <c r="C2055" s="3" t="s">
        <v>10</v>
      </c>
      <c r="D2055" s="3" t="str">
        <f>VLOOKUP(C2055,Countries!$B$3:$C$140,2,FALSE)</f>
        <v>Europe</v>
      </c>
      <c r="E2055" s="3" t="s">
        <v>29</v>
      </c>
      <c r="F2055" s="3" t="str">
        <f>VLOOKUP(E2055,Countries!$B$3:$C$140,2,FALSE)</f>
        <v>Europe</v>
      </c>
      <c r="G2055" s="4">
        <v>8</v>
      </c>
      <c r="H2055" s="4">
        <v>0</v>
      </c>
    </row>
    <row r="2056" spans="2:8" x14ac:dyDescent="0.2">
      <c r="B2056" s="3" t="s">
        <v>160</v>
      </c>
      <c r="C2056" s="3" t="s">
        <v>10</v>
      </c>
      <c r="D2056" s="3" t="str">
        <f>VLOOKUP(C2056,Countries!$B$3:$C$140,2,FALSE)</f>
        <v>Europe</v>
      </c>
      <c r="E2056" s="3" t="s">
        <v>31</v>
      </c>
      <c r="F2056" s="3" t="str">
        <f>VLOOKUP(E2056,Countries!$B$3:$C$140,2,FALSE)</f>
        <v>Europe</v>
      </c>
      <c r="G2056" s="4">
        <v>22</v>
      </c>
      <c r="H2056" s="4">
        <v>315527.86872000003</v>
      </c>
    </row>
    <row r="2057" spans="2:8" x14ac:dyDescent="0.2">
      <c r="B2057" s="3" t="s">
        <v>160</v>
      </c>
      <c r="C2057" s="3" t="s">
        <v>10</v>
      </c>
      <c r="D2057" s="3" t="str">
        <f>VLOOKUP(C2057,Countries!$B$3:$C$140,2,FALSE)</f>
        <v>Europe</v>
      </c>
      <c r="E2057" s="3" t="s">
        <v>57</v>
      </c>
      <c r="F2057" s="3" t="str">
        <f>VLOOKUP(E2057,Countries!$B$3:$C$140,2,FALSE)</f>
        <v>Europe/Asia</v>
      </c>
      <c r="G2057" s="4">
        <v>2</v>
      </c>
      <c r="H2057" s="4">
        <v>0</v>
      </c>
    </row>
    <row r="2058" spans="2:8" x14ac:dyDescent="0.2">
      <c r="B2058" s="3" t="s">
        <v>160</v>
      </c>
      <c r="C2058" s="3" t="s">
        <v>10</v>
      </c>
      <c r="D2058" s="3" t="str">
        <f>VLOOKUP(C2058,Countries!$B$3:$C$140,2,FALSE)</f>
        <v>Europe</v>
      </c>
      <c r="E2058" s="3" t="s">
        <v>58</v>
      </c>
      <c r="F2058" s="3" t="str">
        <f>VLOOKUP(E2058,Countries!$B$3:$C$140,2,FALSE)</f>
        <v>South America</v>
      </c>
      <c r="G2058" s="4">
        <v>2</v>
      </c>
      <c r="H2058" s="4">
        <v>0</v>
      </c>
    </row>
    <row r="2059" spans="2:8" x14ac:dyDescent="0.2">
      <c r="B2059" s="3" t="s">
        <v>160</v>
      </c>
      <c r="C2059" s="3" t="s">
        <v>10</v>
      </c>
      <c r="D2059" s="3" t="str">
        <f>VLOOKUP(C2059,Countries!$B$3:$C$140,2,FALSE)</f>
        <v>Europe</v>
      </c>
      <c r="E2059" s="3" t="s">
        <v>33</v>
      </c>
      <c r="F2059" s="3" t="str">
        <f>VLOOKUP(E2059,Countries!$B$3:$C$140,2,FALSE)</f>
        <v>North America</v>
      </c>
      <c r="G2059" s="4">
        <v>12</v>
      </c>
      <c r="H2059" s="4">
        <v>0</v>
      </c>
    </row>
    <row r="2060" spans="2:8" x14ac:dyDescent="0.2">
      <c r="B2060" s="3" t="s">
        <v>160</v>
      </c>
      <c r="C2060" s="3" t="s">
        <v>50</v>
      </c>
      <c r="D2060" s="3" t="str">
        <f>VLOOKUP(C2060,Countries!$B$3:$C$140,2,FALSE)</f>
        <v>Europe</v>
      </c>
      <c r="E2060" s="3" t="s">
        <v>69</v>
      </c>
      <c r="F2060" s="3" t="str">
        <f>VLOOKUP(E2060,Countries!$B$3:$C$140,2,FALSE)</f>
        <v>South America</v>
      </c>
      <c r="G2060" s="4">
        <v>4</v>
      </c>
      <c r="H2060" s="4">
        <v>0</v>
      </c>
    </row>
    <row r="2061" spans="2:8" x14ac:dyDescent="0.2">
      <c r="B2061" s="3" t="s">
        <v>160</v>
      </c>
      <c r="C2061" s="3" t="s">
        <v>50</v>
      </c>
      <c r="D2061" s="3" t="str">
        <f>VLOOKUP(C2061,Countries!$B$3:$C$140,2,FALSE)</f>
        <v>Europe</v>
      </c>
      <c r="E2061" s="3" t="s">
        <v>48</v>
      </c>
      <c r="F2061" s="3" t="str">
        <f>VLOOKUP(E2061,Countries!$B$3:$C$140,2,FALSE)</f>
        <v>Oceania</v>
      </c>
      <c r="G2061" s="4">
        <v>24</v>
      </c>
      <c r="H2061" s="4">
        <v>7083347.0734755006</v>
      </c>
    </row>
    <row r="2062" spans="2:8" x14ac:dyDescent="0.2">
      <c r="B2062" s="3" t="s">
        <v>160</v>
      </c>
      <c r="C2062" s="3" t="s">
        <v>50</v>
      </c>
      <c r="D2062" s="3" t="str">
        <f>VLOOKUP(C2062,Countries!$B$3:$C$140,2,FALSE)</f>
        <v>Europe</v>
      </c>
      <c r="E2062" s="3" t="s">
        <v>3</v>
      </c>
      <c r="F2062" s="3" t="str">
        <f>VLOOKUP(E2062,Countries!$B$3:$C$140,2,FALSE)</f>
        <v>Europe</v>
      </c>
      <c r="G2062" s="4">
        <v>4</v>
      </c>
      <c r="H2062" s="4">
        <v>7567183.0220624991</v>
      </c>
    </row>
    <row r="2063" spans="2:8" x14ac:dyDescent="0.2">
      <c r="B2063" s="3" t="s">
        <v>160</v>
      </c>
      <c r="C2063" s="3" t="s">
        <v>50</v>
      </c>
      <c r="D2063" s="3" t="str">
        <f>VLOOKUP(C2063,Countries!$B$3:$C$140,2,FALSE)</f>
        <v>Europe</v>
      </c>
      <c r="E2063" s="3" t="s">
        <v>4</v>
      </c>
      <c r="F2063" s="3" t="str">
        <f>VLOOKUP(E2063,Countries!$B$3:$C$140,2,FALSE)</f>
        <v>Asia</v>
      </c>
      <c r="G2063" s="4">
        <v>2</v>
      </c>
      <c r="H2063" s="4">
        <v>0</v>
      </c>
    </row>
    <row r="2064" spans="2:8" x14ac:dyDescent="0.2">
      <c r="B2064" s="3" t="s">
        <v>160</v>
      </c>
      <c r="C2064" s="3" t="s">
        <v>50</v>
      </c>
      <c r="D2064" s="3" t="str">
        <f>VLOOKUP(C2064,Countries!$B$3:$C$140,2,FALSE)</f>
        <v>Europe</v>
      </c>
      <c r="E2064" s="3" t="s">
        <v>35</v>
      </c>
      <c r="F2064" s="3" t="str">
        <f>VLOOKUP(E2064,Countries!$B$3:$C$140,2,FALSE)</f>
        <v>Europe</v>
      </c>
      <c r="G2064" s="4">
        <v>24</v>
      </c>
      <c r="H2064" s="4">
        <v>54176381.801285699</v>
      </c>
    </row>
    <row r="2065" spans="2:8" x14ac:dyDescent="0.2">
      <c r="B2065" s="3" t="s">
        <v>160</v>
      </c>
      <c r="C2065" s="3" t="s">
        <v>50</v>
      </c>
      <c r="D2065" s="3" t="str">
        <f>VLOOKUP(C2065,Countries!$B$3:$C$140,2,FALSE)</f>
        <v>Europe</v>
      </c>
      <c r="E2065" s="3" t="s">
        <v>7</v>
      </c>
      <c r="F2065" s="3" t="str">
        <f>VLOOKUP(E2065,Countries!$B$3:$C$140,2,FALSE)</f>
        <v>South America</v>
      </c>
      <c r="G2065" s="4">
        <v>8</v>
      </c>
      <c r="H2065" s="4">
        <v>122978511.44750999</v>
      </c>
    </row>
    <row r="2066" spans="2:8" x14ac:dyDescent="0.2">
      <c r="B2066" s="3" t="s">
        <v>160</v>
      </c>
      <c r="C2066" s="3" t="s">
        <v>50</v>
      </c>
      <c r="D2066" s="3" t="str">
        <f>VLOOKUP(C2066,Countries!$B$3:$C$140,2,FALSE)</f>
        <v>Europe</v>
      </c>
      <c r="E2066" s="3" t="s">
        <v>36</v>
      </c>
      <c r="F2066" s="3" t="str">
        <f>VLOOKUP(E2066,Countries!$B$3:$C$140,2,FALSE)</f>
        <v>Europe</v>
      </c>
      <c r="G2066" s="4">
        <v>2</v>
      </c>
      <c r="H2066" s="4">
        <v>0</v>
      </c>
    </row>
    <row r="2067" spans="2:8" x14ac:dyDescent="0.2">
      <c r="B2067" s="3" t="s">
        <v>160</v>
      </c>
      <c r="C2067" s="3" t="s">
        <v>50</v>
      </c>
      <c r="D2067" s="3" t="str">
        <f>VLOOKUP(C2067,Countries!$B$3:$C$140,2,FALSE)</f>
        <v>Europe</v>
      </c>
      <c r="E2067" s="3" t="s">
        <v>8</v>
      </c>
      <c r="F2067" s="3" t="str">
        <f>VLOOKUP(E2067,Countries!$B$3:$C$140,2,FALSE)</f>
        <v>North America</v>
      </c>
      <c r="G2067" s="4">
        <v>10</v>
      </c>
      <c r="H2067" s="4">
        <v>658849.61274000001</v>
      </c>
    </row>
    <row r="2068" spans="2:8" x14ac:dyDescent="0.2">
      <c r="B2068" s="3" t="s">
        <v>160</v>
      </c>
      <c r="C2068" s="3" t="s">
        <v>50</v>
      </c>
      <c r="D2068" s="3" t="str">
        <f>VLOOKUP(C2068,Countries!$B$3:$C$140,2,FALSE)</f>
        <v>Europe</v>
      </c>
      <c r="E2068" s="3" t="s">
        <v>88</v>
      </c>
      <c r="F2068" s="3" t="str">
        <f>VLOOKUP(E2068,Countries!$B$3:$C$140,2,FALSE)</f>
        <v>South America</v>
      </c>
      <c r="G2068" s="4">
        <v>2</v>
      </c>
      <c r="H2068" s="4">
        <v>16143323.780399999</v>
      </c>
    </row>
    <row r="2069" spans="2:8" x14ac:dyDescent="0.2">
      <c r="B2069" s="3" t="s">
        <v>160</v>
      </c>
      <c r="C2069" s="3" t="s">
        <v>50</v>
      </c>
      <c r="D2069" s="3" t="str">
        <f>VLOOKUP(C2069,Countries!$B$3:$C$140,2,FALSE)</f>
        <v>Europe</v>
      </c>
      <c r="E2069" s="3" t="s">
        <v>89</v>
      </c>
      <c r="F2069" s="3" t="str">
        <f>VLOOKUP(E2069,Countries!$B$3:$C$140,2,FALSE)</f>
        <v>Asia</v>
      </c>
      <c r="G2069" s="4">
        <v>4</v>
      </c>
      <c r="H2069" s="4">
        <v>0</v>
      </c>
    </row>
    <row r="2070" spans="2:8" x14ac:dyDescent="0.2">
      <c r="B2070" s="3" t="s">
        <v>160</v>
      </c>
      <c r="C2070" s="3" t="s">
        <v>50</v>
      </c>
      <c r="D2070" s="3" t="str">
        <f>VLOOKUP(C2070,Countries!$B$3:$C$140,2,FALSE)</f>
        <v>Europe</v>
      </c>
      <c r="E2070" s="3" t="s">
        <v>9</v>
      </c>
      <c r="F2070" s="3" t="str">
        <f>VLOOKUP(E2070,Countries!$B$3:$C$140,2,FALSE)</f>
        <v>Europe</v>
      </c>
      <c r="G2070" s="4">
        <v>2</v>
      </c>
      <c r="H2070" s="4">
        <v>117560.36962500001</v>
      </c>
    </row>
    <row r="2071" spans="2:8" x14ac:dyDescent="0.2">
      <c r="B2071" s="3" t="s">
        <v>160</v>
      </c>
      <c r="C2071" s="3" t="s">
        <v>50</v>
      </c>
      <c r="D2071" s="3" t="str">
        <f>VLOOKUP(C2071,Countries!$B$3:$C$140,2,FALSE)</f>
        <v>Europe</v>
      </c>
      <c r="E2071" s="3" t="s">
        <v>62</v>
      </c>
      <c r="F2071" s="3" t="str">
        <f>VLOOKUP(E2071,Countries!$B$3:$C$140,2,FALSE)</f>
        <v>Asia</v>
      </c>
      <c r="G2071" s="4">
        <v>2</v>
      </c>
      <c r="H2071" s="4">
        <v>0</v>
      </c>
    </row>
    <row r="2072" spans="2:8" x14ac:dyDescent="0.2">
      <c r="B2072" s="3" t="s">
        <v>160</v>
      </c>
      <c r="C2072" s="3" t="s">
        <v>50</v>
      </c>
      <c r="D2072" s="3" t="str">
        <f>VLOOKUP(C2072,Countries!$B$3:$C$140,2,FALSE)</f>
        <v>Europe</v>
      </c>
      <c r="E2072" s="3" t="s">
        <v>49</v>
      </c>
      <c r="F2072" s="3" t="str">
        <f>VLOOKUP(E2072,Countries!$B$3:$C$140,2,FALSE)</f>
        <v>Europe</v>
      </c>
      <c r="G2072" s="4">
        <v>8</v>
      </c>
      <c r="H2072" s="4">
        <v>2421498.5670600003</v>
      </c>
    </row>
    <row r="2073" spans="2:8" x14ac:dyDescent="0.2">
      <c r="B2073" s="3" t="s">
        <v>160</v>
      </c>
      <c r="C2073" s="3" t="s">
        <v>50</v>
      </c>
      <c r="D2073" s="3" t="str">
        <f>VLOOKUP(C2073,Countries!$B$3:$C$140,2,FALSE)</f>
        <v>Europe</v>
      </c>
      <c r="E2073" s="3" t="s">
        <v>10</v>
      </c>
      <c r="F2073" s="3" t="str">
        <f>VLOOKUP(E2073,Countries!$B$3:$C$140,2,FALSE)</f>
        <v>Europe</v>
      </c>
      <c r="G2073" s="4">
        <v>8</v>
      </c>
      <c r="H2073" s="4">
        <v>13318242.118830001</v>
      </c>
    </row>
    <row r="2074" spans="2:8" x14ac:dyDescent="0.2">
      <c r="B2074" s="3" t="s">
        <v>160</v>
      </c>
      <c r="C2074" s="3" t="s">
        <v>50</v>
      </c>
      <c r="D2074" s="3" t="str">
        <f>VLOOKUP(C2074,Countries!$B$3:$C$140,2,FALSE)</f>
        <v>Europe</v>
      </c>
      <c r="E2074" s="3" t="s">
        <v>63</v>
      </c>
      <c r="F2074" s="3" t="str">
        <f>VLOOKUP(E2074,Countries!$B$3:$C$140,2,FALSE)</f>
        <v>Africa</v>
      </c>
      <c r="G2074" s="4">
        <v>6</v>
      </c>
      <c r="H2074" s="4">
        <v>1800000</v>
      </c>
    </row>
    <row r="2075" spans="2:8" x14ac:dyDescent="0.2">
      <c r="B2075" s="3" t="s">
        <v>160</v>
      </c>
      <c r="C2075" s="3" t="s">
        <v>50</v>
      </c>
      <c r="D2075" s="3" t="str">
        <f>VLOOKUP(C2075,Countries!$B$3:$C$140,2,FALSE)</f>
        <v>Europe</v>
      </c>
      <c r="E2075" s="3" t="s">
        <v>11</v>
      </c>
      <c r="F2075" s="3" t="str">
        <f>VLOOKUP(E2075,Countries!$B$3:$C$140,2,FALSE)</f>
        <v>Europe</v>
      </c>
      <c r="G2075" s="4">
        <v>78</v>
      </c>
      <c r="H2075" s="4">
        <v>205675756.00809932</v>
      </c>
    </row>
    <row r="2076" spans="2:8" x14ac:dyDescent="0.2">
      <c r="B2076" s="3" t="s">
        <v>160</v>
      </c>
      <c r="C2076" s="3" t="s">
        <v>50</v>
      </c>
      <c r="D2076" s="3" t="str">
        <f>VLOOKUP(C2076,Countries!$B$3:$C$140,2,FALSE)</f>
        <v>Europe</v>
      </c>
      <c r="E2076" s="3" t="s">
        <v>73</v>
      </c>
      <c r="F2076" s="3" t="str">
        <f>VLOOKUP(E2076,Countries!$B$3:$C$140,2,FALSE)</f>
        <v>Europe</v>
      </c>
      <c r="G2076" s="4">
        <v>2</v>
      </c>
      <c r="H2076" s="4">
        <v>0</v>
      </c>
    </row>
    <row r="2077" spans="2:8" x14ac:dyDescent="0.2">
      <c r="B2077" s="3" t="s">
        <v>160</v>
      </c>
      <c r="C2077" s="3" t="s">
        <v>50</v>
      </c>
      <c r="D2077" s="3" t="str">
        <f>VLOOKUP(C2077,Countries!$B$3:$C$140,2,FALSE)</f>
        <v>Europe</v>
      </c>
      <c r="E2077" s="3" t="s">
        <v>12</v>
      </c>
      <c r="F2077" s="3" t="str">
        <f>VLOOKUP(E2077,Countries!$B$3:$C$140,2,FALSE)</f>
        <v>Europe</v>
      </c>
      <c r="G2077" s="4">
        <v>82</v>
      </c>
      <c r="H2077" s="4">
        <v>537822651.69438601</v>
      </c>
    </row>
    <row r="2078" spans="2:8" x14ac:dyDescent="0.2">
      <c r="B2078" s="3" t="s">
        <v>160</v>
      </c>
      <c r="C2078" s="3" t="s">
        <v>50</v>
      </c>
      <c r="D2078" s="3" t="str">
        <f>VLOOKUP(C2078,Countries!$B$3:$C$140,2,FALSE)</f>
        <v>Europe</v>
      </c>
      <c r="E2078" s="3" t="s">
        <v>13</v>
      </c>
      <c r="F2078" s="3" t="str">
        <f>VLOOKUP(E2078,Countries!$B$3:$C$140,2,FALSE)</f>
        <v>Europe</v>
      </c>
      <c r="G2078" s="4">
        <v>44</v>
      </c>
      <c r="H2078" s="4">
        <v>237705273.6785292</v>
      </c>
    </row>
    <row r="2079" spans="2:8" x14ac:dyDescent="0.2">
      <c r="B2079" s="3" t="s">
        <v>160</v>
      </c>
      <c r="C2079" s="3" t="s">
        <v>50</v>
      </c>
      <c r="D2079" s="3" t="str">
        <f>VLOOKUP(C2079,Countries!$B$3:$C$140,2,FALSE)</f>
        <v>Europe</v>
      </c>
      <c r="E2079" s="3" t="s">
        <v>64</v>
      </c>
      <c r="F2079" s="3" t="str">
        <f>VLOOKUP(E2079,Countries!$B$3:$C$140,2,FALSE)</f>
        <v>Africa</v>
      </c>
      <c r="G2079" s="4">
        <v>12</v>
      </c>
      <c r="H2079" s="4">
        <v>0</v>
      </c>
    </row>
    <row r="2080" spans="2:8" x14ac:dyDescent="0.2">
      <c r="B2080" s="3" t="s">
        <v>160</v>
      </c>
      <c r="C2080" s="3" t="s">
        <v>50</v>
      </c>
      <c r="D2080" s="3" t="str">
        <f>VLOOKUP(C2080,Countries!$B$3:$C$140,2,FALSE)</f>
        <v>Europe</v>
      </c>
      <c r="E2080" s="3" t="s">
        <v>14</v>
      </c>
      <c r="F2080" s="3" t="str">
        <f>VLOOKUP(E2080,Countries!$B$3:$C$140,2,FALSE)</f>
        <v>Europe</v>
      </c>
      <c r="G2080" s="4">
        <v>20</v>
      </c>
      <c r="H2080" s="4">
        <v>26313011.818236001</v>
      </c>
    </row>
    <row r="2081" spans="2:8" x14ac:dyDescent="0.2">
      <c r="B2081" s="3" t="s">
        <v>160</v>
      </c>
      <c r="C2081" s="3" t="s">
        <v>50</v>
      </c>
      <c r="D2081" s="3" t="str">
        <f>VLOOKUP(C2081,Countries!$B$3:$C$140,2,FALSE)</f>
        <v>Europe</v>
      </c>
      <c r="E2081" s="3" t="s">
        <v>15</v>
      </c>
      <c r="F2081" s="3" t="str">
        <f>VLOOKUP(E2081,Countries!$B$3:$C$140,2,FALSE)</f>
        <v>Europe</v>
      </c>
      <c r="G2081" s="4">
        <v>2</v>
      </c>
      <c r="H2081" s="4">
        <v>0</v>
      </c>
    </row>
    <row r="2082" spans="2:8" x14ac:dyDescent="0.2">
      <c r="B2082" s="3" t="s">
        <v>160</v>
      </c>
      <c r="C2082" s="3" t="s">
        <v>50</v>
      </c>
      <c r="D2082" s="3" t="str">
        <f>VLOOKUP(C2082,Countries!$B$3:$C$140,2,FALSE)</f>
        <v>Europe</v>
      </c>
      <c r="E2082" s="3" t="s">
        <v>101</v>
      </c>
      <c r="F2082" s="3" t="str">
        <f>VLOOKUP(E2082,Countries!$B$3:$C$140,2,FALSE)</f>
        <v>Europe</v>
      </c>
      <c r="G2082" s="4">
        <v>70</v>
      </c>
      <c r="H2082" s="4">
        <v>23248660.123205639</v>
      </c>
    </row>
    <row r="2083" spans="2:8" x14ac:dyDescent="0.2">
      <c r="B2083" s="3" t="s">
        <v>160</v>
      </c>
      <c r="C2083" s="3" t="s">
        <v>50</v>
      </c>
      <c r="D2083" s="3" t="str">
        <f>VLOOKUP(C2083,Countries!$B$3:$C$140,2,FALSE)</f>
        <v>Europe</v>
      </c>
      <c r="E2083" s="3" t="s">
        <v>16</v>
      </c>
      <c r="F2083" s="3" t="str">
        <f>VLOOKUP(E2083,Countries!$B$3:$C$140,2,FALSE)</f>
        <v>Asia</v>
      </c>
      <c r="G2083" s="4">
        <v>2</v>
      </c>
      <c r="H2083" s="4">
        <v>0</v>
      </c>
    </row>
    <row r="2084" spans="2:8" x14ac:dyDescent="0.2">
      <c r="B2084" s="3" t="s">
        <v>160</v>
      </c>
      <c r="C2084" s="3" t="s">
        <v>50</v>
      </c>
      <c r="D2084" s="3" t="str">
        <f>VLOOKUP(C2084,Countries!$B$3:$C$140,2,FALSE)</f>
        <v>Europe</v>
      </c>
      <c r="E2084" s="3" t="s">
        <v>75</v>
      </c>
      <c r="F2084" s="3" t="str">
        <f>VLOOKUP(E2084,Countries!$B$3:$C$140,2,FALSE)</f>
        <v>Europe</v>
      </c>
      <c r="G2084" s="4">
        <v>8</v>
      </c>
      <c r="H2084" s="4">
        <v>425321.69110649999</v>
      </c>
    </row>
    <row r="2085" spans="2:8" x14ac:dyDescent="0.2">
      <c r="B2085" s="3" t="s">
        <v>160</v>
      </c>
      <c r="C2085" s="3" t="s">
        <v>50</v>
      </c>
      <c r="D2085" s="3" t="str">
        <f>VLOOKUP(C2085,Countries!$B$3:$C$140,2,FALSE)</f>
        <v>Europe</v>
      </c>
      <c r="E2085" s="3" t="s">
        <v>17</v>
      </c>
      <c r="F2085" s="3" t="str">
        <f>VLOOKUP(E2085,Countries!$B$3:$C$140,2,FALSE)</f>
        <v>Europe</v>
      </c>
      <c r="G2085" s="4">
        <v>52</v>
      </c>
      <c r="H2085" s="4">
        <v>315185054.33162701</v>
      </c>
    </row>
    <row r="2086" spans="2:8" x14ac:dyDescent="0.2">
      <c r="B2086" s="3" t="s">
        <v>160</v>
      </c>
      <c r="C2086" s="3" t="s">
        <v>50</v>
      </c>
      <c r="D2086" s="3" t="str">
        <f>VLOOKUP(C2086,Countries!$B$3:$C$140,2,FALSE)</f>
        <v>Europe</v>
      </c>
      <c r="E2086" s="3" t="s">
        <v>102</v>
      </c>
      <c r="F2086" s="3" t="str">
        <f>VLOOKUP(E2086,Countries!$B$3:$C$140,2,FALSE)</f>
        <v>North America</v>
      </c>
      <c r="G2086" s="4">
        <v>2</v>
      </c>
      <c r="H2086" s="4">
        <v>0</v>
      </c>
    </row>
    <row r="2087" spans="2:8" x14ac:dyDescent="0.2">
      <c r="B2087" s="3" t="s">
        <v>160</v>
      </c>
      <c r="C2087" s="3" t="s">
        <v>50</v>
      </c>
      <c r="D2087" s="3" t="str">
        <f>VLOOKUP(C2087,Countries!$B$3:$C$140,2,FALSE)</f>
        <v>Europe</v>
      </c>
      <c r="E2087" s="3" t="s">
        <v>93</v>
      </c>
      <c r="F2087" s="3" t="str">
        <f>VLOOKUP(E2087,Countries!$B$3:$C$140,2,FALSE)</f>
        <v>Asia</v>
      </c>
      <c r="G2087" s="4">
        <v>2</v>
      </c>
      <c r="H2087" s="4">
        <v>3761931.8280000002</v>
      </c>
    </row>
    <row r="2088" spans="2:8" x14ac:dyDescent="0.2">
      <c r="B2088" s="3" t="s">
        <v>160</v>
      </c>
      <c r="C2088" s="3" t="s">
        <v>50</v>
      </c>
      <c r="D2088" s="3" t="str">
        <f>VLOOKUP(C2088,Countries!$B$3:$C$140,2,FALSE)</f>
        <v>Europe</v>
      </c>
      <c r="E2088" s="3" t="s">
        <v>19</v>
      </c>
      <c r="F2088" s="3" t="str">
        <f>VLOOKUP(E2088,Countries!$B$3:$C$140,2,FALSE)</f>
        <v>Asia</v>
      </c>
      <c r="G2088" s="4">
        <v>2</v>
      </c>
      <c r="H2088" s="4">
        <v>411430.23466650001</v>
      </c>
    </row>
    <row r="2089" spans="2:8" x14ac:dyDescent="0.2">
      <c r="B2089" s="3" t="s">
        <v>160</v>
      </c>
      <c r="C2089" s="3" t="s">
        <v>50</v>
      </c>
      <c r="D2089" s="3" t="str">
        <f>VLOOKUP(C2089,Countries!$B$3:$C$140,2,FALSE)</f>
        <v>Europe</v>
      </c>
      <c r="E2089" s="3" t="s">
        <v>117</v>
      </c>
      <c r="F2089" s="3" t="str">
        <f>VLOOKUP(E2089,Countries!$B$3:$C$140,2,FALSE)</f>
        <v>Asia</v>
      </c>
      <c r="G2089" s="4">
        <v>2</v>
      </c>
      <c r="H2089" s="4">
        <v>0</v>
      </c>
    </row>
    <row r="2090" spans="2:8" x14ac:dyDescent="0.2">
      <c r="B2090" s="3" t="s">
        <v>160</v>
      </c>
      <c r="C2090" s="3" t="s">
        <v>50</v>
      </c>
      <c r="D2090" s="3" t="str">
        <f>VLOOKUP(C2090,Countries!$B$3:$C$140,2,FALSE)</f>
        <v>Europe</v>
      </c>
      <c r="E2090" s="3" t="s">
        <v>52</v>
      </c>
      <c r="F2090" s="3" t="str">
        <f>VLOOKUP(E2090,Countries!$B$3:$C$140,2,FALSE)</f>
        <v>Europe</v>
      </c>
      <c r="G2090" s="4">
        <v>2</v>
      </c>
      <c r="H2090" s="4">
        <v>1058043.326625</v>
      </c>
    </row>
    <row r="2091" spans="2:8" x14ac:dyDescent="0.2">
      <c r="B2091" s="3" t="s">
        <v>160</v>
      </c>
      <c r="C2091" s="3" t="s">
        <v>50</v>
      </c>
      <c r="D2091" s="3" t="str">
        <f>VLOOKUP(C2091,Countries!$B$3:$C$140,2,FALSE)</f>
        <v>Europe</v>
      </c>
      <c r="E2091" s="3" t="s">
        <v>43</v>
      </c>
      <c r="F2091" s="3" t="str">
        <f>VLOOKUP(E2091,Countries!$B$3:$C$140,2,FALSE)</f>
        <v>Europe</v>
      </c>
      <c r="G2091" s="4">
        <v>2</v>
      </c>
      <c r="H2091" s="4">
        <v>0</v>
      </c>
    </row>
    <row r="2092" spans="2:8" x14ac:dyDescent="0.2">
      <c r="B2092" s="3" t="s">
        <v>160</v>
      </c>
      <c r="C2092" s="3" t="s">
        <v>50</v>
      </c>
      <c r="D2092" s="3" t="str">
        <f>VLOOKUP(C2092,Countries!$B$3:$C$140,2,FALSE)</f>
        <v>Europe</v>
      </c>
      <c r="E2092" s="3" t="s">
        <v>21</v>
      </c>
      <c r="F2092" s="3" t="str">
        <f>VLOOKUP(E2092,Countries!$B$3:$C$140,2,FALSE)</f>
        <v>Europe</v>
      </c>
      <c r="G2092" s="4">
        <v>2</v>
      </c>
      <c r="H2092" s="4">
        <v>0</v>
      </c>
    </row>
    <row r="2093" spans="2:8" x14ac:dyDescent="0.2">
      <c r="B2093" s="3" t="s">
        <v>160</v>
      </c>
      <c r="C2093" s="3" t="s">
        <v>50</v>
      </c>
      <c r="D2093" s="3" t="str">
        <f>VLOOKUP(C2093,Countries!$B$3:$C$140,2,FALSE)</f>
        <v>Europe</v>
      </c>
      <c r="E2093" s="3" t="s">
        <v>22</v>
      </c>
      <c r="F2093" s="3" t="str">
        <f>VLOOKUP(E2093,Countries!$B$3:$C$140,2,FALSE)</f>
        <v>Europe</v>
      </c>
      <c r="G2093" s="4">
        <v>2</v>
      </c>
      <c r="H2093" s="4">
        <v>0</v>
      </c>
    </row>
    <row r="2094" spans="2:8" x14ac:dyDescent="0.2">
      <c r="B2094" s="3" t="s">
        <v>160</v>
      </c>
      <c r="C2094" s="3" t="s">
        <v>50</v>
      </c>
      <c r="D2094" s="3" t="str">
        <f>VLOOKUP(C2094,Countries!$B$3:$C$140,2,FALSE)</f>
        <v>Europe</v>
      </c>
      <c r="E2094" s="3" t="s">
        <v>53</v>
      </c>
      <c r="F2094" s="3" t="str">
        <f>VLOOKUP(E2094,Countries!$B$3:$C$140,2,FALSE)</f>
        <v>Europe</v>
      </c>
      <c r="G2094" s="4">
        <v>48</v>
      </c>
      <c r="H2094" s="4">
        <v>167107126.5463407</v>
      </c>
    </row>
    <row r="2095" spans="2:8" x14ac:dyDescent="0.2">
      <c r="B2095" s="3" t="s">
        <v>160</v>
      </c>
      <c r="C2095" s="3" t="s">
        <v>50</v>
      </c>
      <c r="D2095" s="3" t="str">
        <f>VLOOKUP(C2095,Countries!$B$3:$C$140,2,FALSE)</f>
        <v>Europe</v>
      </c>
      <c r="E2095" s="3" t="s">
        <v>78</v>
      </c>
      <c r="F2095" s="3" t="str">
        <f>VLOOKUP(E2095,Countries!$B$3:$C$140,2,FALSE)</f>
        <v>Europe</v>
      </c>
      <c r="G2095" s="4">
        <v>28</v>
      </c>
      <c r="H2095" s="4">
        <v>3370825.4324422502</v>
      </c>
    </row>
    <row r="2096" spans="2:8" x14ac:dyDescent="0.2">
      <c r="B2096" s="3" t="s">
        <v>160</v>
      </c>
      <c r="C2096" s="3" t="s">
        <v>50</v>
      </c>
      <c r="D2096" s="3" t="str">
        <f>VLOOKUP(C2096,Countries!$B$3:$C$140,2,FALSE)</f>
        <v>Europe</v>
      </c>
      <c r="E2096" s="3" t="s">
        <v>44</v>
      </c>
      <c r="F2096" s="3" t="str">
        <f>VLOOKUP(E2096,Countries!$B$3:$C$140,2,FALSE)</f>
        <v>Europe</v>
      </c>
      <c r="G2096" s="4">
        <v>18</v>
      </c>
      <c r="H2096" s="4">
        <v>31028534.608299002</v>
      </c>
    </row>
    <row r="2097" spans="2:8" x14ac:dyDescent="0.2">
      <c r="B2097" s="3" t="s">
        <v>160</v>
      </c>
      <c r="C2097" s="3" t="s">
        <v>50</v>
      </c>
      <c r="D2097" s="3" t="str">
        <f>VLOOKUP(C2097,Countries!$B$3:$C$140,2,FALSE)</f>
        <v>Europe</v>
      </c>
      <c r="E2097" s="3" t="s">
        <v>103</v>
      </c>
      <c r="F2097" s="3" t="str">
        <f>VLOOKUP(E2097,Countries!$B$3:$C$140,2,FALSE)</f>
        <v>Oceania</v>
      </c>
      <c r="G2097" s="4">
        <v>4</v>
      </c>
      <c r="H2097" s="4">
        <v>12610.356479999999</v>
      </c>
    </row>
    <row r="2098" spans="2:8" x14ac:dyDescent="0.2">
      <c r="B2098" s="3" t="s">
        <v>160</v>
      </c>
      <c r="C2098" s="3" t="s">
        <v>50</v>
      </c>
      <c r="D2098" s="3" t="str">
        <f>VLOOKUP(C2098,Countries!$B$3:$C$140,2,FALSE)</f>
        <v>Europe</v>
      </c>
      <c r="E2098" s="3" t="s">
        <v>54</v>
      </c>
      <c r="F2098" s="3" t="str">
        <f>VLOOKUP(E2098,Countries!$B$3:$C$140,2,FALSE)</f>
        <v>Europe</v>
      </c>
      <c r="G2098" s="4">
        <v>6</v>
      </c>
      <c r="H2098" s="4">
        <v>373864.06837950001</v>
      </c>
    </row>
    <row r="2099" spans="2:8" x14ac:dyDescent="0.2">
      <c r="B2099" s="3" t="s">
        <v>160</v>
      </c>
      <c r="C2099" s="3" t="s">
        <v>50</v>
      </c>
      <c r="D2099" s="3" t="str">
        <f>VLOOKUP(C2099,Countries!$B$3:$C$140,2,FALSE)</f>
        <v>Europe</v>
      </c>
      <c r="E2099" s="3" t="s">
        <v>25</v>
      </c>
      <c r="F2099" s="3" t="str">
        <f>VLOOKUP(E2099,Countries!$B$3:$C$140,2,FALSE)</f>
        <v>Europe</v>
      </c>
      <c r="G2099" s="4">
        <v>26</v>
      </c>
      <c r="H2099" s="4">
        <v>101019556.56988411</v>
      </c>
    </row>
    <row r="2100" spans="2:8" x14ac:dyDescent="0.2">
      <c r="B2100" s="3" t="s">
        <v>160</v>
      </c>
      <c r="C2100" s="3" t="s">
        <v>50</v>
      </c>
      <c r="D2100" s="3" t="str">
        <f>VLOOKUP(C2100,Countries!$B$3:$C$140,2,FALSE)</f>
        <v>Europe</v>
      </c>
      <c r="E2100" s="3" t="s">
        <v>81</v>
      </c>
      <c r="F2100" s="3" t="str">
        <f>VLOOKUP(E2100,Countries!$B$3:$C$140,2,FALSE)</f>
        <v>Asia</v>
      </c>
      <c r="G2100" s="4">
        <v>2</v>
      </c>
      <c r="H2100" s="4">
        <v>0</v>
      </c>
    </row>
    <row r="2101" spans="2:8" x14ac:dyDescent="0.2">
      <c r="B2101" s="3" t="s">
        <v>160</v>
      </c>
      <c r="C2101" s="3" t="s">
        <v>50</v>
      </c>
      <c r="D2101" s="3" t="str">
        <f>VLOOKUP(C2101,Countries!$B$3:$C$140,2,FALSE)</f>
        <v>Europe</v>
      </c>
      <c r="E2101" s="3" t="s">
        <v>26</v>
      </c>
      <c r="F2101" s="3" t="str">
        <f>VLOOKUP(E2101,Countries!$B$3:$C$140,2,FALSE)</f>
        <v>Europe</v>
      </c>
      <c r="G2101" s="4">
        <v>2</v>
      </c>
      <c r="H2101" s="4">
        <v>0</v>
      </c>
    </row>
    <row r="2102" spans="2:8" x14ac:dyDescent="0.2">
      <c r="B2102" s="3" t="s">
        <v>160</v>
      </c>
      <c r="C2102" s="3" t="s">
        <v>50</v>
      </c>
      <c r="D2102" s="3" t="str">
        <f>VLOOKUP(C2102,Countries!$B$3:$C$140,2,FALSE)</f>
        <v>Europe</v>
      </c>
      <c r="E2102" s="3" t="s">
        <v>82</v>
      </c>
      <c r="F2102" s="3" t="e">
        <f>VLOOKUP(E2102,Countries!$B$3:$C$140,2,FALSE)</f>
        <v>#N/A</v>
      </c>
      <c r="G2102" s="4">
        <v>2</v>
      </c>
      <c r="H2102" s="4">
        <v>0</v>
      </c>
    </row>
    <row r="2103" spans="2:8" x14ac:dyDescent="0.2">
      <c r="B2103" s="3" t="s">
        <v>160</v>
      </c>
      <c r="C2103" s="3" t="s">
        <v>50</v>
      </c>
      <c r="D2103" s="3" t="str">
        <f>VLOOKUP(C2103,Countries!$B$3:$C$140,2,FALSE)</f>
        <v>Europe</v>
      </c>
      <c r="E2103" s="3" t="s">
        <v>46</v>
      </c>
      <c r="F2103" s="3" t="str">
        <f>VLOOKUP(E2103,Countries!$B$3:$C$140,2,FALSE)</f>
        <v>Europe/Asia</v>
      </c>
      <c r="G2103" s="4">
        <v>6</v>
      </c>
      <c r="H2103" s="4">
        <v>59050563.543749996</v>
      </c>
    </row>
    <row r="2104" spans="2:8" x14ac:dyDescent="0.2">
      <c r="B2104" s="3" t="s">
        <v>160</v>
      </c>
      <c r="C2104" s="3" t="s">
        <v>50</v>
      </c>
      <c r="D2104" s="3" t="str">
        <f>VLOOKUP(C2104,Countries!$B$3:$C$140,2,FALSE)</f>
        <v>Europe</v>
      </c>
      <c r="E2104" s="3" t="s">
        <v>55</v>
      </c>
      <c r="F2104" s="3" t="str">
        <f>VLOOKUP(E2104,Countries!$B$3:$C$140,2,FALSE)</f>
        <v>Europe</v>
      </c>
      <c r="G2104" s="4">
        <v>156</v>
      </c>
      <c r="H2104" s="4">
        <v>16572594.167412149</v>
      </c>
    </row>
    <row r="2105" spans="2:8" x14ac:dyDescent="0.2">
      <c r="B2105" s="3" t="s">
        <v>160</v>
      </c>
      <c r="C2105" s="3" t="s">
        <v>50</v>
      </c>
      <c r="D2105" s="3" t="str">
        <f>VLOOKUP(C2105,Countries!$B$3:$C$140,2,FALSE)</f>
        <v>Europe</v>
      </c>
      <c r="E2105" s="3" t="s">
        <v>28</v>
      </c>
      <c r="F2105" s="3" t="str">
        <f>VLOOKUP(E2105,Countries!$B$3:$C$140,2,FALSE)</f>
        <v>Europe</v>
      </c>
      <c r="G2105" s="4">
        <v>2</v>
      </c>
      <c r="H2105" s="4">
        <v>2825081.66157</v>
      </c>
    </row>
    <row r="2106" spans="2:8" x14ac:dyDescent="0.2">
      <c r="B2106" s="3" t="s">
        <v>160</v>
      </c>
      <c r="C2106" s="3" t="s">
        <v>50</v>
      </c>
      <c r="D2106" s="3" t="str">
        <f>VLOOKUP(C2106,Countries!$B$3:$C$140,2,FALSE)</f>
        <v>Europe</v>
      </c>
      <c r="E2106" s="3" t="s">
        <v>29</v>
      </c>
      <c r="F2106" s="3" t="str">
        <f>VLOOKUP(E2106,Countries!$B$3:$C$140,2,FALSE)</f>
        <v>Europe</v>
      </c>
      <c r="G2106" s="4">
        <v>20</v>
      </c>
      <c r="H2106" s="4">
        <v>22401219.557692502</v>
      </c>
    </row>
    <row r="2107" spans="2:8" x14ac:dyDescent="0.2">
      <c r="B2107" s="3" t="s">
        <v>160</v>
      </c>
      <c r="C2107" s="3" t="s">
        <v>50</v>
      </c>
      <c r="D2107" s="3" t="str">
        <f>VLOOKUP(C2107,Countries!$B$3:$C$140,2,FALSE)</f>
        <v>Europe</v>
      </c>
      <c r="E2107" s="3" t="s">
        <v>56</v>
      </c>
      <c r="F2107" s="3" t="str">
        <f>VLOOKUP(E2107,Countries!$B$3:$C$140,2,FALSE)</f>
        <v>Europe</v>
      </c>
      <c r="G2107" s="4">
        <v>6</v>
      </c>
      <c r="H2107" s="4">
        <v>4135818.5210849997</v>
      </c>
    </row>
    <row r="2108" spans="2:8" x14ac:dyDescent="0.2">
      <c r="B2108" s="3" t="s">
        <v>160</v>
      </c>
      <c r="C2108" s="3" t="s">
        <v>50</v>
      </c>
      <c r="D2108" s="3" t="str">
        <f>VLOOKUP(C2108,Countries!$B$3:$C$140,2,FALSE)</f>
        <v>Europe</v>
      </c>
      <c r="E2108" s="3" t="s">
        <v>31</v>
      </c>
      <c r="F2108" s="3" t="str">
        <f>VLOOKUP(E2108,Countries!$B$3:$C$140,2,FALSE)</f>
        <v>Europe</v>
      </c>
      <c r="G2108" s="4">
        <v>16</v>
      </c>
      <c r="H2108" s="4">
        <v>1158465.5499487501</v>
      </c>
    </row>
    <row r="2109" spans="2:8" x14ac:dyDescent="0.2">
      <c r="B2109" s="3" t="s">
        <v>160</v>
      </c>
      <c r="C2109" s="3" t="s">
        <v>50</v>
      </c>
      <c r="D2109" s="3" t="str">
        <f>VLOOKUP(C2109,Countries!$B$3:$C$140,2,FALSE)</f>
        <v>Europe</v>
      </c>
      <c r="E2109" s="3" t="s">
        <v>57</v>
      </c>
      <c r="F2109" s="3" t="str">
        <f>VLOOKUP(E2109,Countries!$B$3:$C$140,2,FALSE)</f>
        <v>Europe/Asia</v>
      </c>
      <c r="G2109" s="4">
        <v>8</v>
      </c>
      <c r="H2109" s="4">
        <v>25042986.79661487</v>
      </c>
    </row>
    <row r="2110" spans="2:8" x14ac:dyDescent="0.2">
      <c r="B2110" s="3" t="s">
        <v>160</v>
      </c>
      <c r="C2110" s="3" t="s">
        <v>50</v>
      </c>
      <c r="D2110" s="3" t="str">
        <f>VLOOKUP(C2110,Countries!$B$3:$C$140,2,FALSE)</f>
        <v>Europe</v>
      </c>
      <c r="E2110" s="3" t="s">
        <v>32</v>
      </c>
      <c r="F2110" s="3" t="str">
        <f>VLOOKUP(E2110,Countries!$B$3:$C$140,2,FALSE)</f>
        <v>Europe</v>
      </c>
      <c r="G2110" s="4">
        <v>4</v>
      </c>
      <c r="H2110" s="4">
        <v>1792147.1558400001</v>
      </c>
    </row>
    <row r="2111" spans="2:8" x14ac:dyDescent="0.2">
      <c r="B2111" s="3" t="s">
        <v>160</v>
      </c>
      <c r="C2111" s="3" t="s">
        <v>50</v>
      </c>
      <c r="D2111" s="3" t="str">
        <f>VLOOKUP(C2111,Countries!$B$3:$C$140,2,FALSE)</f>
        <v>Europe</v>
      </c>
      <c r="E2111" s="3" t="s">
        <v>33</v>
      </c>
      <c r="F2111" s="3" t="str">
        <f>VLOOKUP(E2111,Countries!$B$3:$C$140,2,FALSE)</f>
        <v>North America</v>
      </c>
      <c r="G2111" s="4">
        <v>24</v>
      </c>
      <c r="H2111" s="4">
        <v>22260000</v>
      </c>
    </row>
    <row r="2112" spans="2:8" x14ac:dyDescent="0.2">
      <c r="B2112" s="3" t="s">
        <v>160</v>
      </c>
      <c r="C2112" s="3" t="s">
        <v>50</v>
      </c>
      <c r="D2112" s="3" t="str">
        <f>VLOOKUP(C2112,Countries!$B$3:$C$140,2,FALSE)</f>
        <v>Europe</v>
      </c>
      <c r="E2112" s="3" t="s">
        <v>86</v>
      </c>
      <c r="F2112" s="3" t="str">
        <f>VLOOKUP(E2112,Countries!$B$3:$C$140,2,FALSE)</f>
        <v>Europe</v>
      </c>
      <c r="G2112" s="4">
        <v>144</v>
      </c>
      <c r="H2112" s="4">
        <v>133885023.1342845</v>
      </c>
    </row>
    <row r="2113" spans="2:8" x14ac:dyDescent="0.2">
      <c r="B2113" s="3" t="s">
        <v>160</v>
      </c>
      <c r="C2113" s="3" t="s">
        <v>11</v>
      </c>
      <c r="D2113" s="3" t="str">
        <f>VLOOKUP(C2113,Countries!$B$3:$C$140,2,FALSE)</f>
        <v>Europe</v>
      </c>
      <c r="E2113" s="3" t="s">
        <v>69</v>
      </c>
      <c r="F2113" s="3" t="str">
        <f>VLOOKUP(E2113,Countries!$B$3:$C$140,2,FALSE)</f>
        <v>South America</v>
      </c>
      <c r="G2113" s="4">
        <v>30</v>
      </c>
      <c r="H2113" s="4">
        <v>9583649.8197959997</v>
      </c>
    </row>
    <row r="2114" spans="2:8" x14ac:dyDescent="0.2">
      <c r="B2114" s="3" t="s">
        <v>160</v>
      </c>
      <c r="C2114" s="3" t="s">
        <v>11</v>
      </c>
      <c r="D2114" s="3" t="str">
        <f>VLOOKUP(C2114,Countries!$B$3:$C$140,2,FALSE)</f>
        <v>Europe</v>
      </c>
      <c r="E2114" s="3" t="s">
        <v>3</v>
      </c>
      <c r="F2114" s="3" t="str">
        <f>VLOOKUP(E2114,Countries!$B$3:$C$140,2,FALSE)</f>
        <v>Europe</v>
      </c>
      <c r="G2114" s="4">
        <v>2</v>
      </c>
      <c r="H2114" s="4">
        <v>0</v>
      </c>
    </row>
    <row r="2115" spans="2:8" x14ac:dyDescent="0.2">
      <c r="B2115" s="3" t="s">
        <v>160</v>
      </c>
      <c r="C2115" s="3" t="s">
        <v>11</v>
      </c>
      <c r="D2115" s="3" t="str">
        <f>VLOOKUP(C2115,Countries!$B$3:$C$140,2,FALSE)</f>
        <v>Europe</v>
      </c>
      <c r="E2115" s="3" t="s">
        <v>35</v>
      </c>
      <c r="F2115" s="3" t="str">
        <f>VLOOKUP(E2115,Countries!$B$3:$C$140,2,FALSE)</f>
        <v>Europe</v>
      </c>
      <c r="G2115" s="4">
        <v>12</v>
      </c>
      <c r="H2115" s="4">
        <v>8450197.3807649985</v>
      </c>
    </row>
    <row r="2116" spans="2:8" x14ac:dyDescent="0.2">
      <c r="B2116" s="3" t="s">
        <v>160</v>
      </c>
      <c r="C2116" s="3" t="s">
        <v>11</v>
      </c>
      <c r="D2116" s="3" t="str">
        <f>VLOOKUP(C2116,Countries!$B$3:$C$140,2,FALSE)</f>
        <v>Europe</v>
      </c>
      <c r="E2116" s="3" t="s">
        <v>7</v>
      </c>
      <c r="F2116" s="3" t="str">
        <f>VLOOKUP(E2116,Countries!$B$3:$C$140,2,FALSE)</f>
        <v>South America</v>
      </c>
      <c r="G2116" s="4">
        <v>16</v>
      </c>
      <c r="H2116" s="4">
        <v>15992938.316565</v>
      </c>
    </row>
    <row r="2117" spans="2:8" x14ac:dyDescent="0.2">
      <c r="B2117" s="3" t="s">
        <v>160</v>
      </c>
      <c r="C2117" s="3" t="s">
        <v>11</v>
      </c>
      <c r="D2117" s="3" t="str">
        <f>VLOOKUP(C2117,Countries!$B$3:$C$140,2,FALSE)</f>
        <v>Europe</v>
      </c>
      <c r="E2117" s="3" t="s">
        <v>36</v>
      </c>
      <c r="F2117" s="3" t="str">
        <f>VLOOKUP(E2117,Countries!$B$3:$C$140,2,FALSE)</f>
        <v>Europe</v>
      </c>
      <c r="G2117" s="4">
        <v>2</v>
      </c>
      <c r="H2117" s="4">
        <v>0</v>
      </c>
    </row>
    <row r="2118" spans="2:8" x14ac:dyDescent="0.2">
      <c r="B2118" s="3" t="s">
        <v>160</v>
      </c>
      <c r="C2118" s="3" t="s">
        <v>11</v>
      </c>
      <c r="D2118" s="3" t="str">
        <f>VLOOKUP(C2118,Countries!$B$3:$C$140,2,FALSE)</f>
        <v>Europe</v>
      </c>
      <c r="E2118" s="3" t="s">
        <v>88</v>
      </c>
      <c r="F2118" s="3" t="str">
        <f>VLOOKUP(E2118,Countries!$B$3:$C$140,2,FALSE)</f>
        <v>South America</v>
      </c>
      <c r="G2118" s="4">
        <v>10</v>
      </c>
      <c r="H2118" s="4">
        <v>930206.16795600008</v>
      </c>
    </row>
    <row r="2119" spans="2:8" x14ac:dyDescent="0.2">
      <c r="B2119" s="3" t="s">
        <v>160</v>
      </c>
      <c r="C2119" s="3" t="s">
        <v>11</v>
      </c>
      <c r="D2119" s="3" t="str">
        <f>VLOOKUP(C2119,Countries!$B$3:$C$140,2,FALSE)</f>
        <v>Europe</v>
      </c>
      <c r="E2119" s="3" t="s">
        <v>89</v>
      </c>
      <c r="F2119" s="3" t="str">
        <f>VLOOKUP(E2119,Countries!$B$3:$C$140,2,FALSE)</f>
        <v>Asia</v>
      </c>
      <c r="G2119" s="4">
        <v>6</v>
      </c>
      <c r="H2119" s="4">
        <v>0</v>
      </c>
    </row>
    <row r="2120" spans="2:8" x14ac:dyDescent="0.2">
      <c r="B2120" s="3" t="s">
        <v>160</v>
      </c>
      <c r="C2120" s="3" t="s">
        <v>11</v>
      </c>
      <c r="D2120" s="3" t="str">
        <f>VLOOKUP(C2120,Countries!$B$3:$C$140,2,FALSE)</f>
        <v>Europe</v>
      </c>
      <c r="E2120" s="3" t="s">
        <v>9</v>
      </c>
      <c r="F2120" s="3" t="str">
        <f>VLOOKUP(E2120,Countries!$B$3:$C$140,2,FALSE)</f>
        <v>Europe</v>
      </c>
      <c r="G2120" s="4">
        <v>6</v>
      </c>
      <c r="H2120" s="4">
        <v>9665751.5412300006</v>
      </c>
    </row>
    <row r="2121" spans="2:8" x14ac:dyDescent="0.2">
      <c r="B2121" s="3" t="s">
        <v>160</v>
      </c>
      <c r="C2121" s="3" t="s">
        <v>11</v>
      </c>
      <c r="D2121" s="3" t="str">
        <f>VLOOKUP(C2121,Countries!$B$3:$C$140,2,FALSE)</f>
        <v>Europe</v>
      </c>
      <c r="E2121" s="3" t="s">
        <v>62</v>
      </c>
      <c r="F2121" s="3" t="str">
        <f>VLOOKUP(E2121,Countries!$B$3:$C$140,2,FALSE)</f>
        <v>Asia</v>
      </c>
      <c r="G2121" s="4">
        <v>10</v>
      </c>
      <c r="H2121" s="4">
        <v>0</v>
      </c>
    </row>
    <row r="2122" spans="2:8" x14ac:dyDescent="0.2">
      <c r="B2122" s="3" t="s">
        <v>160</v>
      </c>
      <c r="C2122" s="3" t="s">
        <v>11</v>
      </c>
      <c r="D2122" s="3" t="str">
        <f>VLOOKUP(C2122,Countries!$B$3:$C$140,2,FALSE)</f>
        <v>Europe</v>
      </c>
      <c r="E2122" s="3" t="s">
        <v>49</v>
      </c>
      <c r="F2122" s="3" t="str">
        <f>VLOOKUP(E2122,Countries!$B$3:$C$140,2,FALSE)</f>
        <v>Europe</v>
      </c>
      <c r="G2122" s="4">
        <v>2</v>
      </c>
      <c r="H2122" s="4">
        <v>0</v>
      </c>
    </row>
    <row r="2123" spans="2:8" x14ac:dyDescent="0.2">
      <c r="B2123" s="3" t="s">
        <v>160</v>
      </c>
      <c r="C2123" s="3" t="s">
        <v>11</v>
      </c>
      <c r="D2123" s="3" t="str">
        <f>VLOOKUP(C2123,Countries!$B$3:$C$140,2,FALSE)</f>
        <v>Europe</v>
      </c>
      <c r="E2123" s="3" t="s">
        <v>10</v>
      </c>
      <c r="F2123" s="3" t="str">
        <f>VLOOKUP(E2123,Countries!$B$3:$C$140,2,FALSE)</f>
        <v>Europe</v>
      </c>
      <c r="G2123" s="4">
        <v>2</v>
      </c>
      <c r="H2123" s="4">
        <v>3834039.397845</v>
      </c>
    </row>
    <row r="2124" spans="2:8" x14ac:dyDescent="0.2">
      <c r="B2124" s="3" t="s">
        <v>160</v>
      </c>
      <c r="C2124" s="3" t="s">
        <v>11</v>
      </c>
      <c r="D2124" s="3" t="str">
        <f>VLOOKUP(C2124,Countries!$B$3:$C$140,2,FALSE)</f>
        <v>Europe</v>
      </c>
      <c r="E2124" s="3" t="s">
        <v>50</v>
      </c>
      <c r="F2124" s="3" t="str">
        <f>VLOOKUP(E2124,Countries!$B$3:$C$140,2,FALSE)</f>
        <v>Europe</v>
      </c>
      <c r="G2124" s="4">
        <v>62</v>
      </c>
      <c r="H2124" s="4">
        <v>246451086.10356152</v>
      </c>
    </row>
    <row r="2125" spans="2:8" x14ac:dyDescent="0.2">
      <c r="B2125" s="3" t="s">
        <v>160</v>
      </c>
      <c r="C2125" s="3" t="s">
        <v>11</v>
      </c>
      <c r="D2125" s="3" t="str">
        <f>VLOOKUP(C2125,Countries!$B$3:$C$140,2,FALSE)</f>
        <v>Europe</v>
      </c>
      <c r="E2125" s="3" t="s">
        <v>12</v>
      </c>
      <c r="F2125" s="3" t="str">
        <f>VLOOKUP(E2125,Countries!$B$3:$C$140,2,FALSE)</f>
        <v>Europe</v>
      </c>
      <c r="G2125" s="4">
        <v>28</v>
      </c>
      <c r="H2125" s="4">
        <v>49348083.841954499</v>
      </c>
    </row>
    <row r="2126" spans="2:8" x14ac:dyDescent="0.2">
      <c r="B2126" s="3" t="s">
        <v>160</v>
      </c>
      <c r="C2126" s="3" t="s">
        <v>11</v>
      </c>
      <c r="D2126" s="3" t="str">
        <f>VLOOKUP(C2126,Countries!$B$3:$C$140,2,FALSE)</f>
        <v>Europe</v>
      </c>
      <c r="E2126" s="3" t="s">
        <v>39</v>
      </c>
      <c r="F2126" s="3" t="str">
        <f>VLOOKUP(E2126,Countries!$B$3:$C$140,2,FALSE)</f>
        <v>Europe/Asia</v>
      </c>
      <c r="G2126" s="4">
        <v>2</v>
      </c>
      <c r="H2126" s="4">
        <v>0</v>
      </c>
    </row>
    <row r="2127" spans="2:8" x14ac:dyDescent="0.2">
      <c r="B2127" s="3" t="s">
        <v>160</v>
      </c>
      <c r="C2127" s="3" t="s">
        <v>11</v>
      </c>
      <c r="D2127" s="3" t="str">
        <f>VLOOKUP(C2127,Countries!$B$3:$C$140,2,FALSE)</f>
        <v>Europe</v>
      </c>
      <c r="E2127" s="3" t="s">
        <v>13</v>
      </c>
      <c r="F2127" s="3" t="str">
        <f>VLOOKUP(E2127,Countries!$B$3:$C$140,2,FALSE)</f>
        <v>Europe</v>
      </c>
      <c r="G2127" s="4">
        <v>20</v>
      </c>
      <c r="H2127" s="4">
        <v>2820032.5249649999</v>
      </c>
    </row>
    <row r="2128" spans="2:8" x14ac:dyDescent="0.2">
      <c r="B2128" s="3" t="s">
        <v>160</v>
      </c>
      <c r="C2128" s="3" t="s">
        <v>11</v>
      </c>
      <c r="D2128" s="3" t="str">
        <f>VLOOKUP(C2128,Countries!$B$3:$C$140,2,FALSE)</f>
        <v>Europe</v>
      </c>
      <c r="E2128" s="3" t="s">
        <v>14</v>
      </c>
      <c r="F2128" s="3" t="str">
        <f>VLOOKUP(E2128,Countries!$B$3:$C$140,2,FALSE)</f>
        <v>Europe</v>
      </c>
      <c r="G2128" s="4">
        <v>24</v>
      </c>
      <c r="H2128" s="4">
        <v>0</v>
      </c>
    </row>
    <row r="2129" spans="2:8" x14ac:dyDescent="0.2">
      <c r="B2129" s="3" t="s">
        <v>160</v>
      </c>
      <c r="C2129" s="3" t="s">
        <v>11</v>
      </c>
      <c r="D2129" s="3" t="str">
        <f>VLOOKUP(C2129,Countries!$B$3:$C$140,2,FALSE)</f>
        <v>Europe</v>
      </c>
      <c r="E2129" s="3" t="s">
        <v>108</v>
      </c>
      <c r="F2129" s="3" t="str">
        <f>VLOOKUP(E2129,Countries!$B$3:$C$140,2,FALSE)</f>
        <v>North America</v>
      </c>
      <c r="G2129" s="4">
        <v>2</v>
      </c>
      <c r="H2129" s="4">
        <v>0</v>
      </c>
    </row>
    <row r="2130" spans="2:8" x14ac:dyDescent="0.2">
      <c r="B2130" s="3" t="s">
        <v>160</v>
      </c>
      <c r="C2130" s="3" t="s">
        <v>11</v>
      </c>
      <c r="D2130" s="3" t="str">
        <f>VLOOKUP(C2130,Countries!$B$3:$C$140,2,FALSE)</f>
        <v>Europe</v>
      </c>
      <c r="E2130" s="3" t="s">
        <v>15</v>
      </c>
      <c r="F2130" s="3" t="str">
        <f>VLOOKUP(E2130,Countries!$B$3:$C$140,2,FALSE)</f>
        <v>Europe</v>
      </c>
      <c r="G2130" s="4">
        <v>2</v>
      </c>
      <c r="H2130" s="4">
        <v>0</v>
      </c>
    </row>
    <row r="2131" spans="2:8" x14ac:dyDescent="0.2">
      <c r="B2131" s="3" t="s">
        <v>160</v>
      </c>
      <c r="C2131" s="3" t="s">
        <v>11</v>
      </c>
      <c r="D2131" s="3" t="str">
        <f>VLOOKUP(C2131,Countries!$B$3:$C$140,2,FALSE)</f>
        <v>Europe</v>
      </c>
      <c r="E2131" s="3" t="s">
        <v>100</v>
      </c>
      <c r="F2131" s="3" t="str">
        <f>VLOOKUP(E2131,Countries!$B$3:$C$140,2,FALSE)</f>
        <v>Asia</v>
      </c>
      <c r="G2131" s="4">
        <v>2</v>
      </c>
      <c r="H2131" s="4">
        <v>0</v>
      </c>
    </row>
    <row r="2132" spans="2:8" x14ac:dyDescent="0.2">
      <c r="B2132" s="3" t="s">
        <v>160</v>
      </c>
      <c r="C2132" s="3" t="s">
        <v>11</v>
      </c>
      <c r="D2132" s="3" t="str">
        <f>VLOOKUP(C2132,Countries!$B$3:$C$140,2,FALSE)</f>
        <v>Europe</v>
      </c>
      <c r="E2132" s="3" t="s">
        <v>74</v>
      </c>
      <c r="F2132" s="3" t="str">
        <f>VLOOKUP(E2132,Countries!$B$3:$C$140,2,FALSE)</f>
        <v>Asia</v>
      </c>
      <c r="G2132" s="4">
        <v>2</v>
      </c>
      <c r="H2132" s="4">
        <v>0</v>
      </c>
    </row>
    <row r="2133" spans="2:8" x14ac:dyDescent="0.2">
      <c r="B2133" s="3" t="s">
        <v>160</v>
      </c>
      <c r="C2133" s="3" t="s">
        <v>11</v>
      </c>
      <c r="D2133" s="3" t="str">
        <f>VLOOKUP(C2133,Countries!$B$3:$C$140,2,FALSE)</f>
        <v>Europe</v>
      </c>
      <c r="E2133" s="3" t="s">
        <v>51</v>
      </c>
      <c r="F2133" s="3" t="str">
        <f>VLOOKUP(E2133,Countries!$B$3:$C$140,2,FALSE)</f>
        <v>Asia</v>
      </c>
      <c r="G2133" s="4">
        <v>6</v>
      </c>
      <c r="H2133" s="4">
        <v>3980540.0867099999</v>
      </c>
    </row>
    <row r="2134" spans="2:8" x14ac:dyDescent="0.2">
      <c r="B2134" s="3" t="s">
        <v>160</v>
      </c>
      <c r="C2134" s="3" t="s">
        <v>11</v>
      </c>
      <c r="D2134" s="3" t="str">
        <f>VLOOKUP(C2134,Countries!$B$3:$C$140,2,FALSE)</f>
        <v>Europe</v>
      </c>
      <c r="E2134" s="3" t="s">
        <v>17</v>
      </c>
      <c r="F2134" s="3" t="str">
        <f>VLOOKUP(E2134,Countries!$B$3:$C$140,2,FALSE)</f>
        <v>Europe</v>
      </c>
      <c r="G2134" s="4">
        <v>48</v>
      </c>
      <c r="H2134" s="4">
        <v>8130002.1480747592</v>
      </c>
    </row>
    <row r="2135" spans="2:8" x14ac:dyDescent="0.2">
      <c r="B2135" s="3" t="s">
        <v>160</v>
      </c>
      <c r="C2135" s="3" t="s">
        <v>11</v>
      </c>
      <c r="D2135" s="3" t="str">
        <f>VLOOKUP(C2135,Countries!$B$3:$C$140,2,FALSE)</f>
        <v>Europe</v>
      </c>
      <c r="E2135" s="3" t="s">
        <v>93</v>
      </c>
      <c r="F2135" s="3" t="str">
        <f>VLOOKUP(E2135,Countries!$B$3:$C$140,2,FALSE)</f>
        <v>Asia</v>
      </c>
      <c r="G2135" s="4">
        <v>2</v>
      </c>
      <c r="H2135" s="4">
        <v>0</v>
      </c>
    </row>
    <row r="2136" spans="2:8" x14ac:dyDescent="0.2">
      <c r="B2136" s="3" t="s">
        <v>160</v>
      </c>
      <c r="C2136" s="3" t="s">
        <v>11</v>
      </c>
      <c r="D2136" s="3" t="str">
        <f>VLOOKUP(C2136,Countries!$B$3:$C$140,2,FALSE)</f>
        <v>Europe</v>
      </c>
      <c r="E2136" s="3" t="s">
        <v>19</v>
      </c>
      <c r="F2136" s="3" t="str">
        <f>VLOOKUP(E2136,Countries!$B$3:$C$140,2,FALSE)</f>
        <v>Asia</v>
      </c>
      <c r="G2136" s="4">
        <v>2</v>
      </c>
      <c r="H2136" s="4">
        <v>18161239.252950002</v>
      </c>
    </row>
    <row r="2137" spans="2:8" x14ac:dyDescent="0.2">
      <c r="B2137" s="3" t="s">
        <v>160</v>
      </c>
      <c r="C2137" s="3" t="s">
        <v>11</v>
      </c>
      <c r="D2137" s="3" t="str">
        <f>VLOOKUP(C2137,Countries!$B$3:$C$140,2,FALSE)</f>
        <v>Europe</v>
      </c>
      <c r="E2137" s="3" t="s">
        <v>42</v>
      </c>
      <c r="F2137" s="3" t="str">
        <f>VLOOKUP(E2137,Countries!$B$3:$C$140,2,FALSE)</f>
        <v>Africa</v>
      </c>
      <c r="G2137" s="4">
        <v>2</v>
      </c>
      <c r="H2137" s="4">
        <v>0</v>
      </c>
    </row>
    <row r="2138" spans="2:8" x14ac:dyDescent="0.2">
      <c r="B2138" s="3" t="s">
        <v>160</v>
      </c>
      <c r="C2138" s="3" t="s">
        <v>11</v>
      </c>
      <c r="D2138" s="3" t="str">
        <f>VLOOKUP(C2138,Countries!$B$3:$C$140,2,FALSE)</f>
        <v>Europe</v>
      </c>
      <c r="E2138" s="3" t="s">
        <v>94</v>
      </c>
      <c r="F2138" s="3" t="str">
        <f>VLOOKUP(E2138,Countries!$B$3:$C$140,2,FALSE)</f>
        <v>North America</v>
      </c>
      <c r="G2138" s="4">
        <v>8</v>
      </c>
      <c r="H2138" s="4">
        <v>7391943.2065952998</v>
      </c>
    </row>
    <row r="2139" spans="2:8" x14ac:dyDescent="0.2">
      <c r="B2139" s="3" t="s">
        <v>160</v>
      </c>
      <c r="C2139" s="3" t="s">
        <v>11</v>
      </c>
      <c r="D2139" s="3" t="str">
        <f>VLOOKUP(C2139,Countries!$B$3:$C$140,2,FALSE)</f>
        <v>Europe</v>
      </c>
      <c r="E2139" s="3" t="s">
        <v>53</v>
      </c>
      <c r="F2139" s="3" t="str">
        <f>VLOOKUP(E2139,Countries!$B$3:$C$140,2,FALSE)</f>
        <v>Europe</v>
      </c>
      <c r="G2139" s="4">
        <v>6</v>
      </c>
      <c r="H2139" s="4">
        <v>0</v>
      </c>
    </row>
    <row r="2140" spans="2:8" x14ac:dyDescent="0.2">
      <c r="B2140" s="3" t="s">
        <v>160</v>
      </c>
      <c r="C2140" s="3" t="s">
        <v>11</v>
      </c>
      <c r="D2140" s="3" t="str">
        <f>VLOOKUP(C2140,Countries!$B$3:$C$140,2,FALSE)</f>
        <v>Europe</v>
      </c>
      <c r="E2140" s="3" t="s">
        <v>44</v>
      </c>
      <c r="F2140" s="3" t="str">
        <f>VLOOKUP(E2140,Countries!$B$3:$C$140,2,FALSE)</f>
        <v>Europe</v>
      </c>
      <c r="G2140" s="4">
        <v>2</v>
      </c>
      <c r="H2140" s="4">
        <v>0</v>
      </c>
    </row>
    <row r="2141" spans="2:8" x14ac:dyDescent="0.2">
      <c r="B2141" s="3" t="s">
        <v>160</v>
      </c>
      <c r="C2141" s="3" t="s">
        <v>11</v>
      </c>
      <c r="D2141" s="3" t="str">
        <f>VLOOKUP(C2141,Countries!$B$3:$C$140,2,FALSE)</f>
        <v>Europe</v>
      </c>
      <c r="E2141" s="3" t="s">
        <v>80</v>
      </c>
      <c r="F2141" s="3" t="str">
        <f>VLOOKUP(E2141,Countries!$B$3:$C$140,2,FALSE)</f>
        <v>South America</v>
      </c>
      <c r="G2141" s="4">
        <v>4</v>
      </c>
      <c r="H2141" s="4">
        <v>1680000</v>
      </c>
    </row>
    <row r="2142" spans="2:8" x14ac:dyDescent="0.2">
      <c r="B2142" s="3" t="s">
        <v>160</v>
      </c>
      <c r="C2142" s="3" t="s">
        <v>11</v>
      </c>
      <c r="D2142" s="3" t="str">
        <f>VLOOKUP(C2142,Countries!$B$3:$C$140,2,FALSE)</f>
        <v>Europe</v>
      </c>
      <c r="E2142" s="3" t="s">
        <v>54</v>
      </c>
      <c r="F2142" s="3" t="str">
        <f>VLOOKUP(E2142,Countries!$B$3:$C$140,2,FALSE)</f>
        <v>Europe</v>
      </c>
      <c r="G2142" s="4">
        <v>8</v>
      </c>
      <c r="H2142" s="4">
        <v>4035830.9450999997</v>
      </c>
    </row>
    <row r="2143" spans="2:8" x14ac:dyDescent="0.2">
      <c r="B2143" s="3" t="s">
        <v>160</v>
      </c>
      <c r="C2143" s="3" t="s">
        <v>11</v>
      </c>
      <c r="D2143" s="3" t="str">
        <f>VLOOKUP(C2143,Countries!$B$3:$C$140,2,FALSE)</f>
        <v>Europe</v>
      </c>
      <c r="E2143" s="3" t="s">
        <v>25</v>
      </c>
      <c r="F2143" s="3" t="str">
        <f>VLOOKUP(E2143,Countries!$B$3:$C$140,2,FALSE)</f>
        <v>Europe</v>
      </c>
      <c r="G2143" s="4">
        <v>56</v>
      </c>
      <c r="H2143" s="4">
        <v>162687233.90420401</v>
      </c>
    </row>
    <row r="2144" spans="2:8" x14ac:dyDescent="0.2">
      <c r="B2144" s="3" t="s">
        <v>160</v>
      </c>
      <c r="C2144" s="3" t="s">
        <v>11</v>
      </c>
      <c r="D2144" s="3" t="str">
        <f>VLOOKUP(C2144,Countries!$B$3:$C$140,2,FALSE)</f>
        <v>Europe</v>
      </c>
      <c r="E2144" s="3" t="s">
        <v>26</v>
      </c>
      <c r="F2144" s="3" t="str">
        <f>VLOOKUP(E2144,Countries!$B$3:$C$140,2,FALSE)</f>
        <v>Europe</v>
      </c>
      <c r="G2144" s="4">
        <v>6</v>
      </c>
      <c r="H2144" s="4">
        <v>0</v>
      </c>
    </row>
    <row r="2145" spans="2:8" x14ac:dyDescent="0.2">
      <c r="B2145" s="3" t="s">
        <v>160</v>
      </c>
      <c r="C2145" s="3" t="s">
        <v>11</v>
      </c>
      <c r="D2145" s="3" t="str">
        <f>VLOOKUP(C2145,Countries!$B$3:$C$140,2,FALSE)</f>
        <v>Europe</v>
      </c>
      <c r="E2145" s="3" t="s">
        <v>46</v>
      </c>
      <c r="F2145" s="3" t="str">
        <f>VLOOKUP(E2145,Countries!$B$3:$C$140,2,FALSE)</f>
        <v>Europe/Asia</v>
      </c>
      <c r="G2145" s="4">
        <v>8</v>
      </c>
      <c r="H2145" s="4">
        <v>3902544.6183000002</v>
      </c>
    </row>
    <row r="2146" spans="2:8" x14ac:dyDescent="0.2">
      <c r="B2146" s="3" t="s">
        <v>160</v>
      </c>
      <c r="C2146" s="3" t="s">
        <v>11</v>
      </c>
      <c r="D2146" s="3" t="str">
        <f>VLOOKUP(C2146,Countries!$B$3:$C$140,2,FALSE)</f>
        <v>Europe</v>
      </c>
      <c r="E2146" s="3" t="s">
        <v>55</v>
      </c>
      <c r="F2146" s="3" t="str">
        <f>VLOOKUP(E2146,Countries!$B$3:$C$140,2,FALSE)</f>
        <v>Europe</v>
      </c>
      <c r="G2146" s="4">
        <v>12</v>
      </c>
      <c r="H2146" s="4">
        <v>0</v>
      </c>
    </row>
    <row r="2147" spans="2:8" x14ac:dyDescent="0.2">
      <c r="B2147" s="3" t="s">
        <v>160</v>
      </c>
      <c r="C2147" s="3" t="s">
        <v>11</v>
      </c>
      <c r="D2147" s="3" t="str">
        <f>VLOOKUP(C2147,Countries!$B$3:$C$140,2,FALSE)</f>
        <v>Europe</v>
      </c>
      <c r="E2147" s="3" t="s">
        <v>47</v>
      </c>
      <c r="F2147" s="3" t="str">
        <f>VLOOKUP(E2147,Countries!$B$3:$C$140,2,FALSE)</f>
        <v>Africa</v>
      </c>
      <c r="G2147" s="4">
        <v>2</v>
      </c>
      <c r="H2147" s="4">
        <v>0</v>
      </c>
    </row>
    <row r="2148" spans="2:8" x14ac:dyDescent="0.2">
      <c r="B2148" s="3" t="s">
        <v>160</v>
      </c>
      <c r="C2148" s="3" t="s">
        <v>11</v>
      </c>
      <c r="D2148" s="3" t="str">
        <f>VLOOKUP(C2148,Countries!$B$3:$C$140,2,FALSE)</f>
        <v>Europe</v>
      </c>
      <c r="E2148" s="3" t="s">
        <v>28</v>
      </c>
      <c r="F2148" s="3" t="str">
        <f>VLOOKUP(E2148,Countries!$B$3:$C$140,2,FALSE)</f>
        <v>Europe</v>
      </c>
      <c r="G2148" s="4">
        <v>6</v>
      </c>
      <c r="H2148" s="4">
        <v>5650163.32314</v>
      </c>
    </row>
    <row r="2149" spans="2:8" x14ac:dyDescent="0.2">
      <c r="B2149" s="3" t="s">
        <v>160</v>
      </c>
      <c r="C2149" s="3" t="s">
        <v>11</v>
      </c>
      <c r="D2149" s="3" t="str">
        <f>VLOOKUP(C2149,Countries!$B$3:$C$140,2,FALSE)</f>
        <v>Europe</v>
      </c>
      <c r="E2149" s="3" t="s">
        <v>29</v>
      </c>
      <c r="F2149" s="3" t="str">
        <f>VLOOKUP(E2149,Countries!$B$3:$C$140,2,FALSE)</f>
        <v>Europe</v>
      </c>
      <c r="G2149" s="4">
        <v>8</v>
      </c>
      <c r="H2149" s="4">
        <v>5246580.2286300007</v>
      </c>
    </row>
    <row r="2150" spans="2:8" x14ac:dyDescent="0.2">
      <c r="B2150" s="3" t="s">
        <v>160</v>
      </c>
      <c r="C2150" s="3" t="s">
        <v>11</v>
      </c>
      <c r="D2150" s="3" t="str">
        <f>VLOOKUP(C2150,Countries!$B$3:$C$140,2,FALSE)</f>
        <v>Europe</v>
      </c>
      <c r="E2150" s="3" t="s">
        <v>56</v>
      </c>
      <c r="F2150" s="3" t="str">
        <f>VLOOKUP(E2150,Countries!$B$3:$C$140,2,FALSE)</f>
        <v>Europe</v>
      </c>
      <c r="G2150" s="4">
        <v>2</v>
      </c>
      <c r="H2150" s="4">
        <v>0</v>
      </c>
    </row>
    <row r="2151" spans="2:8" x14ac:dyDescent="0.2">
      <c r="B2151" s="3" t="s">
        <v>160</v>
      </c>
      <c r="C2151" s="3" t="s">
        <v>11</v>
      </c>
      <c r="D2151" s="3" t="str">
        <f>VLOOKUP(C2151,Countries!$B$3:$C$140,2,FALSE)</f>
        <v>Europe</v>
      </c>
      <c r="E2151" s="3" t="s">
        <v>31</v>
      </c>
      <c r="F2151" s="3" t="str">
        <f>VLOOKUP(E2151,Countries!$B$3:$C$140,2,FALSE)</f>
        <v>Europe</v>
      </c>
      <c r="G2151" s="4">
        <v>4</v>
      </c>
      <c r="H2151" s="4">
        <v>0</v>
      </c>
    </row>
    <row r="2152" spans="2:8" x14ac:dyDescent="0.2">
      <c r="B2152" s="3" t="s">
        <v>160</v>
      </c>
      <c r="C2152" s="3" t="s">
        <v>11</v>
      </c>
      <c r="D2152" s="3" t="str">
        <f>VLOOKUP(C2152,Countries!$B$3:$C$140,2,FALSE)</f>
        <v>Europe</v>
      </c>
      <c r="E2152" s="3" t="s">
        <v>57</v>
      </c>
      <c r="F2152" s="3" t="str">
        <f>VLOOKUP(E2152,Countries!$B$3:$C$140,2,FALSE)</f>
        <v>Europe/Asia</v>
      </c>
      <c r="G2152" s="4">
        <v>12</v>
      </c>
      <c r="H2152" s="4">
        <v>0</v>
      </c>
    </row>
    <row r="2153" spans="2:8" x14ac:dyDescent="0.2">
      <c r="B2153" s="3" t="s">
        <v>160</v>
      </c>
      <c r="C2153" s="3" t="s">
        <v>11</v>
      </c>
      <c r="D2153" s="3" t="str">
        <f>VLOOKUP(C2153,Countries!$B$3:$C$140,2,FALSE)</f>
        <v>Europe</v>
      </c>
      <c r="E2153" s="3" t="s">
        <v>32</v>
      </c>
      <c r="F2153" s="3" t="str">
        <f>VLOOKUP(E2153,Countries!$B$3:$C$140,2,FALSE)</f>
        <v>Europe</v>
      </c>
      <c r="G2153" s="4">
        <v>2</v>
      </c>
      <c r="H2153" s="4">
        <v>0</v>
      </c>
    </row>
    <row r="2154" spans="2:8" x14ac:dyDescent="0.2">
      <c r="B2154" s="3" t="s">
        <v>160</v>
      </c>
      <c r="C2154" s="3" t="s">
        <v>11</v>
      </c>
      <c r="D2154" s="3" t="str">
        <f>VLOOKUP(C2154,Countries!$B$3:$C$140,2,FALSE)</f>
        <v>Europe</v>
      </c>
      <c r="E2154" s="3" t="s">
        <v>58</v>
      </c>
      <c r="F2154" s="3" t="str">
        <f>VLOOKUP(E2154,Countries!$B$3:$C$140,2,FALSE)</f>
        <v>South America</v>
      </c>
      <c r="G2154" s="4">
        <v>18</v>
      </c>
      <c r="H2154" s="4">
        <v>15023380.693134751</v>
      </c>
    </row>
    <row r="2155" spans="2:8" x14ac:dyDescent="0.2">
      <c r="B2155" s="3" t="s">
        <v>160</v>
      </c>
      <c r="C2155" s="3" t="s">
        <v>11</v>
      </c>
      <c r="D2155" s="3" t="str">
        <f>VLOOKUP(C2155,Countries!$B$3:$C$140,2,FALSE)</f>
        <v>Europe</v>
      </c>
      <c r="E2155" s="3" t="s">
        <v>91</v>
      </c>
      <c r="F2155" s="3" t="str">
        <f>VLOOKUP(E2155,Countries!$B$3:$C$140,2,FALSE)</f>
        <v>South America</v>
      </c>
      <c r="G2155" s="4">
        <v>8</v>
      </c>
      <c r="H2155" s="4">
        <v>3228664.7560799997</v>
      </c>
    </row>
    <row r="2156" spans="2:8" x14ac:dyDescent="0.2">
      <c r="B2156" s="3" t="s">
        <v>160</v>
      </c>
      <c r="C2156" s="3" t="s">
        <v>11</v>
      </c>
      <c r="D2156" s="3" t="str">
        <f>VLOOKUP(C2156,Countries!$B$3:$C$140,2,FALSE)</f>
        <v>Europe</v>
      </c>
      <c r="E2156" s="3" t="s">
        <v>86</v>
      </c>
      <c r="F2156" s="3" t="str">
        <f>VLOOKUP(E2156,Countries!$B$3:$C$140,2,FALSE)</f>
        <v>Europe</v>
      </c>
      <c r="G2156" s="4">
        <v>2</v>
      </c>
      <c r="H2156" s="4">
        <v>0</v>
      </c>
    </row>
    <row r="2157" spans="2:8" x14ac:dyDescent="0.2">
      <c r="B2157" s="3" t="s">
        <v>160</v>
      </c>
      <c r="C2157" s="3" t="s">
        <v>38</v>
      </c>
      <c r="D2157" s="3" t="str">
        <f>VLOOKUP(C2157,Countries!$B$3:$C$140,2,FALSE)</f>
        <v>Europe</v>
      </c>
      <c r="E2157" s="3" t="s">
        <v>6</v>
      </c>
      <c r="F2157" s="3" t="str">
        <f>VLOOKUP(E2157,Countries!$B$3:$C$140,2,FALSE)</f>
        <v>Europe</v>
      </c>
      <c r="G2157" s="4">
        <v>2</v>
      </c>
      <c r="H2157" s="4">
        <v>0</v>
      </c>
    </row>
    <row r="2158" spans="2:8" x14ac:dyDescent="0.2">
      <c r="B2158" s="3" t="s">
        <v>160</v>
      </c>
      <c r="C2158" s="3" t="s">
        <v>38</v>
      </c>
      <c r="D2158" s="3" t="str">
        <f>VLOOKUP(C2158,Countries!$B$3:$C$140,2,FALSE)</f>
        <v>Europe</v>
      </c>
      <c r="E2158" s="3" t="s">
        <v>59</v>
      </c>
      <c r="F2158" s="3" t="str">
        <f>VLOOKUP(E2158,Countries!$B$3:$C$140,2,FALSE)</f>
        <v>Europe</v>
      </c>
      <c r="G2158" s="4">
        <v>4</v>
      </c>
      <c r="H2158" s="4">
        <v>0</v>
      </c>
    </row>
    <row r="2159" spans="2:8" x14ac:dyDescent="0.2">
      <c r="B2159" s="3" t="s">
        <v>160</v>
      </c>
      <c r="C2159" s="3" t="s">
        <v>38</v>
      </c>
      <c r="D2159" s="3" t="str">
        <f>VLOOKUP(C2159,Countries!$B$3:$C$140,2,FALSE)</f>
        <v>Europe</v>
      </c>
      <c r="E2159" s="3" t="s">
        <v>7</v>
      </c>
      <c r="F2159" s="3" t="str">
        <f>VLOOKUP(E2159,Countries!$B$3:$C$140,2,FALSE)</f>
        <v>South America</v>
      </c>
      <c r="G2159" s="4">
        <v>4</v>
      </c>
      <c r="H2159" s="4">
        <v>0</v>
      </c>
    </row>
    <row r="2160" spans="2:8" x14ac:dyDescent="0.2">
      <c r="B2160" s="3" t="s">
        <v>160</v>
      </c>
      <c r="C2160" s="3" t="s">
        <v>38</v>
      </c>
      <c r="D2160" s="3" t="str">
        <f>VLOOKUP(C2160,Countries!$B$3:$C$140,2,FALSE)</f>
        <v>Europe</v>
      </c>
      <c r="E2160" s="3" t="s">
        <v>137</v>
      </c>
      <c r="F2160" s="3" t="str">
        <f>VLOOKUP(E2160,Countries!$B$3:$C$140,2,FALSE)</f>
        <v>Africa</v>
      </c>
      <c r="G2160" s="4">
        <v>4</v>
      </c>
      <c r="H2160" s="4">
        <v>0</v>
      </c>
    </row>
    <row r="2161" spans="2:8" x14ac:dyDescent="0.2">
      <c r="B2161" s="3" t="s">
        <v>160</v>
      </c>
      <c r="C2161" s="3" t="s">
        <v>38</v>
      </c>
      <c r="D2161" s="3" t="str">
        <f>VLOOKUP(C2161,Countries!$B$3:$C$140,2,FALSE)</f>
        <v>Europe</v>
      </c>
      <c r="E2161" s="3" t="s">
        <v>37</v>
      </c>
      <c r="F2161" s="3" t="str">
        <f>VLOOKUP(E2161,Countries!$B$3:$C$140,2,FALSE)</f>
        <v>Africa</v>
      </c>
      <c r="G2161" s="4">
        <v>2</v>
      </c>
      <c r="H2161" s="4">
        <v>0</v>
      </c>
    </row>
    <row r="2162" spans="2:8" x14ac:dyDescent="0.2">
      <c r="B2162" s="3" t="s">
        <v>160</v>
      </c>
      <c r="C2162" s="3" t="s">
        <v>38</v>
      </c>
      <c r="D2162" s="3" t="str">
        <f>VLOOKUP(C2162,Countries!$B$3:$C$140,2,FALSE)</f>
        <v>Europe</v>
      </c>
      <c r="E2162" s="3" t="s">
        <v>9</v>
      </c>
      <c r="F2162" s="3" t="str">
        <f>VLOOKUP(E2162,Countries!$B$3:$C$140,2,FALSE)</f>
        <v>Europe</v>
      </c>
      <c r="G2162" s="4">
        <v>2</v>
      </c>
      <c r="H2162" s="4">
        <v>0</v>
      </c>
    </row>
    <row r="2163" spans="2:8" x14ac:dyDescent="0.2">
      <c r="B2163" s="3" t="s">
        <v>160</v>
      </c>
      <c r="C2163" s="3" t="s">
        <v>38</v>
      </c>
      <c r="D2163" s="3" t="str">
        <f>VLOOKUP(C2163,Countries!$B$3:$C$140,2,FALSE)</f>
        <v>Europe</v>
      </c>
      <c r="E2163" s="3" t="s">
        <v>49</v>
      </c>
      <c r="F2163" s="3" t="str">
        <f>VLOOKUP(E2163,Countries!$B$3:$C$140,2,FALSE)</f>
        <v>Europe</v>
      </c>
      <c r="G2163" s="4">
        <v>2</v>
      </c>
      <c r="H2163" s="4">
        <v>0</v>
      </c>
    </row>
    <row r="2164" spans="2:8" x14ac:dyDescent="0.2">
      <c r="B2164" s="3" t="s">
        <v>160</v>
      </c>
      <c r="C2164" s="3" t="s">
        <v>38</v>
      </c>
      <c r="D2164" s="3" t="str">
        <f>VLOOKUP(C2164,Countries!$B$3:$C$140,2,FALSE)</f>
        <v>Europe</v>
      </c>
      <c r="E2164" s="3" t="s">
        <v>11</v>
      </c>
      <c r="F2164" s="3" t="str">
        <f>VLOOKUP(E2164,Countries!$B$3:$C$140,2,FALSE)</f>
        <v>Europe</v>
      </c>
      <c r="G2164" s="4">
        <v>2</v>
      </c>
      <c r="H2164" s="4">
        <v>0</v>
      </c>
    </row>
    <row r="2165" spans="2:8" x14ac:dyDescent="0.2">
      <c r="B2165" s="3" t="s">
        <v>160</v>
      </c>
      <c r="C2165" s="3" t="s">
        <v>38</v>
      </c>
      <c r="D2165" s="3" t="str">
        <f>VLOOKUP(C2165,Countries!$B$3:$C$140,2,FALSE)</f>
        <v>Europe</v>
      </c>
      <c r="E2165" s="3" t="s">
        <v>73</v>
      </c>
      <c r="F2165" s="3" t="str">
        <f>VLOOKUP(E2165,Countries!$B$3:$C$140,2,FALSE)</f>
        <v>Europe</v>
      </c>
      <c r="G2165" s="4">
        <v>4</v>
      </c>
      <c r="H2165" s="4">
        <v>0</v>
      </c>
    </row>
    <row r="2166" spans="2:8" x14ac:dyDescent="0.2">
      <c r="B2166" s="3" t="s">
        <v>160</v>
      </c>
      <c r="C2166" s="3" t="s">
        <v>38</v>
      </c>
      <c r="D2166" s="3" t="str">
        <f>VLOOKUP(C2166,Countries!$B$3:$C$140,2,FALSE)</f>
        <v>Europe</v>
      </c>
      <c r="E2166" s="3" t="s">
        <v>12</v>
      </c>
      <c r="F2166" s="3" t="str">
        <f>VLOOKUP(E2166,Countries!$B$3:$C$140,2,FALSE)</f>
        <v>Europe</v>
      </c>
      <c r="G2166" s="4">
        <v>2</v>
      </c>
      <c r="H2166" s="4">
        <v>0</v>
      </c>
    </row>
    <row r="2167" spans="2:8" x14ac:dyDescent="0.2">
      <c r="B2167" s="3" t="s">
        <v>160</v>
      </c>
      <c r="C2167" s="3" t="s">
        <v>38</v>
      </c>
      <c r="D2167" s="3" t="str">
        <f>VLOOKUP(C2167,Countries!$B$3:$C$140,2,FALSE)</f>
        <v>Europe</v>
      </c>
      <c r="E2167" s="3" t="s">
        <v>111</v>
      </c>
      <c r="F2167" s="3" t="str">
        <f>VLOOKUP(E2167,Countries!$B$3:$C$140,2,FALSE)</f>
        <v>Africa</v>
      </c>
      <c r="G2167" s="4">
        <v>2</v>
      </c>
      <c r="H2167" s="4">
        <v>0</v>
      </c>
    </row>
    <row r="2168" spans="2:8" x14ac:dyDescent="0.2">
      <c r="B2168" s="3" t="s">
        <v>160</v>
      </c>
      <c r="C2168" s="3" t="s">
        <v>38</v>
      </c>
      <c r="D2168" s="3" t="str">
        <f>VLOOKUP(C2168,Countries!$B$3:$C$140,2,FALSE)</f>
        <v>Europe</v>
      </c>
      <c r="E2168" s="3" t="s">
        <v>39</v>
      </c>
      <c r="F2168" s="3" t="str">
        <f>VLOOKUP(E2168,Countries!$B$3:$C$140,2,FALSE)</f>
        <v>Europe/Asia</v>
      </c>
      <c r="G2168" s="4">
        <v>4</v>
      </c>
      <c r="H2168" s="4">
        <v>0</v>
      </c>
    </row>
    <row r="2169" spans="2:8" x14ac:dyDescent="0.2">
      <c r="B2169" s="3" t="s">
        <v>160</v>
      </c>
      <c r="C2169" s="3" t="s">
        <v>38</v>
      </c>
      <c r="D2169" s="3" t="str">
        <f>VLOOKUP(C2169,Countries!$B$3:$C$140,2,FALSE)</f>
        <v>Europe</v>
      </c>
      <c r="E2169" s="3" t="s">
        <v>13</v>
      </c>
      <c r="F2169" s="3" t="str">
        <f>VLOOKUP(E2169,Countries!$B$3:$C$140,2,FALSE)</f>
        <v>Europe</v>
      </c>
      <c r="G2169" s="4">
        <v>6</v>
      </c>
      <c r="H2169" s="4">
        <v>0</v>
      </c>
    </row>
    <row r="2170" spans="2:8" x14ac:dyDescent="0.2">
      <c r="B2170" s="3" t="s">
        <v>160</v>
      </c>
      <c r="C2170" s="3" t="s">
        <v>38</v>
      </c>
      <c r="D2170" s="3" t="str">
        <f>VLOOKUP(C2170,Countries!$B$3:$C$140,2,FALSE)</f>
        <v>Europe</v>
      </c>
      <c r="E2170" s="3" t="s">
        <v>14</v>
      </c>
      <c r="F2170" s="3" t="str">
        <f>VLOOKUP(E2170,Countries!$B$3:$C$140,2,FALSE)</f>
        <v>Europe</v>
      </c>
      <c r="G2170" s="4">
        <v>2</v>
      </c>
      <c r="H2170" s="4">
        <v>0</v>
      </c>
    </row>
    <row r="2171" spans="2:8" x14ac:dyDescent="0.2">
      <c r="B2171" s="3" t="s">
        <v>160</v>
      </c>
      <c r="C2171" s="3" t="s">
        <v>38</v>
      </c>
      <c r="D2171" s="3" t="str">
        <f>VLOOKUP(C2171,Countries!$B$3:$C$140,2,FALSE)</f>
        <v>Europe</v>
      </c>
      <c r="E2171" s="3" t="s">
        <v>51</v>
      </c>
      <c r="F2171" s="3" t="str">
        <f>VLOOKUP(E2171,Countries!$B$3:$C$140,2,FALSE)</f>
        <v>Asia</v>
      </c>
      <c r="G2171" s="4">
        <v>2</v>
      </c>
      <c r="H2171" s="4">
        <v>0</v>
      </c>
    </row>
    <row r="2172" spans="2:8" x14ac:dyDescent="0.2">
      <c r="B2172" s="3" t="s">
        <v>160</v>
      </c>
      <c r="C2172" s="3" t="s">
        <v>38</v>
      </c>
      <c r="D2172" s="3" t="str">
        <f>VLOOKUP(C2172,Countries!$B$3:$C$140,2,FALSE)</f>
        <v>Europe</v>
      </c>
      <c r="E2172" s="3" t="s">
        <v>92</v>
      </c>
      <c r="F2172" s="3" t="str">
        <f>VLOOKUP(E2172,Countries!$B$3:$C$140,2,FALSE)</f>
        <v>Asia</v>
      </c>
      <c r="G2172" s="4">
        <v>6</v>
      </c>
      <c r="H2172" s="4">
        <v>0</v>
      </c>
    </row>
    <row r="2173" spans="2:8" x14ac:dyDescent="0.2">
      <c r="B2173" s="3" t="s">
        <v>160</v>
      </c>
      <c r="C2173" s="3" t="s">
        <v>38</v>
      </c>
      <c r="D2173" s="3" t="str">
        <f>VLOOKUP(C2173,Countries!$B$3:$C$140,2,FALSE)</f>
        <v>Europe</v>
      </c>
      <c r="E2173" s="3" t="s">
        <v>66</v>
      </c>
      <c r="F2173" s="3" t="str">
        <f>VLOOKUP(E2173,Countries!$B$3:$C$140,2,FALSE)</f>
        <v>Europe</v>
      </c>
      <c r="G2173" s="4">
        <v>4</v>
      </c>
      <c r="H2173" s="4">
        <v>0</v>
      </c>
    </row>
    <row r="2174" spans="2:8" x14ac:dyDescent="0.2">
      <c r="B2174" s="3" t="s">
        <v>160</v>
      </c>
      <c r="C2174" s="3" t="s">
        <v>38</v>
      </c>
      <c r="D2174" s="3" t="str">
        <f>VLOOKUP(C2174,Countries!$B$3:$C$140,2,FALSE)</f>
        <v>Europe</v>
      </c>
      <c r="E2174" s="3" t="s">
        <v>77</v>
      </c>
      <c r="F2174" s="3" t="str">
        <f>VLOOKUP(E2174,Countries!$B$3:$C$140,2,FALSE)</f>
        <v>Europe</v>
      </c>
      <c r="G2174" s="4">
        <v>2</v>
      </c>
      <c r="H2174" s="4">
        <v>0</v>
      </c>
    </row>
    <row r="2175" spans="2:8" x14ac:dyDescent="0.2">
      <c r="B2175" s="3" t="s">
        <v>160</v>
      </c>
      <c r="C2175" s="3" t="s">
        <v>38</v>
      </c>
      <c r="D2175" s="3" t="str">
        <f>VLOOKUP(C2175,Countries!$B$3:$C$140,2,FALSE)</f>
        <v>Europe</v>
      </c>
      <c r="E2175" s="3" t="s">
        <v>52</v>
      </c>
      <c r="F2175" s="3" t="str">
        <f>VLOOKUP(E2175,Countries!$B$3:$C$140,2,FALSE)</f>
        <v>Europe</v>
      </c>
      <c r="G2175" s="4">
        <v>8</v>
      </c>
      <c r="H2175" s="4">
        <v>0</v>
      </c>
    </row>
    <row r="2176" spans="2:8" x14ac:dyDescent="0.2">
      <c r="B2176" s="3" t="s">
        <v>160</v>
      </c>
      <c r="C2176" s="3" t="s">
        <v>38</v>
      </c>
      <c r="D2176" s="3" t="str">
        <f>VLOOKUP(C2176,Countries!$B$3:$C$140,2,FALSE)</f>
        <v>Europe</v>
      </c>
      <c r="E2176" s="3" t="s">
        <v>53</v>
      </c>
      <c r="F2176" s="3" t="str">
        <f>VLOOKUP(E2176,Countries!$B$3:$C$140,2,FALSE)</f>
        <v>Europe</v>
      </c>
      <c r="G2176" s="4">
        <v>4</v>
      </c>
      <c r="H2176" s="4">
        <v>0</v>
      </c>
    </row>
    <row r="2177" spans="2:8" x14ac:dyDescent="0.2">
      <c r="B2177" s="3" t="s">
        <v>160</v>
      </c>
      <c r="C2177" s="3" t="s">
        <v>38</v>
      </c>
      <c r="D2177" s="3" t="str">
        <f>VLOOKUP(C2177,Countries!$B$3:$C$140,2,FALSE)</f>
        <v>Europe</v>
      </c>
      <c r="E2177" s="3" t="s">
        <v>24</v>
      </c>
      <c r="F2177" s="3" t="str">
        <f>VLOOKUP(E2177,Countries!$B$3:$C$140,2,FALSE)</f>
        <v>Africa</v>
      </c>
      <c r="G2177" s="4">
        <v>2</v>
      </c>
      <c r="H2177" s="4">
        <v>0</v>
      </c>
    </row>
    <row r="2178" spans="2:8" x14ac:dyDescent="0.2">
      <c r="B2178" s="3" t="s">
        <v>160</v>
      </c>
      <c r="C2178" s="3" t="s">
        <v>38</v>
      </c>
      <c r="D2178" s="3" t="str">
        <f>VLOOKUP(C2178,Countries!$B$3:$C$140,2,FALSE)</f>
        <v>Europe</v>
      </c>
      <c r="E2178" s="3" t="s">
        <v>44</v>
      </c>
      <c r="F2178" s="3" t="str">
        <f>VLOOKUP(E2178,Countries!$B$3:$C$140,2,FALSE)</f>
        <v>Europe</v>
      </c>
      <c r="G2178" s="4">
        <v>8</v>
      </c>
      <c r="H2178" s="4">
        <v>0</v>
      </c>
    </row>
    <row r="2179" spans="2:8" x14ac:dyDescent="0.2">
      <c r="B2179" s="3" t="s">
        <v>160</v>
      </c>
      <c r="C2179" s="3" t="s">
        <v>38</v>
      </c>
      <c r="D2179" s="3" t="str">
        <f>VLOOKUP(C2179,Countries!$B$3:$C$140,2,FALSE)</f>
        <v>Europe</v>
      </c>
      <c r="E2179" s="3" t="s">
        <v>46</v>
      </c>
      <c r="F2179" s="3" t="str">
        <f>VLOOKUP(E2179,Countries!$B$3:$C$140,2,FALSE)</f>
        <v>Europe/Asia</v>
      </c>
      <c r="G2179" s="4">
        <v>18</v>
      </c>
      <c r="H2179" s="4">
        <v>0</v>
      </c>
    </row>
    <row r="2180" spans="2:8" x14ac:dyDescent="0.2">
      <c r="B2180" s="3" t="s">
        <v>160</v>
      </c>
      <c r="C2180" s="3" t="s">
        <v>38</v>
      </c>
      <c r="D2180" s="3" t="str">
        <f>VLOOKUP(C2180,Countries!$B$3:$C$140,2,FALSE)</f>
        <v>Europe</v>
      </c>
      <c r="E2180" s="3" t="s">
        <v>29</v>
      </c>
      <c r="F2180" s="3" t="str">
        <f>VLOOKUP(E2180,Countries!$B$3:$C$140,2,FALSE)</f>
        <v>Europe</v>
      </c>
      <c r="G2180" s="4">
        <v>2</v>
      </c>
      <c r="H2180" s="4">
        <v>0</v>
      </c>
    </row>
    <row r="2181" spans="2:8" x14ac:dyDescent="0.2">
      <c r="B2181" s="3" t="s">
        <v>160</v>
      </c>
      <c r="C2181" s="3" t="s">
        <v>38</v>
      </c>
      <c r="D2181" s="3" t="str">
        <f>VLOOKUP(C2181,Countries!$B$3:$C$140,2,FALSE)</f>
        <v>Europe</v>
      </c>
      <c r="E2181" s="3" t="s">
        <v>104</v>
      </c>
      <c r="F2181" s="3" t="str">
        <f>VLOOKUP(E2181,Countries!$B$3:$C$140,2,FALSE)</f>
        <v>Africa</v>
      </c>
      <c r="G2181" s="4">
        <v>2</v>
      </c>
      <c r="H2181" s="4">
        <v>80.716618901999993</v>
      </c>
    </row>
    <row r="2182" spans="2:8" x14ac:dyDescent="0.2">
      <c r="B2182" s="3" t="s">
        <v>160</v>
      </c>
      <c r="C2182" s="3" t="s">
        <v>38</v>
      </c>
      <c r="D2182" s="3" t="str">
        <f>VLOOKUP(C2182,Countries!$B$3:$C$140,2,FALSE)</f>
        <v>Europe</v>
      </c>
      <c r="E2182" s="3" t="s">
        <v>57</v>
      </c>
      <c r="F2182" s="3" t="str">
        <f>VLOOKUP(E2182,Countries!$B$3:$C$140,2,FALSE)</f>
        <v>Europe/Asia</v>
      </c>
      <c r="G2182" s="4">
        <v>4</v>
      </c>
      <c r="H2182" s="4">
        <v>0</v>
      </c>
    </row>
    <row r="2183" spans="2:8" x14ac:dyDescent="0.2">
      <c r="B2183" s="3" t="s">
        <v>160</v>
      </c>
      <c r="C2183" s="3" t="s">
        <v>38</v>
      </c>
      <c r="D2183" s="3" t="str">
        <f>VLOOKUP(C2183,Countries!$B$3:$C$140,2,FALSE)</f>
        <v>Europe</v>
      </c>
      <c r="E2183" s="3" t="s">
        <v>87</v>
      </c>
      <c r="F2183" s="3" t="str">
        <f>VLOOKUP(E2183,Countries!$B$3:$C$140,2,FALSE)</f>
        <v>Asia</v>
      </c>
      <c r="G2183" s="4">
        <v>2</v>
      </c>
      <c r="H2183" s="4">
        <v>0</v>
      </c>
    </row>
    <row r="2184" spans="2:8" x14ac:dyDescent="0.2">
      <c r="B2184" s="3" t="s">
        <v>160</v>
      </c>
      <c r="C2184" s="3" t="s">
        <v>73</v>
      </c>
      <c r="D2184" s="3" t="str">
        <f>VLOOKUP(C2184,Countries!$B$3:$C$140,2,FALSE)</f>
        <v>Europe</v>
      </c>
      <c r="E2184" s="3" t="s">
        <v>113</v>
      </c>
      <c r="F2184" s="3" t="str">
        <f>VLOOKUP(E2184,Countries!$B$3:$C$140,2,FALSE)</f>
        <v>Africa</v>
      </c>
      <c r="G2184" s="4">
        <v>4</v>
      </c>
      <c r="H2184" s="4">
        <v>0</v>
      </c>
    </row>
    <row r="2185" spans="2:8" x14ac:dyDescent="0.2">
      <c r="B2185" s="3" t="s">
        <v>160</v>
      </c>
      <c r="C2185" s="3" t="s">
        <v>73</v>
      </c>
      <c r="D2185" s="3" t="str">
        <f>VLOOKUP(C2185,Countries!$B$3:$C$140,2,FALSE)</f>
        <v>Europe</v>
      </c>
      <c r="E2185" s="3" t="s">
        <v>35</v>
      </c>
      <c r="F2185" s="3" t="str">
        <f>VLOOKUP(E2185,Countries!$B$3:$C$140,2,FALSE)</f>
        <v>Europe</v>
      </c>
      <c r="G2185" s="4">
        <v>12</v>
      </c>
      <c r="H2185" s="4">
        <v>0</v>
      </c>
    </row>
    <row r="2186" spans="2:8" x14ac:dyDescent="0.2">
      <c r="B2186" s="3" t="s">
        <v>160</v>
      </c>
      <c r="C2186" s="3" t="s">
        <v>73</v>
      </c>
      <c r="D2186" s="3" t="str">
        <f>VLOOKUP(C2186,Countries!$B$3:$C$140,2,FALSE)</f>
        <v>Europe</v>
      </c>
      <c r="E2186" s="3" t="s">
        <v>6</v>
      </c>
      <c r="F2186" s="3" t="str">
        <f>VLOOKUP(E2186,Countries!$B$3:$C$140,2,FALSE)</f>
        <v>Europe</v>
      </c>
      <c r="G2186" s="4">
        <v>2</v>
      </c>
      <c r="H2186" s="4">
        <v>0</v>
      </c>
    </row>
    <row r="2187" spans="2:8" x14ac:dyDescent="0.2">
      <c r="B2187" s="3" t="s">
        <v>160</v>
      </c>
      <c r="C2187" s="3" t="s">
        <v>73</v>
      </c>
      <c r="D2187" s="3" t="str">
        <f>VLOOKUP(C2187,Countries!$B$3:$C$140,2,FALSE)</f>
        <v>Europe</v>
      </c>
      <c r="E2187" s="3" t="s">
        <v>7</v>
      </c>
      <c r="F2187" s="3" t="str">
        <f>VLOOKUP(E2187,Countries!$B$3:$C$140,2,FALSE)</f>
        <v>South America</v>
      </c>
      <c r="G2187" s="4">
        <v>10</v>
      </c>
      <c r="H2187" s="4">
        <v>0</v>
      </c>
    </row>
    <row r="2188" spans="2:8" x14ac:dyDescent="0.2">
      <c r="B2188" s="3" t="s">
        <v>160</v>
      </c>
      <c r="C2188" s="3" t="s">
        <v>73</v>
      </c>
      <c r="D2188" s="3" t="str">
        <f>VLOOKUP(C2188,Countries!$B$3:$C$140,2,FALSE)</f>
        <v>Europe</v>
      </c>
      <c r="E2188" s="3" t="s">
        <v>36</v>
      </c>
      <c r="F2188" s="3" t="str">
        <f>VLOOKUP(E2188,Countries!$B$3:$C$140,2,FALSE)</f>
        <v>Europe</v>
      </c>
      <c r="G2188" s="4">
        <v>2</v>
      </c>
      <c r="H2188" s="4">
        <v>0</v>
      </c>
    </row>
    <row r="2189" spans="2:8" x14ac:dyDescent="0.2">
      <c r="B2189" s="3" t="s">
        <v>160</v>
      </c>
      <c r="C2189" s="3" t="s">
        <v>73</v>
      </c>
      <c r="D2189" s="3" t="str">
        <f>VLOOKUP(C2189,Countries!$B$3:$C$140,2,FALSE)</f>
        <v>Europe</v>
      </c>
      <c r="E2189" s="3" t="s">
        <v>8</v>
      </c>
      <c r="F2189" s="3" t="str">
        <f>VLOOKUP(E2189,Countries!$B$3:$C$140,2,FALSE)</f>
        <v>North America</v>
      </c>
      <c r="G2189" s="4">
        <v>4</v>
      </c>
      <c r="H2189" s="4">
        <v>0</v>
      </c>
    </row>
    <row r="2190" spans="2:8" x14ac:dyDescent="0.2">
      <c r="B2190" s="3" t="s">
        <v>160</v>
      </c>
      <c r="C2190" s="3" t="s">
        <v>73</v>
      </c>
      <c r="D2190" s="3" t="str">
        <f>VLOOKUP(C2190,Countries!$B$3:$C$140,2,FALSE)</f>
        <v>Europe</v>
      </c>
      <c r="E2190" s="3" t="s">
        <v>10</v>
      </c>
      <c r="F2190" s="3" t="str">
        <f>VLOOKUP(E2190,Countries!$B$3:$C$140,2,FALSE)</f>
        <v>Europe</v>
      </c>
      <c r="G2190" s="4">
        <v>2</v>
      </c>
      <c r="H2190" s="4">
        <v>0</v>
      </c>
    </row>
    <row r="2191" spans="2:8" x14ac:dyDescent="0.2">
      <c r="B2191" s="3" t="s">
        <v>160</v>
      </c>
      <c r="C2191" s="3" t="s">
        <v>73</v>
      </c>
      <c r="D2191" s="3" t="str">
        <f>VLOOKUP(C2191,Countries!$B$3:$C$140,2,FALSE)</f>
        <v>Europe</v>
      </c>
      <c r="E2191" s="3" t="s">
        <v>50</v>
      </c>
      <c r="F2191" s="3" t="str">
        <f>VLOOKUP(E2191,Countries!$B$3:$C$140,2,FALSE)</f>
        <v>Europe</v>
      </c>
      <c r="G2191" s="4">
        <v>20</v>
      </c>
      <c r="H2191" s="4">
        <v>23954.3373708</v>
      </c>
    </row>
    <row r="2192" spans="2:8" x14ac:dyDescent="0.2">
      <c r="B2192" s="3" t="s">
        <v>160</v>
      </c>
      <c r="C2192" s="3" t="s">
        <v>73</v>
      </c>
      <c r="D2192" s="3" t="str">
        <f>VLOOKUP(C2192,Countries!$B$3:$C$140,2,FALSE)</f>
        <v>Europe</v>
      </c>
      <c r="E2192" s="3" t="s">
        <v>11</v>
      </c>
      <c r="F2192" s="3" t="str">
        <f>VLOOKUP(E2192,Countries!$B$3:$C$140,2,FALSE)</f>
        <v>Europe</v>
      </c>
      <c r="G2192" s="4">
        <v>4</v>
      </c>
      <c r="H2192" s="4">
        <v>0</v>
      </c>
    </row>
    <row r="2193" spans="2:8" x14ac:dyDescent="0.2">
      <c r="B2193" s="3" t="s">
        <v>160</v>
      </c>
      <c r="C2193" s="3" t="s">
        <v>73</v>
      </c>
      <c r="D2193" s="3" t="str">
        <f>VLOOKUP(C2193,Countries!$B$3:$C$140,2,FALSE)</f>
        <v>Europe</v>
      </c>
      <c r="E2193" s="3" t="s">
        <v>38</v>
      </c>
      <c r="F2193" s="3" t="str">
        <f>VLOOKUP(E2193,Countries!$B$3:$C$140,2,FALSE)</f>
        <v>Europe</v>
      </c>
      <c r="G2193" s="4">
        <v>8</v>
      </c>
      <c r="H2193" s="4">
        <v>0</v>
      </c>
    </row>
    <row r="2194" spans="2:8" x14ac:dyDescent="0.2">
      <c r="B2194" s="3" t="s">
        <v>160</v>
      </c>
      <c r="C2194" s="3" t="s">
        <v>73</v>
      </c>
      <c r="D2194" s="3" t="str">
        <f>VLOOKUP(C2194,Countries!$B$3:$C$140,2,FALSE)</f>
        <v>Europe</v>
      </c>
      <c r="E2194" s="3" t="s">
        <v>12</v>
      </c>
      <c r="F2194" s="3" t="str">
        <f>VLOOKUP(E2194,Countries!$B$3:$C$140,2,FALSE)</f>
        <v>Europe</v>
      </c>
      <c r="G2194" s="4">
        <v>4</v>
      </c>
      <c r="H2194" s="4">
        <v>0</v>
      </c>
    </row>
    <row r="2195" spans="2:8" x14ac:dyDescent="0.2">
      <c r="B2195" s="3" t="s">
        <v>160</v>
      </c>
      <c r="C2195" s="3" t="s">
        <v>73</v>
      </c>
      <c r="D2195" s="3" t="str">
        <f>VLOOKUP(C2195,Countries!$B$3:$C$140,2,FALSE)</f>
        <v>Europe</v>
      </c>
      <c r="E2195" s="3" t="s">
        <v>111</v>
      </c>
      <c r="F2195" s="3" t="str">
        <f>VLOOKUP(E2195,Countries!$B$3:$C$140,2,FALSE)</f>
        <v>Africa</v>
      </c>
      <c r="G2195" s="4">
        <v>6</v>
      </c>
      <c r="H2195" s="4">
        <v>0</v>
      </c>
    </row>
    <row r="2196" spans="2:8" x14ac:dyDescent="0.2">
      <c r="B2196" s="3" t="s">
        <v>160</v>
      </c>
      <c r="C2196" s="3" t="s">
        <v>73</v>
      </c>
      <c r="D2196" s="3" t="str">
        <f>VLOOKUP(C2196,Countries!$B$3:$C$140,2,FALSE)</f>
        <v>Europe</v>
      </c>
      <c r="E2196" s="3" t="s">
        <v>13</v>
      </c>
      <c r="F2196" s="3" t="str">
        <f>VLOOKUP(E2196,Countries!$B$3:$C$140,2,FALSE)</f>
        <v>Europe</v>
      </c>
      <c r="G2196" s="4">
        <v>10</v>
      </c>
      <c r="H2196" s="4">
        <v>0</v>
      </c>
    </row>
    <row r="2197" spans="2:8" x14ac:dyDescent="0.2">
      <c r="B2197" s="3" t="s">
        <v>160</v>
      </c>
      <c r="C2197" s="3" t="s">
        <v>73</v>
      </c>
      <c r="D2197" s="3" t="str">
        <f>VLOOKUP(C2197,Countries!$B$3:$C$140,2,FALSE)</f>
        <v>Europe</v>
      </c>
      <c r="E2197" s="3" t="s">
        <v>64</v>
      </c>
      <c r="F2197" s="3" t="str">
        <f>VLOOKUP(E2197,Countries!$B$3:$C$140,2,FALSE)</f>
        <v>Africa</v>
      </c>
      <c r="G2197" s="4">
        <v>4</v>
      </c>
      <c r="H2197" s="4">
        <v>0</v>
      </c>
    </row>
    <row r="2198" spans="2:8" x14ac:dyDescent="0.2">
      <c r="B2198" s="3" t="s">
        <v>160</v>
      </c>
      <c r="C2198" s="3" t="s">
        <v>73</v>
      </c>
      <c r="D2198" s="3" t="str">
        <f>VLOOKUP(C2198,Countries!$B$3:$C$140,2,FALSE)</f>
        <v>Europe</v>
      </c>
      <c r="E2198" s="3" t="s">
        <v>15</v>
      </c>
      <c r="F2198" s="3" t="str">
        <f>VLOOKUP(E2198,Countries!$B$3:$C$140,2,FALSE)</f>
        <v>Europe</v>
      </c>
      <c r="G2198" s="4">
        <v>2</v>
      </c>
      <c r="H2198" s="4">
        <v>0</v>
      </c>
    </row>
    <row r="2199" spans="2:8" x14ac:dyDescent="0.2">
      <c r="B2199" s="3" t="s">
        <v>160</v>
      </c>
      <c r="C2199" s="3" t="s">
        <v>73</v>
      </c>
      <c r="D2199" s="3" t="str">
        <f>VLOOKUP(C2199,Countries!$B$3:$C$140,2,FALSE)</f>
        <v>Europe</v>
      </c>
      <c r="E2199" s="3" t="s">
        <v>51</v>
      </c>
      <c r="F2199" s="3" t="str">
        <f>VLOOKUP(E2199,Countries!$B$3:$C$140,2,FALSE)</f>
        <v>Asia</v>
      </c>
      <c r="G2199" s="4">
        <v>2</v>
      </c>
      <c r="H2199" s="4">
        <v>0</v>
      </c>
    </row>
    <row r="2200" spans="2:8" x14ac:dyDescent="0.2">
      <c r="B2200" s="3" t="s">
        <v>160</v>
      </c>
      <c r="C2200" s="3" t="s">
        <v>73</v>
      </c>
      <c r="D2200" s="3" t="str">
        <f>VLOOKUP(C2200,Countries!$B$3:$C$140,2,FALSE)</f>
        <v>Europe</v>
      </c>
      <c r="E2200" s="3" t="s">
        <v>17</v>
      </c>
      <c r="F2200" s="3" t="str">
        <f>VLOOKUP(E2200,Countries!$B$3:$C$140,2,FALSE)</f>
        <v>Europe</v>
      </c>
      <c r="G2200" s="4">
        <v>2</v>
      </c>
      <c r="H2200" s="4">
        <v>0</v>
      </c>
    </row>
    <row r="2201" spans="2:8" x14ac:dyDescent="0.2">
      <c r="B2201" s="3" t="s">
        <v>160</v>
      </c>
      <c r="C2201" s="3" t="s">
        <v>73</v>
      </c>
      <c r="D2201" s="3" t="str">
        <f>VLOOKUP(C2201,Countries!$B$3:$C$140,2,FALSE)</f>
        <v>Europe</v>
      </c>
      <c r="E2201" s="3" t="s">
        <v>102</v>
      </c>
      <c r="F2201" s="3" t="str">
        <f>VLOOKUP(E2201,Countries!$B$3:$C$140,2,FALSE)</f>
        <v>North America</v>
      </c>
      <c r="G2201" s="4">
        <v>8</v>
      </c>
      <c r="H2201" s="4">
        <v>0</v>
      </c>
    </row>
    <row r="2202" spans="2:8" x14ac:dyDescent="0.2">
      <c r="B2202" s="3" t="s">
        <v>160</v>
      </c>
      <c r="C2202" s="3" t="s">
        <v>73</v>
      </c>
      <c r="D2202" s="3" t="str">
        <f>VLOOKUP(C2202,Countries!$B$3:$C$140,2,FALSE)</f>
        <v>Europe</v>
      </c>
      <c r="E2202" s="3" t="s">
        <v>20</v>
      </c>
      <c r="F2202" s="3" t="str">
        <f>VLOOKUP(E2202,Countries!$B$3:$C$140,2,FALSE)</f>
        <v>Europe</v>
      </c>
      <c r="G2202" s="4">
        <v>4</v>
      </c>
      <c r="H2202" s="4">
        <v>0</v>
      </c>
    </row>
    <row r="2203" spans="2:8" x14ac:dyDescent="0.2">
      <c r="B2203" s="3" t="s">
        <v>160</v>
      </c>
      <c r="C2203" s="3" t="s">
        <v>73</v>
      </c>
      <c r="D2203" s="3" t="str">
        <f>VLOOKUP(C2203,Countries!$B$3:$C$140,2,FALSE)</f>
        <v>Europe</v>
      </c>
      <c r="E2203" s="3" t="s">
        <v>42</v>
      </c>
      <c r="F2203" s="3" t="str">
        <f>VLOOKUP(E2203,Countries!$B$3:$C$140,2,FALSE)</f>
        <v>Africa</v>
      </c>
      <c r="G2203" s="4">
        <v>2</v>
      </c>
      <c r="H2203" s="4">
        <v>0</v>
      </c>
    </row>
    <row r="2204" spans="2:8" x14ac:dyDescent="0.2">
      <c r="B2204" s="3" t="s">
        <v>160</v>
      </c>
      <c r="C2204" s="3" t="s">
        <v>73</v>
      </c>
      <c r="D2204" s="3" t="str">
        <f>VLOOKUP(C2204,Countries!$B$3:$C$140,2,FALSE)</f>
        <v>Europe</v>
      </c>
      <c r="E2204" s="3" t="s">
        <v>131</v>
      </c>
      <c r="F2204" s="3" t="str">
        <f>VLOOKUP(E2204,Countries!$B$3:$C$140,2,FALSE)</f>
        <v>Asia</v>
      </c>
      <c r="G2204" s="4">
        <v>4</v>
      </c>
      <c r="H2204" s="4">
        <v>0</v>
      </c>
    </row>
    <row r="2205" spans="2:8" x14ac:dyDescent="0.2">
      <c r="B2205" s="3" t="s">
        <v>160</v>
      </c>
      <c r="C2205" s="3" t="s">
        <v>73</v>
      </c>
      <c r="D2205" s="3" t="str">
        <f>VLOOKUP(C2205,Countries!$B$3:$C$140,2,FALSE)</f>
        <v>Europe</v>
      </c>
      <c r="E2205" s="3" t="s">
        <v>43</v>
      </c>
      <c r="F2205" s="3" t="str">
        <f>VLOOKUP(E2205,Countries!$B$3:$C$140,2,FALSE)</f>
        <v>Europe</v>
      </c>
      <c r="G2205" s="4">
        <v>4</v>
      </c>
      <c r="H2205" s="4">
        <v>0</v>
      </c>
    </row>
    <row r="2206" spans="2:8" x14ac:dyDescent="0.2">
      <c r="B2206" s="3" t="s">
        <v>160</v>
      </c>
      <c r="C2206" s="3" t="s">
        <v>73</v>
      </c>
      <c r="D2206" s="3" t="str">
        <f>VLOOKUP(C2206,Countries!$B$3:$C$140,2,FALSE)</f>
        <v>Europe</v>
      </c>
      <c r="E2206" s="3" t="s">
        <v>53</v>
      </c>
      <c r="F2206" s="3" t="str">
        <f>VLOOKUP(E2206,Countries!$B$3:$C$140,2,FALSE)</f>
        <v>Europe</v>
      </c>
      <c r="G2206" s="4">
        <v>10</v>
      </c>
      <c r="H2206" s="4">
        <v>0</v>
      </c>
    </row>
    <row r="2207" spans="2:8" x14ac:dyDescent="0.2">
      <c r="B2207" s="3" t="s">
        <v>160</v>
      </c>
      <c r="C2207" s="3" t="s">
        <v>73</v>
      </c>
      <c r="D2207" s="3" t="str">
        <f>VLOOKUP(C2207,Countries!$B$3:$C$140,2,FALSE)</f>
        <v>Europe</v>
      </c>
      <c r="E2207" s="3" t="s">
        <v>24</v>
      </c>
      <c r="F2207" s="3" t="str">
        <f>VLOOKUP(E2207,Countries!$B$3:$C$140,2,FALSE)</f>
        <v>Africa</v>
      </c>
      <c r="G2207" s="4">
        <v>10</v>
      </c>
      <c r="H2207" s="4">
        <v>0</v>
      </c>
    </row>
    <row r="2208" spans="2:8" x14ac:dyDescent="0.2">
      <c r="B2208" s="3" t="s">
        <v>160</v>
      </c>
      <c r="C2208" s="3" t="s">
        <v>73</v>
      </c>
      <c r="D2208" s="3" t="str">
        <f>VLOOKUP(C2208,Countries!$B$3:$C$140,2,FALSE)</f>
        <v>Europe</v>
      </c>
      <c r="E2208" s="3" t="s">
        <v>44</v>
      </c>
      <c r="F2208" s="3" t="str">
        <f>VLOOKUP(E2208,Countries!$B$3:$C$140,2,FALSE)</f>
        <v>Europe</v>
      </c>
      <c r="G2208" s="4">
        <v>12</v>
      </c>
      <c r="H2208" s="4">
        <v>0</v>
      </c>
    </row>
    <row r="2209" spans="2:8" x14ac:dyDescent="0.2">
      <c r="B2209" s="3" t="s">
        <v>160</v>
      </c>
      <c r="C2209" s="3" t="s">
        <v>73</v>
      </c>
      <c r="D2209" s="3" t="str">
        <f>VLOOKUP(C2209,Countries!$B$3:$C$140,2,FALSE)</f>
        <v>Europe</v>
      </c>
      <c r="E2209" s="3" t="s">
        <v>79</v>
      </c>
      <c r="F2209" s="3" t="str">
        <f>VLOOKUP(E2209,Countries!$B$3:$C$140,2,FALSE)</f>
        <v>South America</v>
      </c>
      <c r="G2209" s="4">
        <v>2</v>
      </c>
      <c r="H2209" s="4">
        <v>0</v>
      </c>
    </row>
    <row r="2210" spans="2:8" x14ac:dyDescent="0.2">
      <c r="B2210" s="3" t="s">
        <v>160</v>
      </c>
      <c r="C2210" s="3" t="s">
        <v>73</v>
      </c>
      <c r="D2210" s="3" t="str">
        <f>VLOOKUP(C2210,Countries!$B$3:$C$140,2,FALSE)</f>
        <v>Europe</v>
      </c>
      <c r="E2210" s="3" t="s">
        <v>25</v>
      </c>
      <c r="F2210" s="3" t="str">
        <f>VLOOKUP(E2210,Countries!$B$3:$C$140,2,FALSE)</f>
        <v>Europe</v>
      </c>
      <c r="G2210" s="4">
        <v>4</v>
      </c>
      <c r="H2210" s="4">
        <v>0</v>
      </c>
    </row>
    <row r="2211" spans="2:8" x14ac:dyDescent="0.2">
      <c r="B2211" s="3" t="s">
        <v>160</v>
      </c>
      <c r="C2211" s="3" t="s">
        <v>73</v>
      </c>
      <c r="D2211" s="3" t="str">
        <f>VLOOKUP(C2211,Countries!$B$3:$C$140,2,FALSE)</f>
        <v>Europe</v>
      </c>
      <c r="E2211" s="3" t="s">
        <v>46</v>
      </c>
      <c r="F2211" s="3" t="str">
        <f>VLOOKUP(E2211,Countries!$B$3:$C$140,2,FALSE)</f>
        <v>Europe/Asia</v>
      </c>
      <c r="G2211" s="4">
        <v>4</v>
      </c>
      <c r="H2211" s="4">
        <v>0</v>
      </c>
    </row>
    <row r="2212" spans="2:8" x14ac:dyDescent="0.2">
      <c r="B2212" s="3" t="s">
        <v>160</v>
      </c>
      <c r="C2212" s="3" t="s">
        <v>73</v>
      </c>
      <c r="D2212" s="3" t="str">
        <f>VLOOKUP(C2212,Countries!$B$3:$C$140,2,FALSE)</f>
        <v>Europe</v>
      </c>
      <c r="E2212" s="3" t="s">
        <v>28</v>
      </c>
      <c r="F2212" s="3" t="str">
        <f>VLOOKUP(E2212,Countries!$B$3:$C$140,2,FALSE)</f>
        <v>Europe</v>
      </c>
      <c r="G2212" s="4">
        <v>8</v>
      </c>
      <c r="H2212" s="4">
        <v>0</v>
      </c>
    </row>
    <row r="2213" spans="2:8" x14ac:dyDescent="0.2">
      <c r="B2213" s="3" t="s">
        <v>160</v>
      </c>
      <c r="C2213" s="3" t="s">
        <v>73</v>
      </c>
      <c r="D2213" s="3" t="str">
        <f>VLOOKUP(C2213,Countries!$B$3:$C$140,2,FALSE)</f>
        <v>Europe</v>
      </c>
      <c r="E2213" s="3" t="s">
        <v>29</v>
      </c>
      <c r="F2213" s="3" t="str">
        <f>VLOOKUP(E2213,Countries!$B$3:$C$140,2,FALSE)</f>
        <v>Europe</v>
      </c>
      <c r="G2213" s="4">
        <v>4</v>
      </c>
      <c r="H2213" s="4">
        <v>0</v>
      </c>
    </row>
    <row r="2214" spans="2:8" x14ac:dyDescent="0.2">
      <c r="B2214" s="3" t="s">
        <v>160</v>
      </c>
      <c r="C2214" s="3" t="s">
        <v>73</v>
      </c>
      <c r="D2214" s="3" t="str">
        <f>VLOOKUP(C2214,Countries!$B$3:$C$140,2,FALSE)</f>
        <v>Europe</v>
      </c>
      <c r="E2214" s="3" t="s">
        <v>31</v>
      </c>
      <c r="F2214" s="3" t="str">
        <f>VLOOKUP(E2214,Countries!$B$3:$C$140,2,FALSE)</f>
        <v>Europe</v>
      </c>
      <c r="G2214" s="4">
        <v>24</v>
      </c>
      <c r="H2214" s="4">
        <v>28353.570146040001</v>
      </c>
    </row>
    <row r="2215" spans="2:8" x14ac:dyDescent="0.2">
      <c r="B2215" s="3" t="s">
        <v>160</v>
      </c>
      <c r="C2215" s="3" t="s">
        <v>73</v>
      </c>
      <c r="D2215" s="3" t="str">
        <f>VLOOKUP(C2215,Countries!$B$3:$C$140,2,FALSE)</f>
        <v>Europe</v>
      </c>
      <c r="E2215" s="3" t="s">
        <v>112</v>
      </c>
      <c r="F2215" s="3" t="str">
        <f>VLOOKUP(E2215,Countries!$B$3:$C$140,2,FALSE)</f>
        <v>Asia</v>
      </c>
      <c r="G2215" s="4">
        <v>6</v>
      </c>
      <c r="H2215" s="4">
        <v>0</v>
      </c>
    </row>
    <row r="2216" spans="2:8" x14ac:dyDescent="0.2">
      <c r="B2216" s="3" t="s">
        <v>160</v>
      </c>
      <c r="C2216" s="3" t="s">
        <v>73</v>
      </c>
      <c r="D2216" s="3" t="str">
        <f>VLOOKUP(C2216,Countries!$B$3:$C$140,2,FALSE)</f>
        <v>Europe</v>
      </c>
      <c r="E2216" s="3" t="s">
        <v>84</v>
      </c>
      <c r="F2216" s="3" t="str">
        <f>VLOOKUP(E2216,Countries!$B$3:$C$140,2,FALSE)</f>
        <v>North America</v>
      </c>
      <c r="G2216" s="4">
        <v>10</v>
      </c>
      <c r="H2216" s="4">
        <v>0</v>
      </c>
    </row>
    <row r="2217" spans="2:8" x14ac:dyDescent="0.2">
      <c r="B2217" s="3" t="s">
        <v>160</v>
      </c>
      <c r="C2217" s="3" t="s">
        <v>73</v>
      </c>
      <c r="D2217" s="3" t="str">
        <f>VLOOKUP(C2217,Countries!$B$3:$C$140,2,FALSE)</f>
        <v>Europe</v>
      </c>
      <c r="E2217" s="3" t="s">
        <v>57</v>
      </c>
      <c r="F2217" s="3" t="str">
        <f>VLOOKUP(E2217,Countries!$B$3:$C$140,2,FALSE)</f>
        <v>Europe/Asia</v>
      </c>
      <c r="G2217" s="4">
        <v>2</v>
      </c>
      <c r="H2217" s="4">
        <v>0</v>
      </c>
    </row>
    <row r="2218" spans="2:8" x14ac:dyDescent="0.2">
      <c r="B2218" s="3" t="s">
        <v>160</v>
      </c>
      <c r="C2218" s="3" t="s">
        <v>73</v>
      </c>
      <c r="D2218" s="3" t="str">
        <f>VLOOKUP(C2218,Countries!$B$3:$C$140,2,FALSE)</f>
        <v>Europe</v>
      </c>
      <c r="E2218" s="3" t="s">
        <v>33</v>
      </c>
      <c r="F2218" s="3" t="str">
        <f>VLOOKUP(E2218,Countries!$B$3:$C$140,2,FALSE)</f>
        <v>North America</v>
      </c>
      <c r="G2218" s="4">
        <v>20</v>
      </c>
      <c r="H2218" s="4">
        <v>0</v>
      </c>
    </row>
    <row r="2219" spans="2:8" x14ac:dyDescent="0.2">
      <c r="B2219" s="3" t="s">
        <v>160</v>
      </c>
      <c r="C2219" s="3" t="s">
        <v>12</v>
      </c>
      <c r="D2219" s="3" t="str">
        <f>VLOOKUP(C2219,Countries!$B$3:$C$140,2,FALSE)</f>
        <v>Europe</v>
      </c>
      <c r="E2219" s="3" t="s">
        <v>113</v>
      </c>
      <c r="F2219" s="3" t="str">
        <f>VLOOKUP(E2219,Countries!$B$3:$C$140,2,FALSE)</f>
        <v>Africa</v>
      </c>
      <c r="G2219" s="4">
        <v>6</v>
      </c>
      <c r="H2219" s="4">
        <v>0</v>
      </c>
    </row>
    <row r="2220" spans="2:8" x14ac:dyDescent="0.2">
      <c r="B2220" s="3" t="s">
        <v>160</v>
      </c>
      <c r="C2220" s="3" t="s">
        <v>12</v>
      </c>
      <c r="D2220" s="3" t="str">
        <f>VLOOKUP(C2220,Countries!$B$3:$C$140,2,FALSE)</f>
        <v>Europe</v>
      </c>
      <c r="E2220" s="3" t="s">
        <v>69</v>
      </c>
      <c r="F2220" s="3" t="str">
        <f>VLOOKUP(E2220,Countries!$B$3:$C$140,2,FALSE)</f>
        <v>South America</v>
      </c>
      <c r="G2220" s="4">
        <v>8</v>
      </c>
      <c r="H2220" s="4">
        <v>45019735.200000003</v>
      </c>
    </row>
    <row r="2221" spans="2:8" x14ac:dyDescent="0.2">
      <c r="B2221" s="3" t="s">
        <v>160</v>
      </c>
      <c r="C2221" s="3" t="s">
        <v>12</v>
      </c>
      <c r="D2221" s="3" t="str">
        <f>VLOOKUP(C2221,Countries!$B$3:$C$140,2,FALSE)</f>
        <v>Europe</v>
      </c>
      <c r="E2221" s="3" t="s">
        <v>35</v>
      </c>
      <c r="F2221" s="3" t="str">
        <f>VLOOKUP(E2221,Countries!$B$3:$C$140,2,FALSE)</f>
        <v>Europe</v>
      </c>
      <c r="G2221" s="4">
        <v>38</v>
      </c>
      <c r="H2221" s="4">
        <v>5125505.3002770003</v>
      </c>
    </row>
    <row r="2222" spans="2:8" x14ac:dyDescent="0.2">
      <c r="B2222" s="3" t="s">
        <v>160</v>
      </c>
      <c r="C2222" s="3" t="s">
        <v>12</v>
      </c>
      <c r="D2222" s="3" t="str">
        <f>VLOOKUP(C2222,Countries!$B$3:$C$140,2,FALSE)</f>
        <v>Europe</v>
      </c>
      <c r="E2222" s="3" t="s">
        <v>70</v>
      </c>
      <c r="F2222" s="3" t="str">
        <f>VLOOKUP(E2222,Countries!$B$3:$C$140,2,FALSE)</f>
        <v>Africa</v>
      </c>
      <c r="G2222" s="4">
        <v>2</v>
      </c>
      <c r="H2222" s="4">
        <v>504478.86813749996</v>
      </c>
    </row>
    <row r="2223" spans="2:8" x14ac:dyDescent="0.2">
      <c r="B2223" s="3" t="s">
        <v>160</v>
      </c>
      <c r="C2223" s="3" t="s">
        <v>12</v>
      </c>
      <c r="D2223" s="3" t="str">
        <f>VLOOKUP(C2223,Countries!$B$3:$C$140,2,FALSE)</f>
        <v>Europe</v>
      </c>
      <c r="E2223" s="3" t="s">
        <v>7</v>
      </c>
      <c r="F2223" s="3" t="str">
        <f>VLOOKUP(E2223,Countries!$B$3:$C$140,2,FALSE)</f>
        <v>South America</v>
      </c>
      <c r="G2223" s="4">
        <v>8</v>
      </c>
      <c r="H2223" s="4">
        <v>182990730.63929999</v>
      </c>
    </row>
    <row r="2224" spans="2:8" x14ac:dyDescent="0.2">
      <c r="B2224" s="3" t="s">
        <v>160</v>
      </c>
      <c r="C2224" s="3" t="s">
        <v>12</v>
      </c>
      <c r="D2224" s="3" t="str">
        <f>VLOOKUP(C2224,Countries!$B$3:$C$140,2,FALSE)</f>
        <v>Europe</v>
      </c>
      <c r="E2224" s="3" t="s">
        <v>36</v>
      </c>
      <c r="F2224" s="3" t="str">
        <f>VLOOKUP(E2224,Countries!$B$3:$C$140,2,FALSE)</f>
        <v>Europe</v>
      </c>
      <c r="G2224" s="4">
        <v>4</v>
      </c>
      <c r="H2224" s="4">
        <v>0</v>
      </c>
    </row>
    <row r="2225" spans="2:8" x14ac:dyDescent="0.2">
      <c r="B2225" s="3" t="s">
        <v>160</v>
      </c>
      <c r="C2225" s="3" t="s">
        <v>12</v>
      </c>
      <c r="D2225" s="3" t="str">
        <f>VLOOKUP(C2225,Countries!$B$3:$C$140,2,FALSE)</f>
        <v>Europe</v>
      </c>
      <c r="E2225" s="3" t="s">
        <v>8</v>
      </c>
      <c r="F2225" s="3" t="str">
        <f>VLOOKUP(E2225,Countries!$B$3:$C$140,2,FALSE)</f>
        <v>North America</v>
      </c>
      <c r="G2225" s="4">
        <v>4</v>
      </c>
      <c r="H2225" s="4">
        <v>0</v>
      </c>
    </row>
    <row r="2226" spans="2:8" x14ac:dyDescent="0.2">
      <c r="B2226" s="3" t="s">
        <v>160</v>
      </c>
      <c r="C2226" s="3" t="s">
        <v>12</v>
      </c>
      <c r="D2226" s="3" t="str">
        <f>VLOOKUP(C2226,Countries!$B$3:$C$140,2,FALSE)</f>
        <v>Europe</v>
      </c>
      <c r="E2226" s="3" t="s">
        <v>88</v>
      </c>
      <c r="F2226" s="3" t="str">
        <f>VLOOKUP(E2226,Countries!$B$3:$C$140,2,FALSE)</f>
        <v>South America</v>
      </c>
      <c r="G2226" s="4">
        <v>6</v>
      </c>
      <c r="H2226" s="4">
        <v>11172332.378040001</v>
      </c>
    </row>
    <row r="2227" spans="2:8" x14ac:dyDescent="0.2">
      <c r="B2227" s="3" t="s">
        <v>160</v>
      </c>
      <c r="C2227" s="3" t="s">
        <v>12</v>
      </c>
      <c r="D2227" s="3" t="str">
        <f>VLOOKUP(C2227,Countries!$B$3:$C$140,2,FALSE)</f>
        <v>Europe</v>
      </c>
      <c r="E2227" s="3" t="s">
        <v>37</v>
      </c>
      <c r="F2227" s="3" t="str">
        <f>VLOOKUP(E2227,Countries!$B$3:$C$140,2,FALSE)</f>
        <v>Africa</v>
      </c>
      <c r="G2227" s="4">
        <v>2</v>
      </c>
      <c r="H2227" s="4">
        <v>201791.54725499998</v>
      </c>
    </row>
    <row r="2228" spans="2:8" x14ac:dyDescent="0.2">
      <c r="B2228" s="3" t="s">
        <v>160</v>
      </c>
      <c r="C2228" s="3" t="s">
        <v>12</v>
      </c>
      <c r="D2228" s="3" t="str">
        <f>VLOOKUP(C2228,Countries!$B$3:$C$140,2,FALSE)</f>
        <v>Europe</v>
      </c>
      <c r="E2228" s="3" t="s">
        <v>106</v>
      </c>
      <c r="F2228" s="3" t="str">
        <f>VLOOKUP(E2228,Countries!$B$3:$C$140,2,FALSE)</f>
        <v>Africa</v>
      </c>
      <c r="G2228" s="4">
        <v>2</v>
      </c>
      <c r="H2228" s="4">
        <v>1291465.902432</v>
      </c>
    </row>
    <row r="2229" spans="2:8" x14ac:dyDescent="0.2">
      <c r="B2229" s="3" t="s">
        <v>160</v>
      </c>
      <c r="C2229" s="3" t="s">
        <v>12</v>
      </c>
      <c r="D2229" s="3" t="str">
        <f>VLOOKUP(C2229,Countries!$B$3:$C$140,2,FALSE)</f>
        <v>Europe</v>
      </c>
      <c r="E2229" s="3" t="s">
        <v>71</v>
      </c>
      <c r="F2229" s="3" t="str">
        <f>VLOOKUP(E2229,Countries!$B$3:$C$140,2,FALSE)</f>
        <v>Africa</v>
      </c>
      <c r="G2229" s="4">
        <v>2</v>
      </c>
      <c r="H2229" s="4">
        <v>0</v>
      </c>
    </row>
    <row r="2230" spans="2:8" x14ac:dyDescent="0.2">
      <c r="B2230" s="3" t="s">
        <v>160</v>
      </c>
      <c r="C2230" s="3" t="s">
        <v>12</v>
      </c>
      <c r="D2230" s="3" t="str">
        <f>VLOOKUP(C2230,Countries!$B$3:$C$140,2,FALSE)</f>
        <v>Europe</v>
      </c>
      <c r="E2230" s="3" t="s">
        <v>9</v>
      </c>
      <c r="F2230" s="3" t="str">
        <f>VLOOKUP(E2230,Countries!$B$3:$C$140,2,FALSE)</f>
        <v>Europe</v>
      </c>
      <c r="G2230" s="4">
        <v>2</v>
      </c>
      <c r="H2230" s="4">
        <v>0</v>
      </c>
    </row>
    <row r="2231" spans="2:8" x14ac:dyDescent="0.2">
      <c r="B2231" s="3" t="s">
        <v>160</v>
      </c>
      <c r="C2231" s="3" t="s">
        <v>12</v>
      </c>
      <c r="D2231" s="3" t="str">
        <f>VLOOKUP(C2231,Countries!$B$3:$C$140,2,FALSE)</f>
        <v>Europe</v>
      </c>
      <c r="E2231" s="3" t="s">
        <v>62</v>
      </c>
      <c r="F2231" s="3" t="str">
        <f>VLOOKUP(E2231,Countries!$B$3:$C$140,2,FALSE)</f>
        <v>Asia</v>
      </c>
      <c r="G2231" s="4">
        <v>12</v>
      </c>
      <c r="H2231" s="4">
        <v>0</v>
      </c>
    </row>
    <row r="2232" spans="2:8" x14ac:dyDescent="0.2">
      <c r="B2232" s="3" t="s">
        <v>160</v>
      </c>
      <c r="C2232" s="3" t="s">
        <v>12</v>
      </c>
      <c r="D2232" s="3" t="str">
        <f>VLOOKUP(C2232,Countries!$B$3:$C$140,2,FALSE)</f>
        <v>Europe</v>
      </c>
      <c r="E2232" s="3" t="s">
        <v>10</v>
      </c>
      <c r="F2232" s="3" t="str">
        <f>VLOOKUP(E2232,Countries!$B$3:$C$140,2,FALSE)</f>
        <v>Europe</v>
      </c>
      <c r="G2232" s="4">
        <v>8</v>
      </c>
      <c r="H2232" s="4">
        <v>17838168.521669999</v>
      </c>
    </row>
    <row r="2233" spans="2:8" x14ac:dyDescent="0.2">
      <c r="B2233" s="3" t="s">
        <v>160</v>
      </c>
      <c r="C2233" s="3" t="s">
        <v>12</v>
      </c>
      <c r="D2233" s="3" t="str">
        <f>VLOOKUP(C2233,Countries!$B$3:$C$140,2,FALSE)</f>
        <v>Europe</v>
      </c>
      <c r="E2233" s="3" t="s">
        <v>50</v>
      </c>
      <c r="F2233" s="3" t="str">
        <f>VLOOKUP(E2233,Countries!$B$3:$C$140,2,FALSE)</f>
        <v>Europe</v>
      </c>
      <c r="G2233" s="4">
        <v>36</v>
      </c>
      <c r="H2233" s="4">
        <v>1202274.92295</v>
      </c>
    </row>
    <row r="2234" spans="2:8" x14ac:dyDescent="0.2">
      <c r="B2234" s="3" t="s">
        <v>160</v>
      </c>
      <c r="C2234" s="3" t="s">
        <v>12</v>
      </c>
      <c r="D2234" s="3" t="str">
        <f>VLOOKUP(C2234,Countries!$B$3:$C$140,2,FALSE)</f>
        <v>Europe</v>
      </c>
      <c r="E2234" s="3" t="s">
        <v>11</v>
      </c>
      <c r="F2234" s="3" t="str">
        <f>VLOOKUP(E2234,Countries!$B$3:$C$140,2,FALSE)</f>
        <v>Europe</v>
      </c>
      <c r="G2234" s="4">
        <v>22</v>
      </c>
      <c r="H2234" s="4">
        <v>0</v>
      </c>
    </row>
    <row r="2235" spans="2:8" x14ac:dyDescent="0.2">
      <c r="B2235" s="3" t="s">
        <v>160</v>
      </c>
      <c r="C2235" s="3" t="s">
        <v>12</v>
      </c>
      <c r="D2235" s="3" t="str">
        <f>VLOOKUP(C2235,Countries!$B$3:$C$140,2,FALSE)</f>
        <v>Europe</v>
      </c>
      <c r="E2235" s="3" t="s">
        <v>38</v>
      </c>
      <c r="F2235" s="3" t="str">
        <f>VLOOKUP(E2235,Countries!$B$3:$C$140,2,FALSE)</f>
        <v>Europe</v>
      </c>
      <c r="G2235" s="4">
        <v>2</v>
      </c>
      <c r="H2235" s="4">
        <v>0</v>
      </c>
    </row>
    <row r="2236" spans="2:8" x14ac:dyDescent="0.2">
      <c r="B2236" s="3" t="s">
        <v>160</v>
      </c>
      <c r="C2236" s="3" t="s">
        <v>12</v>
      </c>
      <c r="D2236" s="3" t="str">
        <f>VLOOKUP(C2236,Countries!$B$3:$C$140,2,FALSE)</f>
        <v>Europe</v>
      </c>
      <c r="E2236" s="3" t="s">
        <v>114</v>
      </c>
      <c r="F2236" s="3" t="str">
        <f>VLOOKUP(E2236,Countries!$B$3:$C$140,2,FALSE)</f>
        <v>Africa</v>
      </c>
      <c r="G2236" s="4">
        <v>8</v>
      </c>
      <c r="H2236" s="4">
        <v>0</v>
      </c>
    </row>
    <row r="2237" spans="2:8" x14ac:dyDescent="0.2">
      <c r="B2237" s="3" t="s">
        <v>160</v>
      </c>
      <c r="C2237" s="3" t="s">
        <v>12</v>
      </c>
      <c r="D2237" s="3" t="str">
        <f>VLOOKUP(C2237,Countries!$B$3:$C$140,2,FALSE)</f>
        <v>Europe</v>
      </c>
      <c r="E2237" s="3" t="s">
        <v>39</v>
      </c>
      <c r="F2237" s="3" t="str">
        <f>VLOOKUP(E2237,Countries!$B$3:$C$140,2,FALSE)</f>
        <v>Europe/Asia</v>
      </c>
      <c r="G2237" s="4">
        <v>2</v>
      </c>
      <c r="H2237" s="4">
        <v>0</v>
      </c>
    </row>
    <row r="2238" spans="2:8" x14ac:dyDescent="0.2">
      <c r="B2238" s="3" t="s">
        <v>160</v>
      </c>
      <c r="C2238" s="3" t="s">
        <v>12</v>
      </c>
      <c r="D2238" s="3" t="str">
        <f>VLOOKUP(C2238,Countries!$B$3:$C$140,2,FALSE)</f>
        <v>Europe</v>
      </c>
      <c r="E2238" s="3" t="s">
        <v>13</v>
      </c>
      <c r="F2238" s="3" t="str">
        <f>VLOOKUP(E2238,Countries!$B$3:$C$140,2,FALSE)</f>
        <v>Europe</v>
      </c>
      <c r="G2238" s="4">
        <v>22</v>
      </c>
      <c r="H2238" s="4">
        <v>807166.18901999993</v>
      </c>
    </row>
    <row r="2239" spans="2:8" x14ac:dyDescent="0.2">
      <c r="B2239" s="3" t="s">
        <v>160</v>
      </c>
      <c r="C2239" s="3" t="s">
        <v>12</v>
      </c>
      <c r="D2239" s="3" t="str">
        <f>VLOOKUP(C2239,Countries!$B$3:$C$140,2,FALSE)</f>
        <v>Europe</v>
      </c>
      <c r="E2239" s="3" t="s">
        <v>64</v>
      </c>
      <c r="F2239" s="3" t="str">
        <f>VLOOKUP(E2239,Countries!$B$3:$C$140,2,FALSE)</f>
        <v>Africa</v>
      </c>
      <c r="G2239" s="4">
        <v>6</v>
      </c>
      <c r="H2239" s="4">
        <v>1172124.7336889999</v>
      </c>
    </row>
    <row r="2240" spans="2:8" x14ac:dyDescent="0.2">
      <c r="B2240" s="3" t="s">
        <v>160</v>
      </c>
      <c r="C2240" s="3" t="s">
        <v>12</v>
      </c>
      <c r="D2240" s="3" t="str">
        <f>VLOOKUP(C2240,Countries!$B$3:$C$140,2,FALSE)</f>
        <v>Europe</v>
      </c>
      <c r="E2240" s="3" t="s">
        <v>14</v>
      </c>
      <c r="F2240" s="3" t="str">
        <f>VLOOKUP(E2240,Countries!$B$3:$C$140,2,FALSE)</f>
        <v>Europe</v>
      </c>
      <c r="G2240" s="4">
        <v>22</v>
      </c>
      <c r="H2240" s="4">
        <v>3834039.397845</v>
      </c>
    </row>
    <row r="2241" spans="2:8" x14ac:dyDescent="0.2">
      <c r="B2241" s="3" t="s">
        <v>160</v>
      </c>
      <c r="C2241" s="3" t="s">
        <v>12</v>
      </c>
      <c r="D2241" s="3" t="str">
        <f>VLOOKUP(C2241,Countries!$B$3:$C$140,2,FALSE)</f>
        <v>Europe</v>
      </c>
      <c r="E2241" s="3" t="s">
        <v>118</v>
      </c>
      <c r="F2241" s="3" t="str">
        <f>VLOOKUP(E2241,Countries!$B$3:$C$140,2,FALSE)</f>
        <v>Africa</v>
      </c>
      <c r="G2241" s="4">
        <v>4</v>
      </c>
      <c r="H2241" s="4">
        <v>442798.75477800006</v>
      </c>
    </row>
    <row r="2242" spans="2:8" x14ac:dyDescent="0.2">
      <c r="B2242" s="3" t="s">
        <v>160</v>
      </c>
      <c r="C2242" s="3" t="s">
        <v>12</v>
      </c>
      <c r="D2242" s="3" t="str">
        <f>VLOOKUP(C2242,Countries!$B$3:$C$140,2,FALSE)</f>
        <v>Europe</v>
      </c>
      <c r="E2242" s="3" t="s">
        <v>51</v>
      </c>
      <c r="F2242" s="3" t="str">
        <f>VLOOKUP(E2242,Countries!$B$3:$C$140,2,FALSE)</f>
        <v>Asia</v>
      </c>
      <c r="G2242" s="4">
        <v>4</v>
      </c>
      <c r="H2242" s="4">
        <v>1614332.3780399999</v>
      </c>
    </row>
    <row r="2243" spans="2:8" x14ac:dyDescent="0.2">
      <c r="B2243" s="3" t="s">
        <v>160</v>
      </c>
      <c r="C2243" s="3" t="s">
        <v>12</v>
      </c>
      <c r="D2243" s="3" t="str">
        <f>VLOOKUP(C2243,Countries!$B$3:$C$140,2,FALSE)</f>
        <v>Europe</v>
      </c>
      <c r="E2243" s="3" t="s">
        <v>17</v>
      </c>
      <c r="F2243" s="3" t="str">
        <f>VLOOKUP(E2243,Countries!$B$3:$C$140,2,FALSE)</f>
        <v>Europe</v>
      </c>
      <c r="G2243" s="4">
        <v>36</v>
      </c>
      <c r="H2243" s="4">
        <v>412790394.83401197</v>
      </c>
    </row>
    <row r="2244" spans="2:8" x14ac:dyDescent="0.2">
      <c r="B2244" s="3" t="s">
        <v>160</v>
      </c>
      <c r="C2244" s="3" t="s">
        <v>12</v>
      </c>
      <c r="D2244" s="3" t="str">
        <f>VLOOKUP(C2244,Countries!$B$3:$C$140,2,FALSE)</f>
        <v>Europe</v>
      </c>
      <c r="E2244" s="3" t="s">
        <v>19</v>
      </c>
      <c r="F2244" s="3" t="str">
        <f>VLOOKUP(E2244,Countries!$B$3:$C$140,2,FALSE)</f>
        <v>Asia</v>
      </c>
      <c r="G2244" s="4">
        <v>2</v>
      </c>
      <c r="H2244" s="4">
        <v>0</v>
      </c>
    </row>
    <row r="2245" spans="2:8" x14ac:dyDescent="0.2">
      <c r="B2245" s="3" t="s">
        <v>160</v>
      </c>
      <c r="C2245" s="3" t="s">
        <v>12</v>
      </c>
      <c r="D2245" s="3" t="str">
        <f>VLOOKUP(C2245,Countries!$B$3:$C$140,2,FALSE)</f>
        <v>Europe</v>
      </c>
      <c r="E2245" s="3" t="s">
        <v>76</v>
      </c>
      <c r="F2245" s="3" t="str">
        <f>VLOOKUP(E2245,Countries!$B$3:$C$140,2,FALSE)</f>
        <v>Africa</v>
      </c>
      <c r="G2245" s="4">
        <v>2</v>
      </c>
      <c r="H2245" s="4">
        <v>0</v>
      </c>
    </row>
    <row r="2246" spans="2:8" x14ac:dyDescent="0.2">
      <c r="B2246" s="3" t="s">
        <v>160</v>
      </c>
      <c r="C2246" s="3" t="s">
        <v>12</v>
      </c>
      <c r="D2246" s="3" t="str">
        <f>VLOOKUP(C2246,Countries!$B$3:$C$140,2,FALSE)</f>
        <v>Europe</v>
      </c>
      <c r="E2246" s="3" t="s">
        <v>42</v>
      </c>
      <c r="F2246" s="3" t="str">
        <f>VLOOKUP(E2246,Countries!$B$3:$C$140,2,FALSE)</f>
        <v>Africa</v>
      </c>
      <c r="G2246" s="4">
        <v>10</v>
      </c>
      <c r="H2246" s="4">
        <v>0</v>
      </c>
    </row>
    <row r="2247" spans="2:8" x14ac:dyDescent="0.2">
      <c r="B2247" s="3" t="s">
        <v>160</v>
      </c>
      <c r="C2247" s="3" t="s">
        <v>12</v>
      </c>
      <c r="D2247" s="3" t="str">
        <f>VLOOKUP(C2247,Countries!$B$3:$C$140,2,FALSE)</f>
        <v>Europe</v>
      </c>
      <c r="E2247" s="3" t="s">
        <v>94</v>
      </c>
      <c r="F2247" s="3" t="str">
        <f>VLOOKUP(E2247,Countries!$B$3:$C$140,2,FALSE)</f>
        <v>North America</v>
      </c>
      <c r="G2247" s="4">
        <v>2</v>
      </c>
      <c r="H2247" s="4">
        <v>0</v>
      </c>
    </row>
    <row r="2248" spans="2:8" x14ac:dyDescent="0.2">
      <c r="B2248" s="3" t="s">
        <v>160</v>
      </c>
      <c r="C2248" s="3" t="s">
        <v>12</v>
      </c>
      <c r="D2248" s="3" t="str">
        <f>VLOOKUP(C2248,Countries!$B$3:$C$140,2,FALSE)</f>
        <v>Europe</v>
      </c>
      <c r="E2248" s="3" t="s">
        <v>67</v>
      </c>
      <c r="F2248" s="3" t="str">
        <f>VLOOKUP(E2248,Countries!$B$3:$C$140,2,FALSE)</f>
        <v>Africa</v>
      </c>
      <c r="G2248" s="4">
        <v>10</v>
      </c>
      <c r="H2248" s="4">
        <v>1518922.0391050498</v>
      </c>
    </row>
    <row r="2249" spans="2:8" x14ac:dyDescent="0.2">
      <c r="B2249" s="3" t="s">
        <v>160</v>
      </c>
      <c r="C2249" s="3" t="s">
        <v>12</v>
      </c>
      <c r="D2249" s="3" t="str">
        <f>VLOOKUP(C2249,Countries!$B$3:$C$140,2,FALSE)</f>
        <v>Europe</v>
      </c>
      <c r="E2249" s="3" t="s">
        <v>53</v>
      </c>
      <c r="F2249" s="3" t="str">
        <f>VLOOKUP(E2249,Countries!$B$3:$C$140,2,FALSE)</f>
        <v>Europe</v>
      </c>
      <c r="G2249" s="4">
        <v>12</v>
      </c>
      <c r="H2249" s="4">
        <v>25914042.465575248</v>
      </c>
    </row>
    <row r="2250" spans="2:8" x14ac:dyDescent="0.2">
      <c r="B2250" s="3" t="s">
        <v>160</v>
      </c>
      <c r="C2250" s="3" t="s">
        <v>12</v>
      </c>
      <c r="D2250" s="3" t="str">
        <f>VLOOKUP(C2250,Countries!$B$3:$C$140,2,FALSE)</f>
        <v>Europe</v>
      </c>
      <c r="E2250" s="3" t="s">
        <v>24</v>
      </c>
      <c r="F2250" s="3" t="str">
        <f>VLOOKUP(E2250,Countries!$B$3:$C$140,2,FALSE)</f>
        <v>Africa</v>
      </c>
      <c r="G2250" s="4">
        <v>4</v>
      </c>
      <c r="H2250" s="4">
        <v>0</v>
      </c>
    </row>
    <row r="2251" spans="2:8" x14ac:dyDescent="0.2">
      <c r="B2251" s="3" t="s">
        <v>160</v>
      </c>
      <c r="C2251" s="3" t="s">
        <v>12</v>
      </c>
      <c r="D2251" s="3" t="str">
        <f>VLOOKUP(C2251,Countries!$B$3:$C$140,2,FALSE)</f>
        <v>Europe</v>
      </c>
      <c r="E2251" s="3" t="s">
        <v>44</v>
      </c>
      <c r="F2251" s="3" t="str">
        <f>VLOOKUP(E2251,Countries!$B$3:$C$140,2,FALSE)</f>
        <v>Europe</v>
      </c>
      <c r="G2251" s="4">
        <v>6</v>
      </c>
      <c r="H2251" s="4">
        <v>9224867.8819800001</v>
      </c>
    </row>
    <row r="2252" spans="2:8" x14ac:dyDescent="0.2">
      <c r="B2252" s="3" t="s">
        <v>160</v>
      </c>
      <c r="C2252" s="3" t="s">
        <v>12</v>
      </c>
      <c r="D2252" s="3" t="str">
        <f>VLOOKUP(C2252,Countries!$B$3:$C$140,2,FALSE)</f>
        <v>Europe</v>
      </c>
      <c r="E2252" s="3" t="s">
        <v>54</v>
      </c>
      <c r="F2252" s="3" t="str">
        <f>VLOOKUP(E2252,Countries!$B$3:$C$140,2,FALSE)</f>
        <v>Europe</v>
      </c>
      <c r="G2252" s="4">
        <v>2</v>
      </c>
      <c r="H2252" s="4">
        <v>3228664.7560799997</v>
      </c>
    </row>
    <row r="2253" spans="2:8" x14ac:dyDescent="0.2">
      <c r="B2253" s="3" t="s">
        <v>160</v>
      </c>
      <c r="C2253" s="3" t="s">
        <v>12</v>
      </c>
      <c r="D2253" s="3" t="str">
        <f>VLOOKUP(C2253,Countries!$B$3:$C$140,2,FALSE)</f>
        <v>Europe</v>
      </c>
      <c r="E2253" s="3" t="s">
        <v>25</v>
      </c>
      <c r="F2253" s="3" t="str">
        <f>VLOOKUP(E2253,Countries!$B$3:$C$140,2,FALSE)</f>
        <v>Europe</v>
      </c>
      <c r="G2253" s="4">
        <v>22</v>
      </c>
      <c r="H2253" s="4">
        <v>7011679.4842949994</v>
      </c>
    </row>
    <row r="2254" spans="2:8" x14ac:dyDescent="0.2">
      <c r="B2254" s="3" t="s">
        <v>160</v>
      </c>
      <c r="C2254" s="3" t="s">
        <v>12</v>
      </c>
      <c r="D2254" s="3" t="str">
        <f>VLOOKUP(C2254,Countries!$B$3:$C$140,2,FALSE)</f>
        <v>Europe</v>
      </c>
      <c r="E2254" s="3" t="s">
        <v>81</v>
      </c>
      <c r="F2254" s="3" t="str">
        <f>VLOOKUP(E2254,Countries!$B$3:$C$140,2,FALSE)</f>
        <v>Asia</v>
      </c>
      <c r="G2254" s="4">
        <v>4</v>
      </c>
      <c r="H2254" s="4">
        <v>0</v>
      </c>
    </row>
    <row r="2255" spans="2:8" x14ac:dyDescent="0.2">
      <c r="B2255" s="3" t="s">
        <v>160</v>
      </c>
      <c r="C2255" s="3" t="s">
        <v>12</v>
      </c>
      <c r="D2255" s="3" t="str">
        <f>VLOOKUP(C2255,Countries!$B$3:$C$140,2,FALSE)</f>
        <v>Europe</v>
      </c>
      <c r="E2255" s="3" t="s">
        <v>26</v>
      </c>
      <c r="F2255" s="3" t="str">
        <f>VLOOKUP(E2255,Countries!$B$3:$C$140,2,FALSE)</f>
        <v>Europe</v>
      </c>
      <c r="G2255" s="4">
        <v>6</v>
      </c>
      <c r="H2255" s="4">
        <v>11976694.532099999</v>
      </c>
    </row>
    <row r="2256" spans="2:8" x14ac:dyDescent="0.2">
      <c r="B2256" s="3" t="s">
        <v>160</v>
      </c>
      <c r="C2256" s="3" t="s">
        <v>12</v>
      </c>
      <c r="D2256" s="3" t="str">
        <f>VLOOKUP(C2256,Countries!$B$3:$C$140,2,FALSE)</f>
        <v>Europe</v>
      </c>
      <c r="E2256" s="3" t="s">
        <v>46</v>
      </c>
      <c r="F2256" s="3" t="str">
        <f>VLOOKUP(E2256,Countries!$B$3:$C$140,2,FALSE)</f>
        <v>Europe/Asia</v>
      </c>
      <c r="G2256" s="4">
        <v>2</v>
      </c>
      <c r="H2256" s="4">
        <v>0</v>
      </c>
    </row>
    <row r="2257" spans="2:8" x14ac:dyDescent="0.2">
      <c r="B2257" s="3" t="s">
        <v>160</v>
      </c>
      <c r="C2257" s="3" t="s">
        <v>12</v>
      </c>
      <c r="D2257" s="3" t="str">
        <f>VLOOKUP(C2257,Countries!$B$3:$C$140,2,FALSE)</f>
        <v>Europe</v>
      </c>
      <c r="E2257" s="3" t="s">
        <v>55</v>
      </c>
      <c r="F2257" s="3" t="str">
        <f>VLOOKUP(E2257,Countries!$B$3:$C$140,2,FALSE)</f>
        <v>Europe</v>
      </c>
      <c r="G2257" s="4">
        <v>2</v>
      </c>
      <c r="H2257" s="4">
        <v>0</v>
      </c>
    </row>
    <row r="2258" spans="2:8" x14ac:dyDescent="0.2">
      <c r="B2258" s="3" t="s">
        <v>160</v>
      </c>
      <c r="C2258" s="3" t="s">
        <v>12</v>
      </c>
      <c r="D2258" s="3" t="str">
        <f>VLOOKUP(C2258,Countries!$B$3:$C$140,2,FALSE)</f>
        <v>Europe</v>
      </c>
      <c r="E2258" s="3" t="s">
        <v>47</v>
      </c>
      <c r="F2258" s="3" t="str">
        <f>VLOOKUP(E2258,Countries!$B$3:$C$140,2,FALSE)</f>
        <v>Africa</v>
      </c>
      <c r="G2258" s="4">
        <v>14</v>
      </c>
      <c r="H2258" s="4">
        <v>1520718.3947745</v>
      </c>
    </row>
    <row r="2259" spans="2:8" x14ac:dyDescent="0.2">
      <c r="B2259" s="3" t="s">
        <v>160</v>
      </c>
      <c r="C2259" s="3" t="s">
        <v>12</v>
      </c>
      <c r="D2259" s="3" t="str">
        <f>VLOOKUP(C2259,Countries!$B$3:$C$140,2,FALSE)</f>
        <v>Europe</v>
      </c>
      <c r="E2259" s="3" t="s">
        <v>90</v>
      </c>
      <c r="F2259" s="3" t="str">
        <f>VLOOKUP(E2259,Countries!$B$3:$C$140,2,FALSE)</f>
        <v>Asia</v>
      </c>
      <c r="G2259" s="4">
        <v>2</v>
      </c>
      <c r="H2259" s="4">
        <v>0</v>
      </c>
    </row>
    <row r="2260" spans="2:8" x14ac:dyDescent="0.2">
      <c r="B2260" s="3" t="s">
        <v>160</v>
      </c>
      <c r="C2260" s="3" t="s">
        <v>12</v>
      </c>
      <c r="D2260" s="3" t="str">
        <f>VLOOKUP(C2260,Countries!$B$3:$C$140,2,FALSE)</f>
        <v>Europe</v>
      </c>
      <c r="E2260" s="3" t="s">
        <v>28</v>
      </c>
      <c r="F2260" s="3" t="str">
        <f>VLOOKUP(E2260,Countries!$B$3:$C$140,2,FALSE)</f>
        <v>Europe</v>
      </c>
      <c r="G2260" s="4">
        <v>2</v>
      </c>
      <c r="H2260" s="4">
        <v>0</v>
      </c>
    </row>
    <row r="2261" spans="2:8" x14ac:dyDescent="0.2">
      <c r="B2261" s="3" t="s">
        <v>160</v>
      </c>
      <c r="C2261" s="3" t="s">
        <v>12</v>
      </c>
      <c r="D2261" s="3" t="str">
        <f>VLOOKUP(C2261,Countries!$B$3:$C$140,2,FALSE)</f>
        <v>Europe</v>
      </c>
      <c r="E2261" s="3" t="s">
        <v>29</v>
      </c>
      <c r="F2261" s="3" t="str">
        <f>VLOOKUP(E2261,Countries!$B$3:$C$140,2,FALSE)</f>
        <v>Europe</v>
      </c>
      <c r="G2261" s="4">
        <v>16</v>
      </c>
      <c r="H2261" s="4">
        <v>887882.80792200007</v>
      </c>
    </row>
    <row r="2262" spans="2:8" x14ac:dyDescent="0.2">
      <c r="B2262" s="3" t="s">
        <v>160</v>
      </c>
      <c r="C2262" s="3" t="s">
        <v>12</v>
      </c>
      <c r="D2262" s="3" t="str">
        <f>VLOOKUP(C2262,Countries!$B$3:$C$140,2,FALSE)</f>
        <v>Europe</v>
      </c>
      <c r="E2262" s="3" t="s">
        <v>56</v>
      </c>
      <c r="F2262" s="3" t="str">
        <f>VLOOKUP(E2262,Countries!$B$3:$C$140,2,FALSE)</f>
        <v>Europe</v>
      </c>
      <c r="G2262" s="4">
        <v>8</v>
      </c>
      <c r="H2262" s="4">
        <v>84132.440941500012</v>
      </c>
    </row>
    <row r="2263" spans="2:8" x14ac:dyDescent="0.2">
      <c r="B2263" s="3" t="s">
        <v>160</v>
      </c>
      <c r="C2263" s="3" t="s">
        <v>12</v>
      </c>
      <c r="D2263" s="3" t="str">
        <f>VLOOKUP(C2263,Countries!$B$3:$C$140,2,FALSE)</f>
        <v>Europe</v>
      </c>
      <c r="E2263" s="3" t="s">
        <v>112</v>
      </c>
      <c r="F2263" s="3" t="str">
        <f>VLOOKUP(E2263,Countries!$B$3:$C$140,2,FALSE)</f>
        <v>Asia</v>
      </c>
      <c r="G2263" s="4">
        <v>6</v>
      </c>
      <c r="H2263" s="4">
        <v>908061.96264749998</v>
      </c>
    </row>
    <row r="2264" spans="2:8" x14ac:dyDescent="0.2">
      <c r="B2264" s="3" t="s">
        <v>160</v>
      </c>
      <c r="C2264" s="3" t="s">
        <v>12</v>
      </c>
      <c r="D2264" s="3" t="str">
        <f>VLOOKUP(C2264,Countries!$B$3:$C$140,2,FALSE)</f>
        <v>Europe</v>
      </c>
      <c r="E2264" s="3" t="s">
        <v>104</v>
      </c>
      <c r="F2264" s="3" t="str">
        <f>VLOOKUP(E2264,Countries!$B$3:$C$140,2,FALSE)</f>
        <v>Africa</v>
      </c>
      <c r="G2264" s="4">
        <v>8</v>
      </c>
      <c r="H2264" s="4">
        <v>1795944.7705695</v>
      </c>
    </row>
    <row r="2265" spans="2:8" x14ac:dyDescent="0.2">
      <c r="B2265" s="3" t="s">
        <v>160</v>
      </c>
      <c r="C2265" s="3" t="s">
        <v>12</v>
      </c>
      <c r="D2265" s="3" t="str">
        <f>VLOOKUP(C2265,Countries!$B$3:$C$140,2,FALSE)</f>
        <v>Europe</v>
      </c>
      <c r="E2265" s="3" t="s">
        <v>57</v>
      </c>
      <c r="F2265" s="3" t="str">
        <f>VLOOKUP(E2265,Countries!$B$3:$C$140,2,FALSE)</f>
        <v>Europe/Asia</v>
      </c>
      <c r="G2265" s="4">
        <v>8</v>
      </c>
      <c r="H2265" s="4">
        <v>268382.75784914999</v>
      </c>
    </row>
    <row r="2266" spans="2:8" x14ac:dyDescent="0.2">
      <c r="B2266" s="3" t="s">
        <v>160</v>
      </c>
      <c r="C2266" s="3" t="s">
        <v>12</v>
      </c>
      <c r="D2266" s="3" t="str">
        <f>VLOOKUP(C2266,Countries!$B$3:$C$140,2,FALSE)</f>
        <v>Europe</v>
      </c>
      <c r="E2266" s="3" t="s">
        <v>105</v>
      </c>
      <c r="F2266" s="3" t="str">
        <f>VLOOKUP(E2266,Countries!$B$3:$C$140,2,FALSE)</f>
        <v>Asia</v>
      </c>
      <c r="G2266" s="4">
        <v>2</v>
      </c>
      <c r="H2266" s="4">
        <v>0</v>
      </c>
    </row>
    <row r="2267" spans="2:8" x14ac:dyDescent="0.2">
      <c r="B2267" s="3" t="s">
        <v>160</v>
      </c>
      <c r="C2267" s="3" t="s">
        <v>12</v>
      </c>
      <c r="D2267" s="3" t="str">
        <f>VLOOKUP(C2267,Countries!$B$3:$C$140,2,FALSE)</f>
        <v>Europe</v>
      </c>
      <c r="E2267" s="3" t="s">
        <v>32</v>
      </c>
      <c r="F2267" s="3" t="str">
        <f>VLOOKUP(E2267,Countries!$B$3:$C$140,2,FALSE)</f>
        <v>Europe</v>
      </c>
      <c r="G2267" s="4">
        <v>8</v>
      </c>
      <c r="H2267" s="4">
        <v>2329490.7388965003</v>
      </c>
    </row>
    <row r="2268" spans="2:8" x14ac:dyDescent="0.2">
      <c r="B2268" s="3" t="s">
        <v>160</v>
      </c>
      <c r="C2268" s="3" t="s">
        <v>12</v>
      </c>
      <c r="D2268" s="3" t="str">
        <f>VLOOKUP(C2268,Countries!$B$3:$C$140,2,FALSE)</f>
        <v>Europe</v>
      </c>
      <c r="E2268" s="3" t="s">
        <v>58</v>
      </c>
      <c r="F2268" s="3" t="str">
        <f>VLOOKUP(E2268,Countries!$B$3:$C$140,2,FALSE)</f>
        <v>South America</v>
      </c>
      <c r="G2268" s="4">
        <v>2</v>
      </c>
      <c r="H2268" s="4">
        <v>15537949.138635002</v>
      </c>
    </row>
    <row r="2269" spans="2:8" x14ac:dyDescent="0.2">
      <c r="B2269" s="3" t="s">
        <v>160</v>
      </c>
      <c r="C2269" s="3" t="s">
        <v>12</v>
      </c>
      <c r="D2269" s="3" t="str">
        <f>VLOOKUP(C2269,Countries!$B$3:$C$140,2,FALSE)</f>
        <v>Europe</v>
      </c>
      <c r="E2269" s="3" t="s">
        <v>33</v>
      </c>
      <c r="F2269" s="3" t="str">
        <f>VLOOKUP(E2269,Countries!$B$3:$C$140,2,FALSE)</f>
        <v>North America</v>
      </c>
      <c r="G2269" s="4">
        <v>2</v>
      </c>
      <c r="H2269" s="4">
        <v>0</v>
      </c>
    </row>
    <row r="2270" spans="2:8" x14ac:dyDescent="0.2">
      <c r="B2270" s="3" t="s">
        <v>160</v>
      </c>
      <c r="C2270" s="3" t="s">
        <v>12</v>
      </c>
      <c r="D2270" s="3" t="str">
        <f>VLOOKUP(C2270,Countries!$B$3:$C$140,2,FALSE)</f>
        <v>Europe</v>
      </c>
      <c r="E2270" s="3" t="s">
        <v>91</v>
      </c>
      <c r="F2270" s="3" t="str">
        <f>VLOOKUP(E2270,Countries!$B$3:$C$140,2,FALSE)</f>
        <v>South America</v>
      </c>
      <c r="G2270" s="4">
        <v>4</v>
      </c>
      <c r="H2270" s="4">
        <v>0</v>
      </c>
    </row>
    <row r="2271" spans="2:8" x14ac:dyDescent="0.2">
      <c r="B2271" s="3" t="s">
        <v>160</v>
      </c>
      <c r="C2271" s="3" t="s">
        <v>12</v>
      </c>
      <c r="D2271" s="3" t="str">
        <f>VLOOKUP(C2271,Countries!$B$3:$C$140,2,FALSE)</f>
        <v>Europe</v>
      </c>
      <c r="E2271" s="3" t="s">
        <v>134</v>
      </c>
      <c r="F2271" s="3" t="str">
        <f>VLOOKUP(E2271,Countries!$B$3:$C$140,2,FALSE)</f>
        <v>Africa</v>
      </c>
      <c r="G2271" s="4">
        <v>2</v>
      </c>
      <c r="H2271" s="4">
        <v>0</v>
      </c>
    </row>
    <row r="2272" spans="2:8" x14ac:dyDescent="0.2">
      <c r="B2272" s="3" t="s">
        <v>160</v>
      </c>
      <c r="C2272" s="3" t="s">
        <v>97</v>
      </c>
      <c r="D2272" s="3" t="str">
        <f>VLOOKUP(C2272,Countries!$B$3:$C$140,2,FALSE)</f>
        <v>Europe</v>
      </c>
      <c r="E2272" s="3" t="s">
        <v>10</v>
      </c>
      <c r="F2272" s="3" t="str">
        <f>VLOOKUP(E2272,Countries!$B$3:$C$140,2,FALSE)</f>
        <v>Europe</v>
      </c>
      <c r="G2272" s="4">
        <v>30</v>
      </c>
      <c r="H2272" s="4">
        <v>0</v>
      </c>
    </row>
    <row r="2273" spans="2:8" x14ac:dyDescent="0.2">
      <c r="B2273" s="3" t="s">
        <v>160</v>
      </c>
      <c r="C2273" s="3" t="s">
        <v>97</v>
      </c>
      <c r="D2273" s="3" t="str">
        <f>VLOOKUP(C2273,Countries!$B$3:$C$140,2,FALSE)</f>
        <v>Europe</v>
      </c>
      <c r="E2273" s="3" t="s">
        <v>50</v>
      </c>
      <c r="F2273" s="3" t="str">
        <f>VLOOKUP(E2273,Countries!$B$3:$C$140,2,FALSE)</f>
        <v>Europe</v>
      </c>
      <c r="G2273" s="4">
        <v>2</v>
      </c>
      <c r="H2273" s="4">
        <v>0</v>
      </c>
    </row>
    <row r="2274" spans="2:8" x14ac:dyDescent="0.2">
      <c r="B2274" s="3" t="s">
        <v>160</v>
      </c>
      <c r="C2274" s="3" t="s">
        <v>97</v>
      </c>
      <c r="D2274" s="3" t="str">
        <f>VLOOKUP(C2274,Countries!$B$3:$C$140,2,FALSE)</f>
        <v>Europe</v>
      </c>
      <c r="E2274" s="3" t="s">
        <v>22</v>
      </c>
      <c r="F2274" s="3" t="str">
        <f>VLOOKUP(E2274,Countries!$B$3:$C$140,2,FALSE)</f>
        <v>Europe</v>
      </c>
      <c r="G2274" s="4">
        <v>2</v>
      </c>
      <c r="H2274" s="4">
        <v>0</v>
      </c>
    </row>
    <row r="2275" spans="2:8" x14ac:dyDescent="0.2">
      <c r="B2275" s="3" t="s">
        <v>160</v>
      </c>
      <c r="C2275" s="3" t="s">
        <v>97</v>
      </c>
      <c r="D2275" s="3" t="str">
        <f>VLOOKUP(C2275,Countries!$B$3:$C$140,2,FALSE)</f>
        <v>Europe</v>
      </c>
      <c r="E2275" s="3" t="s">
        <v>47</v>
      </c>
      <c r="F2275" s="3" t="str">
        <f>VLOOKUP(E2275,Countries!$B$3:$C$140,2,FALSE)</f>
        <v>Africa</v>
      </c>
      <c r="G2275" s="4">
        <v>2</v>
      </c>
      <c r="H2275" s="4">
        <v>0</v>
      </c>
    </row>
    <row r="2276" spans="2:8" x14ac:dyDescent="0.2">
      <c r="B2276" s="3" t="s">
        <v>160</v>
      </c>
      <c r="C2276" s="3" t="s">
        <v>97</v>
      </c>
      <c r="D2276" s="3" t="str">
        <f>VLOOKUP(C2276,Countries!$B$3:$C$140,2,FALSE)</f>
        <v>Europe</v>
      </c>
      <c r="E2276" s="3" t="s">
        <v>28</v>
      </c>
      <c r="F2276" s="3" t="str">
        <f>VLOOKUP(E2276,Countries!$B$3:$C$140,2,FALSE)</f>
        <v>Europe</v>
      </c>
      <c r="G2276" s="4">
        <v>2</v>
      </c>
      <c r="H2276" s="4">
        <v>0</v>
      </c>
    </row>
    <row r="2277" spans="2:8" x14ac:dyDescent="0.2">
      <c r="B2277" s="3" t="s">
        <v>160</v>
      </c>
      <c r="C2277" s="3" t="s">
        <v>97</v>
      </c>
      <c r="D2277" s="3" t="str">
        <f>VLOOKUP(C2277,Countries!$B$3:$C$140,2,FALSE)</f>
        <v>Europe</v>
      </c>
      <c r="E2277" s="3" t="s">
        <v>31</v>
      </c>
      <c r="F2277" s="3" t="str">
        <f>VLOOKUP(E2277,Countries!$B$3:$C$140,2,FALSE)</f>
        <v>Europe</v>
      </c>
      <c r="G2277" s="4">
        <v>2</v>
      </c>
      <c r="H2277" s="4">
        <v>0</v>
      </c>
    </row>
    <row r="2278" spans="2:8" x14ac:dyDescent="0.2">
      <c r="B2278" s="3" t="s">
        <v>160</v>
      </c>
      <c r="C2278" s="3" t="s">
        <v>39</v>
      </c>
      <c r="D2278" s="3" t="str">
        <f>VLOOKUP(C2278,Countries!$B$3:$C$140,2,FALSE)</f>
        <v>Europe/Asia</v>
      </c>
      <c r="E2278" s="3" t="s">
        <v>34</v>
      </c>
      <c r="F2278" s="3" t="str">
        <f>VLOOKUP(E2278,Countries!$B$3:$C$140,2,FALSE)</f>
        <v>Asia</v>
      </c>
      <c r="G2278" s="4">
        <v>6</v>
      </c>
      <c r="H2278" s="4">
        <v>0</v>
      </c>
    </row>
    <row r="2279" spans="2:8" x14ac:dyDescent="0.2">
      <c r="B2279" s="3" t="s">
        <v>160</v>
      </c>
      <c r="C2279" s="3" t="s">
        <v>39</v>
      </c>
      <c r="D2279" s="3" t="str">
        <f>VLOOKUP(C2279,Countries!$B$3:$C$140,2,FALSE)</f>
        <v>Europe/Asia</v>
      </c>
      <c r="E2279" s="3" t="s">
        <v>3</v>
      </c>
      <c r="F2279" s="3" t="str">
        <f>VLOOKUP(E2279,Countries!$B$3:$C$140,2,FALSE)</f>
        <v>Europe</v>
      </c>
      <c r="G2279" s="4">
        <v>2</v>
      </c>
      <c r="H2279" s="4">
        <v>0</v>
      </c>
    </row>
    <row r="2280" spans="2:8" x14ac:dyDescent="0.2">
      <c r="B2280" s="3" t="s">
        <v>160</v>
      </c>
      <c r="C2280" s="3" t="s">
        <v>39</v>
      </c>
      <c r="D2280" s="3" t="str">
        <f>VLOOKUP(C2280,Countries!$B$3:$C$140,2,FALSE)</f>
        <v>Europe/Asia</v>
      </c>
      <c r="E2280" s="3" t="s">
        <v>4</v>
      </c>
      <c r="F2280" s="3" t="str">
        <f>VLOOKUP(E2280,Countries!$B$3:$C$140,2,FALSE)</f>
        <v>Asia</v>
      </c>
      <c r="G2280" s="4">
        <v>8</v>
      </c>
      <c r="H2280" s="4">
        <v>0</v>
      </c>
    </row>
    <row r="2281" spans="2:8" x14ac:dyDescent="0.2">
      <c r="B2281" s="3" t="s">
        <v>160</v>
      </c>
      <c r="C2281" s="3" t="s">
        <v>39</v>
      </c>
      <c r="D2281" s="3" t="str">
        <f>VLOOKUP(C2281,Countries!$B$3:$C$140,2,FALSE)</f>
        <v>Europe/Asia</v>
      </c>
      <c r="E2281" s="3" t="s">
        <v>59</v>
      </c>
      <c r="F2281" s="3" t="str">
        <f>VLOOKUP(E2281,Countries!$B$3:$C$140,2,FALSE)</f>
        <v>Europe</v>
      </c>
      <c r="G2281" s="4">
        <v>2</v>
      </c>
      <c r="H2281" s="4">
        <v>0</v>
      </c>
    </row>
    <row r="2282" spans="2:8" x14ac:dyDescent="0.2">
      <c r="B2282" s="3" t="s">
        <v>160</v>
      </c>
      <c r="C2282" s="3" t="s">
        <v>39</v>
      </c>
      <c r="D2282" s="3" t="str">
        <f>VLOOKUP(C2282,Countries!$B$3:$C$140,2,FALSE)</f>
        <v>Europe/Asia</v>
      </c>
      <c r="E2282" s="3" t="s">
        <v>7</v>
      </c>
      <c r="F2282" s="3" t="str">
        <f>VLOOKUP(E2282,Countries!$B$3:$C$140,2,FALSE)</f>
        <v>South America</v>
      </c>
      <c r="G2282" s="4">
        <v>2</v>
      </c>
      <c r="H2282" s="4">
        <v>0</v>
      </c>
    </row>
    <row r="2283" spans="2:8" x14ac:dyDescent="0.2">
      <c r="B2283" s="3" t="s">
        <v>160</v>
      </c>
      <c r="C2283" s="3" t="s">
        <v>39</v>
      </c>
      <c r="D2283" s="3" t="str">
        <f>VLOOKUP(C2283,Countries!$B$3:$C$140,2,FALSE)</f>
        <v>Europe/Asia</v>
      </c>
      <c r="E2283" s="3" t="s">
        <v>36</v>
      </c>
      <c r="F2283" s="3" t="str">
        <f>VLOOKUP(E2283,Countries!$B$3:$C$140,2,FALSE)</f>
        <v>Europe</v>
      </c>
      <c r="G2283" s="4">
        <v>2</v>
      </c>
      <c r="H2283" s="4">
        <v>0</v>
      </c>
    </row>
    <row r="2284" spans="2:8" x14ac:dyDescent="0.2">
      <c r="B2284" s="3" t="s">
        <v>160</v>
      </c>
      <c r="C2284" s="3" t="s">
        <v>39</v>
      </c>
      <c r="D2284" s="3" t="str">
        <f>VLOOKUP(C2284,Countries!$B$3:$C$140,2,FALSE)</f>
        <v>Europe/Asia</v>
      </c>
      <c r="E2284" s="3" t="s">
        <v>106</v>
      </c>
      <c r="F2284" s="3" t="str">
        <f>VLOOKUP(E2284,Countries!$B$3:$C$140,2,FALSE)</f>
        <v>Africa</v>
      </c>
      <c r="G2284" s="4">
        <v>2</v>
      </c>
      <c r="H2284" s="4">
        <v>0</v>
      </c>
    </row>
    <row r="2285" spans="2:8" x14ac:dyDescent="0.2">
      <c r="B2285" s="3" t="s">
        <v>160</v>
      </c>
      <c r="C2285" s="3" t="s">
        <v>39</v>
      </c>
      <c r="D2285" s="3" t="str">
        <f>VLOOKUP(C2285,Countries!$B$3:$C$140,2,FALSE)</f>
        <v>Europe/Asia</v>
      </c>
      <c r="E2285" s="3" t="s">
        <v>62</v>
      </c>
      <c r="F2285" s="3" t="str">
        <f>VLOOKUP(E2285,Countries!$B$3:$C$140,2,FALSE)</f>
        <v>Asia</v>
      </c>
      <c r="G2285" s="4">
        <v>2</v>
      </c>
      <c r="H2285" s="4">
        <v>0</v>
      </c>
    </row>
    <row r="2286" spans="2:8" x14ac:dyDescent="0.2">
      <c r="B2286" s="3" t="s">
        <v>160</v>
      </c>
      <c r="C2286" s="3" t="s">
        <v>39</v>
      </c>
      <c r="D2286" s="3" t="str">
        <f>VLOOKUP(C2286,Countries!$B$3:$C$140,2,FALSE)</f>
        <v>Europe/Asia</v>
      </c>
      <c r="E2286" s="3" t="s">
        <v>49</v>
      </c>
      <c r="F2286" s="3" t="str">
        <f>VLOOKUP(E2286,Countries!$B$3:$C$140,2,FALSE)</f>
        <v>Europe</v>
      </c>
      <c r="G2286" s="4">
        <v>4</v>
      </c>
      <c r="H2286" s="4">
        <v>0</v>
      </c>
    </row>
    <row r="2287" spans="2:8" x14ac:dyDescent="0.2">
      <c r="B2287" s="3" t="s">
        <v>160</v>
      </c>
      <c r="C2287" s="3" t="s">
        <v>39</v>
      </c>
      <c r="D2287" s="3" t="str">
        <f>VLOOKUP(C2287,Countries!$B$3:$C$140,2,FALSE)</f>
        <v>Europe/Asia</v>
      </c>
      <c r="E2287" s="3" t="s">
        <v>50</v>
      </c>
      <c r="F2287" s="3" t="str">
        <f>VLOOKUP(E2287,Countries!$B$3:$C$140,2,FALSE)</f>
        <v>Europe</v>
      </c>
      <c r="G2287" s="4">
        <v>2</v>
      </c>
      <c r="H2287" s="4">
        <v>0</v>
      </c>
    </row>
    <row r="2288" spans="2:8" x14ac:dyDescent="0.2">
      <c r="B2288" s="3" t="s">
        <v>160</v>
      </c>
      <c r="C2288" s="3" t="s">
        <v>39</v>
      </c>
      <c r="D2288" s="3" t="str">
        <f>VLOOKUP(C2288,Countries!$B$3:$C$140,2,FALSE)</f>
        <v>Europe/Asia</v>
      </c>
      <c r="E2288" s="3" t="s">
        <v>11</v>
      </c>
      <c r="F2288" s="3" t="str">
        <f>VLOOKUP(E2288,Countries!$B$3:$C$140,2,FALSE)</f>
        <v>Europe</v>
      </c>
      <c r="G2288" s="4">
        <v>8</v>
      </c>
      <c r="H2288" s="4">
        <v>0</v>
      </c>
    </row>
    <row r="2289" spans="2:8" x14ac:dyDescent="0.2">
      <c r="B2289" s="3" t="s">
        <v>160</v>
      </c>
      <c r="C2289" s="3" t="s">
        <v>39</v>
      </c>
      <c r="D2289" s="3" t="str">
        <f>VLOOKUP(C2289,Countries!$B$3:$C$140,2,FALSE)</f>
        <v>Europe/Asia</v>
      </c>
      <c r="E2289" s="3" t="s">
        <v>12</v>
      </c>
      <c r="F2289" s="3" t="str">
        <f>VLOOKUP(E2289,Countries!$B$3:$C$140,2,FALSE)</f>
        <v>Europe</v>
      </c>
      <c r="G2289" s="4">
        <v>2</v>
      </c>
      <c r="H2289" s="4">
        <v>0</v>
      </c>
    </row>
    <row r="2290" spans="2:8" x14ac:dyDescent="0.2">
      <c r="B2290" s="3" t="s">
        <v>160</v>
      </c>
      <c r="C2290" s="3" t="s">
        <v>39</v>
      </c>
      <c r="D2290" s="3" t="str">
        <f>VLOOKUP(C2290,Countries!$B$3:$C$140,2,FALSE)</f>
        <v>Europe/Asia</v>
      </c>
      <c r="E2290" s="3" t="s">
        <v>13</v>
      </c>
      <c r="F2290" s="3" t="str">
        <f>VLOOKUP(E2290,Countries!$B$3:$C$140,2,FALSE)</f>
        <v>Europe</v>
      </c>
      <c r="G2290" s="4">
        <v>2</v>
      </c>
      <c r="H2290" s="4">
        <v>0</v>
      </c>
    </row>
    <row r="2291" spans="2:8" x14ac:dyDescent="0.2">
      <c r="B2291" s="3" t="s">
        <v>160</v>
      </c>
      <c r="C2291" s="3" t="s">
        <v>39</v>
      </c>
      <c r="D2291" s="3" t="str">
        <f>VLOOKUP(C2291,Countries!$B$3:$C$140,2,FALSE)</f>
        <v>Europe/Asia</v>
      </c>
      <c r="E2291" s="3" t="s">
        <v>64</v>
      </c>
      <c r="F2291" s="3" t="str">
        <f>VLOOKUP(E2291,Countries!$B$3:$C$140,2,FALSE)</f>
        <v>Africa</v>
      </c>
      <c r="G2291" s="4">
        <v>4</v>
      </c>
      <c r="H2291" s="4">
        <v>0</v>
      </c>
    </row>
    <row r="2292" spans="2:8" x14ac:dyDescent="0.2">
      <c r="B2292" s="3" t="s">
        <v>160</v>
      </c>
      <c r="C2292" s="3" t="s">
        <v>39</v>
      </c>
      <c r="D2292" s="3" t="str">
        <f>VLOOKUP(C2292,Countries!$B$3:$C$140,2,FALSE)</f>
        <v>Europe/Asia</v>
      </c>
      <c r="E2292" s="3" t="s">
        <v>14</v>
      </c>
      <c r="F2292" s="3" t="str">
        <f>VLOOKUP(E2292,Countries!$B$3:$C$140,2,FALSE)</f>
        <v>Europe</v>
      </c>
      <c r="G2292" s="4">
        <v>4</v>
      </c>
      <c r="H2292" s="4">
        <v>0</v>
      </c>
    </row>
    <row r="2293" spans="2:8" x14ac:dyDescent="0.2">
      <c r="B2293" s="3" t="s">
        <v>160</v>
      </c>
      <c r="C2293" s="3" t="s">
        <v>39</v>
      </c>
      <c r="D2293" s="3" t="str">
        <f>VLOOKUP(C2293,Countries!$B$3:$C$140,2,FALSE)</f>
        <v>Europe/Asia</v>
      </c>
      <c r="E2293" s="3" t="s">
        <v>15</v>
      </c>
      <c r="F2293" s="3" t="str">
        <f>VLOOKUP(E2293,Countries!$B$3:$C$140,2,FALSE)</f>
        <v>Europe</v>
      </c>
      <c r="G2293" s="4">
        <v>8</v>
      </c>
      <c r="H2293" s="4">
        <v>0</v>
      </c>
    </row>
    <row r="2294" spans="2:8" x14ac:dyDescent="0.2">
      <c r="B2294" s="3" t="s">
        <v>160</v>
      </c>
      <c r="C2294" s="3" t="s">
        <v>39</v>
      </c>
      <c r="D2294" s="3" t="str">
        <f>VLOOKUP(C2294,Countries!$B$3:$C$140,2,FALSE)</f>
        <v>Europe/Asia</v>
      </c>
      <c r="E2294" s="3" t="s">
        <v>51</v>
      </c>
      <c r="F2294" s="3" t="str">
        <f>VLOOKUP(E2294,Countries!$B$3:$C$140,2,FALSE)</f>
        <v>Asia</v>
      </c>
      <c r="G2294" s="4">
        <v>6</v>
      </c>
      <c r="H2294" s="4">
        <v>0</v>
      </c>
    </row>
    <row r="2295" spans="2:8" x14ac:dyDescent="0.2">
      <c r="B2295" s="3" t="s">
        <v>160</v>
      </c>
      <c r="C2295" s="3" t="s">
        <v>39</v>
      </c>
      <c r="D2295" s="3" t="str">
        <f>VLOOKUP(C2295,Countries!$B$3:$C$140,2,FALSE)</f>
        <v>Europe/Asia</v>
      </c>
      <c r="E2295" s="3" t="s">
        <v>66</v>
      </c>
      <c r="F2295" s="3" t="str">
        <f>VLOOKUP(E2295,Countries!$B$3:$C$140,2,FALSE)</f>
        <v>Europe</v>
      </c>
      <c r="G2295" s="4">
        <v>2</v>
      </c>
      <c r="H2295" s="4">
        <v>0</v>
      </c>
    </row>
    <row r="2296" spans="2:8" x14ac:dyDescent="0.2">
      <c r="B2296" s="3" t="s">
        <v>160</v>
      </c>
      <c r="C2296" s="3" t="s">
        <v>39</v>
      </c>
      <c r="D2296" s="3" t="str">
        <f>VLOOKUP(C2296,Countries!$B$3:$C$140,2,FALSE)</f>
        <v>Europe/Asia</v>
      </c>
      <c r="E2296" s="3" t="s">
        <v>52</v>
      </c>
      <c r="F2296" s="3" t="str">
        <f>VLOOKUP(E2296,Countries!$B$3:$C$140,2,FALSE)</f>
        <v>Europe</v>
      </c>
      <c r="G2296" s="4">
        <v>4</v>
      </c>
      <c r="H2296" s="4">
        <v>0</v>
      </c>
    </row>
    <row r="2297" spans="2:8" x14ac:dyDescent="0.2">
      <c r="B2297" s="3" t="s">
        <v>160</v>
      </c>
      <c r="C2297" s="3" t="s">
        <v>39</v>
      </c>
      <c r="D2297" s="3" t="str">
        <f>VLOOKUP(C2297,Countries!$B$3:$C$140,2,FALSE)</f>
        <v>Europe/Asia</v>
      </c>
      <c r="E2297" s="3" t="s">
        <v>43</v>
      </c>
      <c r="F2297" s="3" t="str">
        <f>VLOOKUP(E2297,Countries!$B$3:$C$140,2,FALSE)</f>
        <v>Europe</v>
      </c>
      <c r="G2297" s="4">
        <v>4</v>
      </c>
      <c r="H2297" s="4">
        <v>0</v>
      </c>
    </row>
    <row r="2298" spans="2:8" x14ac:dyDescent="0.2">
      <c r="B2298" s="3" t="s">
        <v>160</v>
      </c>
      <c r="C2298" s="3" t="s">
        <v>39</v>
      </c>
      <c r="D2298" s="3" t="str">
        <f>VLOOKUP(C2298,Countries!$B$3:$C$140,2,FALSE)</f>
        <v>Europe/Asia</v>
      </c>
      <c r="E2298" s="3" t="s">
        <v>21</v>
      </c>
      <c r="F2298" s="3" t="str">
        <f>VLOOKUP(E2298,Countries!$B$3:$C$140,2,FALSE)</f>
        <v>Europe</v>
      </c>
      <c r="G2298" s="4">
        <v>2</v>
      </c>
      <c r="H2298" s="4">
        <v>0</v>
      </c>
    </row>
    <row r="2299" spans="2:8" x14ac:dyDescent="0.2">
      <c r="B2299" s="3" t="s">
        <v>160</v>
      </c>
      <c r="C2299" s="3" t="s">
        <v>39</v>
      </c>
      <c r="D2299" s="3" t="str">
        <f>VLOOKUP(C2299,Countries!$B$3:$C$140,2,FALSE)</f>
        <v>Europe/Asia</v>
      </c>
      <c r="E2299" s="3" t="s">
        <v>24</v>
      </c>
      <c r="F2299" s="3" t="str">
        <f>VLOOKUP(E2299,Countries!$B$3:$C$140,2,FALSE)</f>
        <v>Africa</v>
      </c>
      <c r="G2299" s="4">
        <v>8</v>
      </c>
      <c r="H2299" s="4">
        <v>0</v>
      </c>
    </row>
    <row r="2300" spans="2:8" x14ac:dyDescent="0.2">
      <c r="B2300" s="3" t="s">
        <v>160</v>
      </c>
      <c r="C2300" s="3" t="s">
        <v>39</v>
      </c>
      <c r="D2300" s="3" t="str">
        <f>VLOOKUP(C2300,Countries!$B$3:$C$140,2,FALSE)</f>
        <v>Europe/Asia</v>
      </c>
      <c r="E2300" s="3" t="s">
        <v>54</v>
      </c>
      <c r="F2300" s="3" t="str">
        <f>VLOOKUP(E2300,Countries!$B$3:$C$140,2,FALSE)</f>
        <v>Europe</v>
      </c>
      <c r="G2300" s="4">
        <v>4</v>
      </c>
      <c r="H2300" s="4">
        <v>0</v>
      </c>
    </row>
    <row r="2301" spans="2:8" x14ac:dyDescent="0.2">
      <c r="B2301" s="3" t="s">
        <v>160</v>
      </c>
      <c r="C2301" s="3" t="s">
        <v>39</v>
      </c>
      <c r="D2301" s="3" t="str">
        <f>VLOOKUP(C2301,Countries!$B$3:$C$140,2,FALSE)</f>
        <v>Europe/Asia</v>
      </c>
      <c r="E2301" s="3" t="s">
        <v>46</v>
      </c>
      <c r="F2301" s="3" t="str">
        <f>VLOOKUP(E2301,Countries!$B$3:$C$140,2,FALSE)</f>
        <v>Europe/Asia</v>
      </c>
      <c r="G2301" s="4">
        <v>12</v>
      </c>
      <c r="H2301" s="4">
        <v>4035.8309451000005</v>
      </c>
    </row>
    <row r="2302" spans="2:8" x14ac:dyDescent="0.2">
      <c r="B2302" s="3" t="s">
        <v>160</v>
      </c>
      <c r="C2302" s="3" t="s">
        <v>39</v>
      </c>
      <c r="D2302" s="3" t="str">
        <f>VLOOKUP(C2302,Countries!$B$3:$C$140,2,FALSE)</f>
        <v>Europe/Asia</v>
      </c>
      <c r="E2302" s="3" t="s">
        <v>28</v>
      </c>
      <c r="F2302" s="3" t="str">
        <f>VLOOKUP(E2302,Countries!$B$3:$C$140,2,FALSE)</f>
        <v>Europe</v>
      </c>
      <c r="G2302" s="4">
        <v>4</v>
      </c>
      <c r="H2302" s="4">
        <v>0</v>
      </c>
    </row>
    <row r="2303" spans="2:8" x14ac:dyDescent="0.2">
      <c r="B2303" s="3" t="s">
        <v>160</v>
      </c>
      <c r="C2303" s="3" t="s">
        <v>39</v>
      </c>
      <c r="D2303" s="3" t="str">
        <f>VLOOKUP(C2303,Countries!$B$3:$C$140,2,FALSE)</f>
        <v>Europe/Asia</v>
      </c>
      <c r="E2303" s="3" t="s">
        <v>32</v>
      </c>
      <c r="F2303" s="3" t="str">
        <f>VLOOKUP(E2303,Countries!$B$3:$C$140,2,FALSE)</f>
        <v>Europe</v>
      </c>
      <c r="G2303" s="4">
        <v>8</v>
      </c>
      <c r="H2303" s="4">
        <v>300</v>
      </c>
    </row>
    <row r="2304" spans="2:8" x14ac:dyDescent="0.2">
      <c r="B2304" s="3" t="s">
        <v>160</v>
      </c>
      <c r="C2304" s="3" t="s">
        <v>39</v>
      </c>
      <c r="D2304" s="3" t="str">
        <f>VLOOKUP(C2304,Countries!$B$3:$C$140,2,FALSE)</f>
        <v>Europe/Asia</v>
      </c>
      <c r="E2304" s="3" t="s">
        <v>87</v>
      </c>
      <c r="F2304" s="3" t="str">
        <f>VLOOKUP(E2304,Countries!$B$3:$C$140,2,FALSE)</f>
        <v>Asia</v>
      </c>
      <c r="G2304" s="4">
        <v>2</v>
      </c>
      <c r="H2304" s="4">
        <v>0</v>
      </c>
    </row>
    <row r="2305" spans="2:8" x14ac:dyDescent="0.2">
      <c r="B2305" s="3" t="s">
        <v>160</v>
      </c>
      <c r="C2305" s="3" t="s">
        <v>13</v>
      </c>
      <c r="D2305" s="3" t="str">
        <f>VLOOKUP(C2305,Countries!$B$3:$C$140,2,FALSE)</f>
        <v>Europe</v>
      </c>
      <c r="E2305" s="3" t="s">
        <v>48</v>
      </c>
      <c r="F2305" s="3" t="str">
        <f>VLOOKUP(E2305,Countries!$B$3:$C$140,2,FALSE)</f>
        <v>Oceania</v>
      </c>
      <c r="G2305" s="4">
        <v>4</v>
      </c>
      <c r="H2305" s="4">
        <v>884493.44256600004</v>
      </c>
    </row>
    <row r="2306" spans="2:8" x14ac:dyDescent="0.2">
      <c r="B2306" s="3" t="s">
        <v>160</v>
      </c>
      <c r="C2306" s="3" t="s">
        <v>13</v>
      </c>
      <c r="D2306" s="3" t="str">
        <f>VLOOKUP(C2306,Countries!$B$3:$C$140,2,FALSE)</f>
        <v>Europe</v>
      </c>
      <c r="E2306" s="3" t="s">
        <v>3</v>
      </c>
      <c r="F2306" s="3" t="str">
        <f>VLOOKUP(E2306,Countries!$B$3:$C$140,2,FALSE)</f>
        <v>Europe</v>
      </c>
      <c r="G2306" s="4">
        <v>64</v>
      </c>
      <c r="H2306" s="4">
        <v>12671163.544741351</v>
      </c>
    </row>
    <row r="2307" spans="2:8" x14ac:dyDescent="0.2">
      <c r="B2307" s="3" t="s">
        <v>160</v>
      </c>
      <c r="C2307" s="3" t="s">
        <v>13</v>
      </c>
      <c r="D2307" s="3" t="str">
        <f>VLOOKUP(C2307,Countries!$B$3:$C$140,2,FALSE)</f>
        <v>Europe</v>
      </c>
      <c r="E2307" s="3" t="s">
        <v>4</v>
      </c>
      <c r="F2307" s="3" t="str">
        <f>VLOOKUP(E2307,Countries!$B$3:$C$140,2,FALSE)</f>
        <v>Asia</v>
      </c>
      <c r="G2307" s="4">
        <v>6</v>
      </c>
      <c r="H2307" s="4">
        <v>0</v>
      </c>
    </row>
    <row r="2308" spans="2:8" x14ac:dyDescent="0.2">
      <c r="B2308" s="3" t="s">
        <v>160</v>
      </c>
      <c r="C2308" s="3" t="s">
        <v>13</v>
      </c>
      <c r="D2308" s="3" t="str">
        <f>VLOOKUP(C2308,Countries!$B$3:$C$140,2,FALSE)</f>
        <v>Europe</v>
      </c>
      <c r="E2308" s="3" t="s">
        <v>35</v>
      </c>
      <c r="F2308" s="3" t="str">
        <f>VLOOKUP(E2308,Countries!$B$3:$C$140,2,FALSE)</f>
        <v>Europe</v>
      </c>
      <c r="G2308" s="4">
        <v>26</v>
      </c>
      <c r="H2308" s="4">
        <v>40903620.357204005</v>
      </c>
    </row>
    <row r="2309" spans="2:8" x14ac:dyDescent="0.2">
      <c r="B2309" s="3" t="s">
        <v>160</v>
      </c>
      <c r="C2309" s="3" t="s">
        <v>13</v>
      </c>
      <c r="D2309" s="3" t="str">
        <f>VLOOKUP(C2309,Countries!$B$3:$C$140,2,FALSE)</f>
        <v>Europe</v>
      </c>
      <c r="E2309" s="3" t="s">
        <v>6</v>
      </c>
      <c r="F2309" s="3" t="str">
        <f>VLOOKUP(E2309,Countries!$B$3:$C$140,2,FALSE)</f>
        <v>Europe</v>
      </c>
      <c r="G2309" s="4">
        <v>2</v>
      </c>
      <c r="H2309" s="4">
        <v>0</v>
      </c>
    </row>
    <row r="2310" spans="2:8" x14ac:dyDescent="0.2">
      <c r="B2310" s="3" t="s">
        <v>160</v>
      </c>
      <c r="C2310" s="3" t="s">
        <v>13</v>
      </c>
      <c r="D2310" s="3" t="str">
        <f>VLOOKUP(C2310,Countries!$B$3:$C$140,2,FALSE)</f>
        <v>Europe</v>
      </c>
      <c r="E2310" s="3" t="s">
        <v>7</v>
      </c>
      <c r="F2310" s="3" t="str">
        <f>VLOOKUP(E2310,Countries!$B$3:$C$140,2,FALSE)</f>
        <v>South America</v>
      </c>
      <c r="G2310" s="4">
        <v>12</v>
      </c>
      <c r="H2310" s="4">
        <v>32172491.990465999</v>
      </c>
    </row>
    <row r="2311" spans="2:8" x14ac:dyDescent="0.2">
      <c r="B2311" s="3" t="s">
        <v>160</v>
      </c>
      <c r="C2311" s="3" t="s">
        <v>13</v>
      </c>
      <c r="D2311" s="3" t="str">
        <f>VLOOKUP(C2311,Countries!$B$3:$C$140,2,FALSE)</f>
        <v>Europe</v>
      </c>
      <c r="E2311" s="3" t="s">
        <v>36</v>
      </c>
      <c r="F2311" s="3" t="str">
        <f>VLOOKUP(E2311,Countries!$B$3:$C$140,2,FALSE)</f>
        <v>Europe</v>
      </c>
      <c r="G2311" s="4">
        <v>4</v>
      </c>
      <c r="H2311" s="4">
        <v>0</v>
      </c>
    </row>
    <row r="2312" spans="2:8" x14ac:dyDescent="0.2">
      <c r="B2312" s="3" t="s">
        <v>160</v>
      </c>
      <c r="C2312" s="3" t="s">
        <v>13</v>
      </c>
      <c r="D2312" s="3" t="str">
        <f>VLOOKUP(C2312,Countries!$B$3:$C$140,2,FALSE)</f>
        <v>Europe</v>
      </c>
      <c r="E2312" s="3" t="s">
        <v>8</v>
      </c>
      <c r="F2312" s="3" t="str">
        <f>VLOOKUP(E2312,Countries!$B$3:$C$140,2,FALSE)</f>
        <v>North America</v>
      </c>
      <c r="G2312" s="4">
        <v>2</v>
      </c>
      <c r="H2312" s="4">
        <v>0</v>
      </c>
    </row>
    <row r="2313" spans="2:8" x14ac:dyDescent="0.2">
      <c r="B2313" s="3" t="s">
        <v>160</v>
      </c>
      <c r="C2313" s="3" t="s">
        <v>13</v>
      </c>
      <c r="D2313" s="3" t="str">
        <f>VLOOKUP(C2313,Countries!$B$3:$C$140,2,FALSE)</f>
        <v>Europe</v>
      </c>
      <c r="E2313" s="3" t="s">
        <v>88</v>
      </c>
      <c r="F2313" s="3" t="str">
        <f>VLOOKUP(E2313,Countries!$B$3:$C$140,2,FALSE)</f>
        <v>South America</v>
      </c>
      <c r="G2313" s="4">
        <v>4</v>
      </c>
      <c r="H2313" s="4">
        <v>16095732.951216001</v>
      </c>
    </row>
    <row r="2314" spans="2:8" x14ac:dyDescent="0.2">
      <c r="B2314" s="3" t="s">
        <v>160</v>
      </c>
      <c r="C2314" s="3" t="s">
        <v>13</v>
      </c>
      <c r="D2314" s="3" t="str">
        <f>VLOOKUP(C2314,Countries!$B$3:$C$140,2,FALSE)</f>
        <v>Europe</v>
      </c>
      <c r="E2314" s="3" t="s">
        <v>89</v>
      </c>
      <c r="F2314" s="3" t="str">
        <f>VLOOKUP(E2314,Countries!$B$3:$C$140,2,FALSE)</f>
        <v>Asia</v>
      </c>
      <c r="G2314" s="4">
        <v>4</v>
      </c>
      <c r="H2314" s="4">
        <v>0</v>
      </c>
    </row>
    <row r="2315" spans="2:8" x14ac:dyDescent="0.2">
      <c r="B2315" s="3" t="s">
        <v>160</v>
      </c>
      <c r="C2315" s="3" t="s">
        <v>13</v>
      </c>
      <c r="D2315" s="3" t="str">
        <f>VLOOKUP(C2315,Countries!$B$3:$C$140,2,FALSE)</f>
        <v>Europe</v>
      </c>
      <c r="E2315" s="3" t="s">
        <v>9</v>
      </c>
      <c r="F2315" s="3" t="str">
        <f>VLOOKUP(E2315,Countries!$B$3:$C$140,2,FALSE)</f>
        <v>Europe</v>
      </c>
      <c r="G2315" s="4">
        <v>14</v>
      </c>
      <c r="H2315" s="4">
        <v>24895101.152534999</v>
      </c>
    </row>
    <row r="2316" spans="2:8" x14ac:dyDescent="0.2">
      <c r="B2316" s="3" t="s">
        <v>160</v>
      </c>
      <c r="C2316" s="3" t="s">
        <v>13</v>
      </c>
      <c r="D2316" s="3" t="str">
        <f>VLOOKUP(C2316,Countries!$B$3:$C$140,2,FALSE)</f>
        <v>Europe</v>
      </c>
      <c r="E2316" s="3" t="s">
        <v>62</v>
      </c>
      <c r="F2316" s="3" t="str">
        <f>VLOOKUP(E2316,Countries!$B$3:$C$140,2,FALSE)</f>
        <v>Asia</v>
      </c>
      <c r="G2316" s="4">
        <v>2</v>
      </c>
      <c r="H2316" s="4">
        <v>0</v>
      </c>
    </row>
    <row r="2317" spans="2:8" x14ac:dyDescent="0.2">
      <c r="B2317" s="3" t="s">
        <v>160</v>
      </c>
      <c r="C2317" s="3" t="s">
        <v>13</v>
      </c>
      <c r="D2317" s="3" t="str">
        <f>VLOOKUP(C2317,Countries!$B$3:$C$140,2,FALSE)</f>
        <v>Europe</v>
      </c>
      <c r="E2317" s="3" t="s">
        <v>49</v>
      </c>
      <c r="F2317" s="3" t="str">
        <f>VLOOKUP(E2317,Countries!$B$3:$C$140,2,FALSE)</f>
        <v>Europe</v>
      </c>
      <c r="G2317" s="4">
        <v>32</v>
      </c>
      <c r="H2317" s="4">
        <v>15568217.870723251</v>
      </c>
    </row>
    <row r="2318" spans="2:8" x14ac:dyDescent="0.2">
      <c r="B2318" s="3" t="s">
        <v>160</v>
      </c>
      <c r="C2318" s="3" t="s">
        <v>13</v>
      </c>
      <c r="D2318" s="3" t="str">
        <f>VLOOKUP(C2318,Countries!$B$3:$C$140,2,FALSE)</f>
        <v>Europe</v>
      </c>
      <c r="E2318" s="3" t="s">
        <v>10</v>
      </c>
      <c r="F2318" s="3" t="str">
        <f>VLOOKUP(E2318,Countries!$B$3:$C$140,2,FALSE)</f>
        <v>Europe</v>
      </c>
      <c r="G2318" s="4">
        <v>12</v>
      </c>
      <c r="H2318" s="4">
        <v>2568953.1501810001</v>
      </c>
    </row>
    <row r="2319" spans="2:8" x14ac:dyDescent="0.2">
      <c r="B2319" s="3" t="s">
        <v>160</v>
      </c>
      <c r="C2319" s="3" t="s">
        <v>13</v>
      </c>
      <c r="D2319" s="3" t="str">
        <f>VLOOKUP(C2319,Countries!$B$3:$C$140,2,FALSE)</f>
        <v>Europe</v>
      </c>
      <c r="E2319" s="3" t="s">
        <v>107</v>
      </c>
      <c r="F2319" s="3" t="str">
        <f>VLOOKUP(E2319,Countries!$B$3:$C$140,2,FALSE)</f>
        <v>South America</v>
      </c>
      <c r="G2319" s="4">
        <v>2</v>
      </c>
      <c r="H2319" s="4">
        <v>2796982.3803599998</v>
      </c>
    </row>
    <row r="2320" spans="2:8" x14ac:dyDescent="0.2">
      <c r="B2320" s="3" t="s">
        <v>160</v>
      </c>
      <c r="C2320" s="3" t="s">
        <v>13</v>
      </c>
      <c r="D2320" s="3" t="str">
        <f>VLOOKUP(C2320,Countries!$B$3:$C$140,2,FALSE)</f>
        <v>Europe</v>
      </c>
      <c r="E2320" s="3" t="s">
        <v>50</v>
      </c>
      <c r="F2320" s="3" t="str">
        <f>VLOOKUP(E2320,Countries!$B$3:$C$140,2,FALSE)</f>
        <v>Europe</v>
      </c>
      <c r="G2320" s="4">
        <v>32</v>
      </c>
      <c r="H2320" s="4">
        <v>57755865.131145</v>
      </c>
    </row>
    <row r="2321" spans="2:8" x14ac:dyDescent="0.2">
      <c r="B2321" s="3" t="s">
        <v>160</v>
      </c>
      <c r="C2321" s="3" t="s">
        <v>13</v>
      </c>
      <c r="D2321" s="3" t="str">
        <f>VLOOKUP(C2321,Countries!$B$3:$C$140,2,FALSE)</f>
        <v>Europe</v>
      </c>
      <c r="E2321" s="3" t="s">
        <v>11</v>
      </c>
      <c r="F2321" s="3" t="str">
        <f>VLOOKUP(E2321,Countries!$B$3:$C$140,2,FALSE)</f>
        <v>Europe</v>
      </c>
      <c r="G2321" s="4">
        <v>36</v>
      </c>
      <c r="H2321" s="4">
        <v>107335217.149056</v>
      </c>
    </row>
    <row r="2322" spans="2:8" x14ac:dyDescent="0.2">
      <c r="B2322" s="3" t="s">
        <v>160</v>
      </c>
      <c r="C2322" s="3" t="s">
        <v>13</v>
      </c>
      <c r="D2322" s="3" t="str">
        <f>VLOOKUP(C2322,Countries!$B$3:$C$140,2,FALSE)</f>
        <v>Europe</v>
      </c>
      <c r="E2322" s="3" t="s">
        <v>73</v>
      </c>
      <c r="F2322" s="3" t="str">
        <f>VLOOKUP(E2322,Countries!$B$3:$C$140,2,FALSE)</f>
        <v>Europe</v>
      </c>
      <c r="G2322" s="4">
        <v>6</v>
      </c>
      <c r="H2322" s="4">
        <v>0</v>
      </c>
    </row>
    <row r="2323" spans="2:8" x14ac:dyDescent="0.2">
      <c r="B2323" s="3" t="s">
        <v>160</v>
      </c>
      <c r="C2323" s="3" t="s">
        <v>13</v>
      </c>
      <c r="D2323" s="3" t="str">
        <f>VLOOKUP(C2323,Countries!$B$3:$C$140,2,FALSE)</f>
        <v>Europe</v>
      </c>
      <c r="E2323" s="3" t="s">
        <v>12</v>
      </c>
      <c r="F2323" s="3" t="str">
        <f>VLOOKUP(E2323,Countries!$B$3:$C$140,2,FALSE)</f>
        <v>Europe</v>
      </c>
      <c r="G2323" s="4">
        <v>50</v>
      </c>
      <c r="H2323" s="4">
        <v>8003436.1326000001</v>
      </c>
    </row>
    <row r="2324" spans="2:8" x14ac:dyDescent="0.2">
      <c r="B2324" s="3" t="s">
        <v>160</v>
      </c>
      <c r="C2324" s="3" t="s">
        <v>13</v>
      </c>
      <c r="D2324" s="3" t="str">
        <f>VLOOKUP(C2324,Countries!$B$3:$C$140,2,FALSE)</f>
        <v>Europe</v>
      </c>
      <c r="E2324" s="3" t="s">
        <v>64</v>
      </c>
      <c r="F2324" s="3" t="str">
        <f>VLOOKUP(E2324,Countries!$B$3:$C$140,2,FALSE)</f>
        <v>Africa</v>
      </c>
      <c r="G2324" s="4">
        <v>2</v>
      </c>
      <c r="H2324" s="4">
        <v>1880327.4850499998</v>
      </c>
    </row>
    <row r="2325" spans="2:8" x14ac:dyDescent="0.2">
      <c r="B2325" s="3" t="s">
        <v>160</v>
      </c>
      <c r="C2325" s="3" t="s">
        <v>13</v>
      </c>
      <c r="D2325" s="3" t="str">
        <f>VLOOKUP(C2325,Countries!$B$3:$C$140,2,FALSE)</f>
        <v>Europe</v>
      </c>
      <c r="E2325" s="3" t="s">
        <v>14</v>
      </c>
      <c r="F2325" s="3" t="str">
        <f>VLOOKUP(E2325,Countries!$B$3:$C$140,2,FALSE)</f>
        <v>Europe</v>
      </c>
      <c r="G2325" s="4">
        <v>20</v>
      </c>
      <c r="H2325" s="4">
        <v>3834039.397845</v>
      </c>
    </row>
    <row r="2326" spans="2:8" x14ac:dyDescent="0.2">
      <c r="B2326" s="3" t="s">
        <v>160</v>
      </c>
      <c r="C2326" s="3" t="s">
        <v>13</v>
      </c>
      <c r="D2326" s="3" t="str">
        <f>VLOOKUP(C2326,Countries!$B$3:$C$140,2,FALSE)</f>
        <v>Europe</v>
      </c>
      <c r="E2326" s="3" t="s">
        <v>15</v>
      </c>
      <c r="F2326" s="3" t="str">
        <f>VLOOKUP(E2326,Countries!$B$3:$C$140,2,FALSE)</f>
        <v>Europe</v>
      </c>
      <c r="G2326" s="4">
        <v>10</v>
      </c>
      <c r="H2326" s="4">
        <v>1574373.3844874999</v>
      </c>
    </row>
    <row r="2327" spans="2:8" x14ac:dyDescent="0.2">
      <c r="B2327" s="3" t="s">
        <v>160</v>
      </c>
      <c r="C2327" s="3" t="s">
        <v>13</v>
      </c>
      <c r="D2327" s="3" t="str">
        <f>VLOOKUP(C2327,Countries!$B$3:$C$140,2,FALSE)</f>
        <v>Europe</v>
      </c>
      <c r="E2327" s="3" t="s">
        <v>100</v>
      </c>
      <c r="F2327" s="3" t="str">
        <f>VLOOKUP(E2327,Countries!$B$3:$C$140,2,FALSE)</f>
        <v>Asia</v>
      </c>
      <c r="G2327" s="4">
        <v>2</v>
      </c>
      <c r="H2327" s="4">
        <v>0</v>
      </c>
    </row>
    <row r="2328" spans="2:8" x14ac:dyDescent="0.2">
      <c r="B2328" s="3" t="s">
        <v>160</v>
      </c>
      <c r="C2328" s="3" t="s">
        <v>13</v>
      </c>
      <c r="D2328" s="3" t="str">
        <f>VLOOKUP(C2328,Countries!$B$3:$C$140,2,FALSE)</f>
        <v>Europe</v>
      </c>
      <c r="E2328" s="3" t="s">
        <v>16</v>
      </c>
      <c r="F2328" s="3" t="str">
        <f>VLOOKUP(E2328,Countries!$B$3:$C$140,2,FALSE)</f>
        <v>Asia</v>
      </c>
      <c r="G2328" s="4">
        <v>6</v>
      </c>
      <c r="H2328" s="4">
        <v>0</v>
      </c>
    </row>
    <row r="2329" spans="2:8" x14ac:dyDescent="0.2">
      <c r="B2329" s="3" t="s">
        <v>160</v>
      </c>
      <c r="C2329" s="3" t="s">
        <v>13</v>
      </c>
      <c r="D2329" s="3" t="str">
        <f>VLOOKUP(C2329,Countries!$B$3:$C$140,2,FALSE)</f>
        <v>Europe</v>
      </c>
      <c r="E2329" s="3" t="s">
        <v>51</v>
      </c>
      <c r="F2329" s="3" t="str">
        <f>VLOOKUP(E2329,Countries!$B$3:$C$140,2,FALSE)</f>
        <v>Asia</v>
      </c>
      <c r="G2329" s="4">
        <v>4</v>
      </c>
      <c r="H2329" s="4">
        <v>302687.32088250003</v>
      </c>
    </row>
    <row r="2330" spans="2:8" x14ac:dyDescent="0.2">
      <c r="B2330" s="3" t="s">
        <v>160</v>
      </c>
      <c r="C2330" s="3" t="s">
        <v>13</v>
      </c>
      <c r="D2330" s="3" t="str">
        <f>VLOOKUP(C2330,Countries!$B$3:$C$140,2,FALSE)</f>
        <v>Europe</v>
      </c>
      <c r="E2330" s="3" t="s">
        <v>17</v>
      </c>
      <c r="F2330" s="3" t="str">
        <f>VLOOKUP(E2330,Countries!$B$3:$C$140,2,FALSE)</f>
        <v>Europe</v>
      </c>
      <c r="G2330" s="4">
        <v>16</v>
      </c>
      <c r="H2330" s="4">
        <v>40661967.136779301</v>
      </c>
    </row>
    <row r="2331" spans="2:8" x14ac:dyDescent="0.2">
      <c r="B2331" s="3" t="s">
        <v>160</v>
      </c>
      <c r="C2331" s="3" t="s">
        <v>13</v>
      </c>
      <c r="D2331" s="3" t="str">
        <f>VLOOKUP(C2331,Countries!$B$3:$C$140,2,FALSE)</f>
        <v>Europe</v>
      </c>
      <c r="E2331" s="3" t="s">
        <v>92</v>
      </c>
      <c r="F2331" s="3" t="str">
        <f>VLOOKUP(E2331,Countries!$B$3:$C$140,2,FALSE)</f>
        <v>Asia</v>
      </c>
      <c r="G2331" s="4">
        <v>24</v>
      </c>
      <c r="H2331" s="4">
        <v>10230831.445828499</v>
      </c>
    </row>
    <row r="2332" spans="2:8" x14ac:dyDescent="0.2">
      <c r="B2332" s="3" t="s">
        <v>160</v>
      </c>
      <c r="C2332" s="3" t="s">
        <v>13</v>
      </c>
      <c r="D2332" s="3" t="str">
        <f>VLOOKUP(C2332,Countries!$B$3:$C$140,2,FALSE)</f>
        <v>Europe</v>
      </c>
      <c r="E2332" s="3" t="s">
        <v>19</v>
      </c>
      <c r="F2332" s="3" t="str">
        <f>VLOOKUP(E2332,Countries!$B$3:$C$140,2,FALSE)</f>
        <v>Asia</v>
      </c>
      <c r="G2332" s="4">
        <v>2</v>
      </c>
      <c r="H2332" s="4">
        <v>0</v>
      </c>
    </row>
    <row r="2333" spans="2:8" x14ac:dyDescent="0.2">
      <c r="B2333" s="3" t="s">
        <v>160</v>
      </c>
      <c r="C2333" s="3" t="s">
        <v>13</v>
      </c>
      <c r="D2333" s="3" t="str">
        <f>VLOOKUP(C2333,Countries!$B$3:$C$140,2,FALSE)</f>
        <v>Europe</v>
      </c>
      <c r="E2333" s="3" t="s">
        <v>66</v>
      </c>
      <c r="F2333" s="3" t="str">
        <f>VLOOKUP(E2333,Countries!$B$3:$C$140,2,FALSE)</f>
        <v>Europe</v>
      </c>
      <c r="G2333" s="4">
        <v>2</v>
      </c>
      <c r="H2333" s="4">
        <v>0</v>
      </c>
    </row>
    <row r="2334" spans="2:8" x14ac:dyDescent="0.2">
      <c r="B2334" s="3" t="s">
        <v>160</v>
      </c>
      <c r="C2334" s="3" t="s">
        <v>13</v>
      </c>
      <c r="D2334" s="3" t="str">
        <f>VLOOKUP(C2334,Countries!$B$3:$C$140,2,FALSE)</f>
        <v>Europe</v>
      </c>
      <c r="E2334" s="3" t="s">
        <v>77</v>
      </c>
      <c r="F2334" s="3" t="str">
        <f>VLOOKUP(E2334,Countries!$B$3:$C$140,2,FALSE)</f>
        <v>Europe</v>
      </c>
      <c r="G2334" s="4">
        <v>10</v>
      </c>
      <c r="H2334" s="4">
        <v>0</v>
      </c>
    </row>
    <row r="2335" spans="2:8" x14ac:dyDescent="0.2">
      <c r="B2335" s="3" t="s">
        <v>160</v>
      </c>
      <c r="C2335" s="3" t="s">
        <v>13</v>
      </c>
      <c r="D2335" s="3" t="str">
        <f>VLOOKUP(C2335,Countries!$B$3:$C$140,2,FALSE)</f>
        <v>Europe</v>
      </c>
      <c r="E2335" s="3" t="s">
        <v>52</v>
      </c>
      <c r="F2335" s="3" t="str">
        <f>VLOOKUP(E2335,Countries!$B$3:$C$140,2,FALSE)</f>
        <v>Europe</v>
      </c>
      <c r="G2335" s="4">
        <v>4</v>
      </c>
      <c r="H2335" s="4">
        <v>0</v>
      </c>
    </row>
    <row r="2336" spans="2:8" x14ac:dyDescent="0.2">
      <c r="B2336" s="3" t="s">
        <v>160</v>
      </c>
      <c r="C2336" s="3" t="s">
        <v>13</v>
      </c>
      <c r="D2336" s="3" t="str">
        <f>VLOOKUP(C2336,Countries!$B$3:$C$140,2,FALSE)</f>
        <v>Europe</v>
      </c>
      <c r="E2336" s="3" t="s">
        <v>43</v>
      </c>
      <c r="F2336" s="3" t="str">
        <f>VLOOKUP(E2336,Countries!$B$3:$C$140,2,FALSE)</f>
        <v>Europe</v>
      </c>
      <c r="G2336" s="4">
        <v>2</v>
      </c>
      <c r="H2336" s="4">
        <v>0</v>
      </c>
    </row>
    <row r="2337" spans="2:8" x14ac:dyDescent="0.2">
      <c r="B2337" s="3" t="s">
        <v>160</v>
      </c>
      <c r="C2337" s="3" t="s">
        <v>13</v>
      </c>
      <c r="D2337" s="3" t="str">
        <f>VLOOKUP(C2337,Countries!$B$3:$C$140,2,FALSE)</f>
        <v>Europe</v>
      </c>
      <c r="E2337" s="3" t="s">
        <v>53</v>
      </c>
      <c r="F2337" s="3" t="str">
        <f>VLOOKUP(E2337,Countries!$B$3:$C$140,2,FALSE)</f>
        <v>Europe</v>
      </c>
      <c r="G2337" s="4">
        <v>44</v>
      </c>
      <c r="H2337" s="4">
        <v>93530382.152692497</v>
      </c>
    </row>
    <row r="2338" spans="2:8" x14ac:dyDescent="0.2">
      <c r="B2338" s="3" t="s">
        <v>160</v>
      </c>
      <c r="C2338" s="3" t="s">
        <v>13</v>
      </c>
      <c r="D2338" s="3" t="str">
        <f>VLOOKUP(C2338,Countries!$B$3:$C$140,2,FALSE)</f>
        <v>Europe</v>
      </c>
      <c r="E2338" s="3" t="s">
        <v>44</v>
      </c>
      <c r="F2338" s="3" t="str">
        <f>VLOOKUP(E2338,Countries!$B$3:$C$140,2,FALSE)</f>
        <v>Europe</v>
      </c>
      <c r="G2338" s="4">
        <v>12</v>
      </c>
      <c r="H2338" s="4">
        <v>12722825.880469199</v>
      </c>
    </row>
    <row r="2339" spans="2:8" x14ac:dyDescent="0.2">
      <c r="B2339" s="3" t="s">
        <v>160</v>
      </c>
      <c r="C2339" s="3" t="s">
        <v>13</v>
      </c>
      <c r="D2339" s="3" t="str">
        <f>VLOOKUP(C2339,Countries!$B$3:$C$140,2,FALSE)</f>
        <v>Europe</v>
      </c>
      <c r="E2339" s="3" t="s">
        <v>103</v>
      </c>
      <c r="F2339" s="3" t="str">
        <f>VLOOKUP(E2339,Countries!$B$3:$C$140,2,FALSE)</f>
        <v>Oceania</v>
      </c>
      <c r="G2339" s="4">
        <v>2</v>
      </c>
      <c r="H2339" s="4">
        <v>0</v>
      </c>
    </row>
    <row r="2340" spans="2:8" x14ac:dyDescent="0.2">
      <c r="B2340" s="3" t="s">
        <v>160</v>
      </c>
      <c r="C2340" s="3" t="s">
        <v>13</v>
      </c>
      <c r="D2340" s="3" t="str">
        <f>VLOOKUP(C2340,Countries!$B$3:$C$140,2,FALSE)</f>
        <v>Europe</v>
      </c>
      <c r="E2340" s="3" t="s">
        <v>80</v>
      </c>
      <c r="F2340" s="3" t="str">
        <f>VLOOKUP(E2340,Countries!$B$3:$C$140,2,FALSE)</f>
        <v>South America</v>
      </c>
      <c r="G2340" s="4">
        <v>2</v>
      </c>
      <c r="H2340" s="4">
        <v>750000</v>
      </c>
    </row>
    <row r="2341" spans="2:8" x14ac:dyDescent="0.2">
      <c r="B2341" s="3" t="s">
        <v>160</v>
      </c>
      <c r="C2341" s="3" t="s">
        <v>13</v>
      </c>
      <c r="D2341" s="3" t="str">
        <f>VLOOKUP(C2341,Countries!$B$3:$C$140,2,FALSE)</f>
        <v>Europe</v>
      </c>
      <c r="E2341" s="3" t="s">
        <v>54</v>
      </c>
      <c r="F2341" s="3" t="str">
        <f>VLOOKUP(E2341,Countries!$B$3:$C$140,2,FALSE)</f>
        <v>Europe</v>
      </c>
      <c r="G2341" s="4">
        <v>34</v>
      </c>
      <c r="H2341" s="4">
        <v>24594476.755518001</v>
      </c>
    </row>
    <row r="2342" spans="2:8" x14ac:dyDescent="0.2">
      <c r="B2342" s="3" t="s">
        <v>160</v>
      </c>
      <c r="C2342" s="3" t="s">
        <v>13</v>
      </c>
      <c r="D2342" s="3" t="str">
        <f>VLOOKUP(C2342,Countries!$B$3:$C$140,2,FALSE)</f>
        <v>Europe</v>
      </c>
      <c r="E2342" s="3" t="s">
        <v>25</v>
      </c>
      <c r="F2342" s="3" t="str">
        <f>VLOOKUP(E2342,Countries!$B$3:$C$140,2,FALSE)</f>
        <v>Europe</v>
      </c>
      <c r="G2342" s="4">
        <v>6</v>
      </c>
      <c r="H2342" s="4">
        <v>1162414.588035</v>
      </c>
    </row>
    <row r="2343" spans="2:8" x14ac:dyDescent="0.2">
      <c r="B2343" s="3" t="s">
        <v>160</v>
      </c>
      <c r="C2343" s="3" t="s">
        <v>13</v>
      </c>
      <c r="D2343" s="3" t="str">
        <f>VLOOKUP(C2343,Countries!$B$3:$C$140,2,FALSE)</f>
        <v>Europe</v>
      </c>
      <c r="E2343" s="3" t="s">
        <v>26</v>
      </c>
      <c r="F2343" s="3" t="str">
        <f>VLOOKUP(E2343,Countries!$B$3:$C$140,2,FALSE)</f>
        <v>Europe</v>
      </c>
      <c r="G2343" s="4">
        <v>14</v>
      </c>
      <c r="H2343" s="4">
        <v>6551174.3400240596</v>
      </c>
    </row>
    <row r="2344" spans="2:8" x14ac:dyDescent="0.2">
      <c r="B2344" s="3" t="s">
        <v>160</v>
      </c>
      <c r="C2344" s="3" t="s">
        <v>13</v>
      </c>
      <c r="D2344" s="3" t="str">
        <f>VLOOKUP(C2344,Countries!$B$3:$C$140,2,FALSE)</f>
        <v>Europe</v>
      </c>
      <c r="E2344" s="3" t="s">
        <v>82</v>
      </c>
      <c r="F2344" s="3" t="e">
        <f>VLOOKUP(E2344,Countries!$B$3:$C$140,2,FALSE)</f>
        <v>#N/A</v>
      </c>
      <c r="G2344" s="4">
        <v>4</v>
      </c>
      <c r="H2344" s="4">
        <v>0</v>
      </c>
    </row>
    <row r="2345" spans="2:8" x14ac:dyDescent="0.2">
      <c r="B2345" s="3" t="s">
        <v>160</v>
      </c>
      <c r="C2345" s="3" t="s">
        <v>13</v>
      </c>
      <c r="D2345" s="3" t="str">
        <f>VLOOKUP(C2345,Countries!$B$3:$C$140,2,FALSE)</f>
        <v>Europe</v>
      </c>
      <c r="E2345" s="3" t="s">
        <v>46</v>
      </c>
      <c r="F2345" s="3" t="str">
        <f>VLOOKUP(E2345,Countries!$B$3:$C$140,2,FALSE)</f>
        <v>Europe/Asia</v>
      </c>
      <c r="G2345" s="4">
        <v>8</v>
      </c>
      <c r="H2345" s="4">
        <v>4780631.8168599</v>
      </c>
    </row>
    <row r="2346" spans="2:8" x14ac:dyDescent="0.2">
      <c r="B2346" s="3" t="s">
        <v>160</v>
      </c>
      <c r="C2346" s="3" t="s">
        <v>13</v>
      </c>
      <c r="D2346" s="3" t="str">
        <f>VLOOKUP(C2346,Countries!$B$3:$C$140,2,FALSE)</f>
        <v>Europe</v>
      </c>
      <c r="E2346" s="3" t="s">
        <v>55</v>
      </c>
      <c r="F2346" s="3" t="str">
        <f>VLOOKUP(E2346,Countries!$B$3:$C$140,2,FALSE)</f>
        <v>Europe</v>
      </c>
      <c r="G2346" s="4">
        <v>4</v>
      </c>
      <c r="H2346" s="4">
        <v>0</v>
      </c>
    </row>
    <row r="2347" spans="2:8" x14ac:dyDescent="0.2">
      <c r="B2347" s="3" t="s">
        <v>160</v>
      </c>
      <c r="C2347" s="3" t="s">
        <v>13</v>
      </c>
      <c r="D2347" s="3" t="str">
        <f>VLOOKUP(C2347,Countries!$B$3:$C$140,2,FALSE)</f>
        <v>Europe</v>
      </c>
      <c r="E2347" s="3" t="s">
        <v>28</v>
      </c>
      <c r="F2347" s="3" t="str">
        <f>VLOOKUP(E2347,Countries!$B$3:$C$140,2,FALSE)</f>
        <v>Europe</v>
      </c>
      <c r="G2347" s="4">
        <v>4</v>
      </c>
      <c r="H2347" s="4">
        <v>6668224.2493199995</v>
      </c>
    </row>
    <row r="2348" spans="2:8" x14ac:dyDescent="0.2">
      <c r="B2348" s="3" t="s">
        <v>160</v>
      </c>
      <c r="C2348" s="3" t="s">
        <v>13</v>
      </c>
      <c r="D2348" s="3" t="str">
        <f>VLOOKUP(C2348,Countries!$B$3:$C$140,2,FALSE)</f>
        <v>Europe</v>
      </c>
      <c r="E2348" s="3" t="s">
        <v>29</v>
      </c>
      <c r="F2348" s="3" t="str">
        <f>VLOOKUP(E2348,Countries!$B$3:$C$140,2,FALSE)</f>
        <v>Europe</v>
      </c>
      <c r="G2348" s="4">
        <v>20</v>
      </c>
      <c r="H2348" s="4">
        <v>104272747.57829461</v>
      </c>
    </row>
    <row r="2349" spans="2:8" x14ac:dyDescent="0.2">
      <c r="B2349" s="3" t="s">
        <v>160</v>
      </c>
      <c r="C2349" s="3" t="s">
        <v>13</v>
      </c>
      <c r="D2349" s="3" t="str">
        <f>VLOOKUP(C2349,Countries!$B$3:$C$140,2,FALSE)</f>
        <v>Europe</v>
      </c>
      <c r="E2349" s="3" t="s">
        <v>56</v>
      </c>
      <c r="F2349" s="3" t="str">
        <f>VLOOKUP(E2349,Countries!$B$3:$C$140,2,FALSE)</f>
        <v>Europe</v>
      </c>
      <c r="G2349" s="4">
        <v>4</v>
      </c>
      <c r="H2349" s="4">
        <v>0</v>
      </c>
    </row>
    <row r="2350" spans="2:8" x14ac:dyDescent="0.2">
      <c r="B2350" s="3" t="s">
        <v>160</v>
      </c>
      <c r="C2350" s="3" t="s">
        <v>13</v>
      </c>
      <c r="D2350" s="3" t="str">
        <f>VLOOKUP(C2350,Countries!$B$3:$C$140,2,FALSE)</f>
        <v>Europe</v>
      </c>
      <c r="E2350" s="3" t="s">
        <v>30</v>
      </c>
      <c r="F2350" s="3" t="str">
        <f>VLOOKUP(E2350,Countries!$B$3:$C$140,2,FALSE)</f>
        <v>Europe</v>
      </c>
      <c r="G2350" s="4">
        <v>8</v>
      </c>
      <c r="H2350" s="4">
        <v>0</v>
      </c>
    </row>
    <row r="2351" spans="2:8" x14ac:dyDescent="0.2">
      <c r="B2351" s="3" t="s">
        <v>160</v>
      </c>
      <c r="C2351" s="3" t="s">
        <v>13</v>
      </c>
      <c r="D2351" s="3" t="str">
        <f>VLOOKUP(C2351,Countries!$B$3:$C$140,2,FALSE)</f>
        <v>Europe</v>
      </c>
      <c r="E2351" s="3" t="s">
        <v>31</v>
      </c>
      <c r="F2351" s="3" t="str">
        <f>VLOOKUP(E2351,Countries!$B$3:$C$140,2,FALSE)</f>
        <v>Europe</v>
      </c>
      <c r="G2351" s="4">
        <v>4</v>
      </c>
      <c r="H2351" s="4">
        <v>2925977.4351975</v>
      </c>
    </row>
    <row r="2352" spans="2:8" x14ac:dyDescent="0.2">
      <c r="B2352" s="3" t="s">
        <v>160</v>
      </c>
      <c r="C2352" s="3" t="s">
        <v>13</v>
      </c>
      <c r="D2352" s="3" t="str">
        <f>VLOOKUP(C2352,Countries!$B$3:$C$140,2,FALSE)</f>
        <v>Europe</v>
      </c>
      <c r="E2352" s="3" t="s">
        <v>112</v>
      </c>
      <c r="F2352" s="3" t="str">
        <f>VLOOKUP(E2352,Countries!$B$3:$C$140,2,FALSE)</f>
        <v>Asia</v>
      </c>
      <c r="G2352" s="4">
        <v>2</v>
      </c>
      <c r="H2352" s="4">
        <v>120011.420988</v>
      </c>
    </row>
    <row r="2353" spans="2:8" x14ac:dyDescent="0.2">
      <c r="B2353" s="3" t="s">
        <v>160</v>
      </c>
      <c r="C2353" s="3" t="s">
        <v>13</v>
      </c>
      <c r="D2353" s="3" t="str">
        <f>VLOOKUP(C2353,Countries!$B$3:$C$140,2,FALSE)</f>
        <v>Europe</v>
      </c>
      <c r="E2353" s="3" t="s">
        <v>57</v>
      </c>
      <c r="F2353" s="3" t="str">
        <f>VLOOKUP(E2353,Countries!$B$3:$C$140,2,FALSE)</f>
        <v>Europe/Asia</v>
      </c>
      <c r="G2353" s="4">
        <v>48</v>
      </c>
      <c r="H2353" s="4">
        <v>399443.03834999999</v>
      </c>
    </row>
    <row r="2354" spans="2:8" x14ac:dyDescent="0.2">
      <c r="B2354" s="3" t="s">
        <v>160</v>
      </c>
      <c r="C2354" s="3" t="s">
        <v>13</v>
      </c>
      <c r="D2354" s="3" t="str">
        <f>VLOOKUP(C2354,Countries!$B$3:$C$140,2,FALSE)</f>
        <v>Europe</v>
      </c>
      <c r="E2354" s="3" t="s">
        <v>105</v>
      </c>
      <c r="F2354" s="3" t="str">
        <f>VLOOKUP(E2354,Countries!$B$3:$C$140,2,FALSE)</f>
        <v>Asia</v>
      </c>
      <c r="G2354" s="4">
        <v>2</v>
      </c>
      <c r="H2354" s="4">
        <v>0</v>
      </c>
    </row>
    <row r="2355" spans="2:8" x14ac:dyDescent="0.2">
      <c r="B2355" s="3" t="s">
        <v>160</v>
      </c>
      <c r="C2355" s="3" t="s">
        <v>13</v>
      </c>
      <c r="D2355" s="3" t="str">
        <f>VLOOKUP(C2355,Countries!$B$3:$C$140,2,FALSE)</f>
        <v>Europe</v>
      </c>
      <c r="E2355" s="3" t="s">
        <v>32</v>
      </c>
      <c r="F2355" s="3" t="str">
        <f>VLOOKUP(E2355,Countries!$B$3:$C$140,2,FALSE)</f>
        <v>Europe</v>
      </c>
      <c r="G2355" s="4">
        <v>8</v>
      </c>
      <c r="H2355" s="4">
        <v>5420234.5035000006</v>
      </c>
    </row>
    <row r="2356" spans="2:8" x14ac:dyDescent="0.2">
      <c r="B2356" s="3" t="s">
        <v>160</v>
      </c>
      <c r="C2356" s="3" t="s">
        <v>13</v>
      </c>
      <c r="D2356" s="3" t="str">
        <f>VLOOKUP(C2356,Countries!$B$3:$C$140,2,FALSE)</f>
        <v>Europe</v>
      </c>
      <c r="E2356" s="3" t="s">
        <v>33</v>
      </c>
      <c r="F2356" s="3" t="str">
        <f>VLOOKUP(E2356,Countries!$B$3:$C$140,2,FALSE)</f>
        <v>North America</v>
      </c>
      <c r="G2356" s="4">
        <v>14</v>
      </c>
      <c r="H2356" s="4">
        <v>0</v>
      </c>
    </row>
    <row r="2357" spans="2:8" x14ac:dyDescent="0.2">
      <c r="B2357" s="3" t="s">
        <v>160</v>
      </c>
      <c r="C2357" s="3" t="s">
        <v>13</v>
      </c>
      <c r="D2357" s="3" t="str">
        <f>VLOOKUP(C2357,Countries!$B$3:$C$140,2,FALSE)</f>
        <v>Europe</v>
      </c>
      <c r="E2357" s="3" t="s">
        <v>86</v>
      </c>
      <c r="F2357" s="3" t="str">
        <f>VLOOKUP(E2357,Countries!$B$3:$C$140,2,FALSE)</f>
        <v>Europe</v>
      </c>
      <c r="G2357" s="4">
        <v>2</v>
      </c>
      <c r="H2357" s="4">
        <v>0</v>
      </c>
    </row>
    <row r="2358" spans="2:8" x14ac:dyDescent="0.2">
      <c r="B2358" s="3" t="s">
        <v>160</v>
      </c>
      <c r="C2358" s="3" t="s">
        <v>14</v>
      </c>
      <c r="D2358" s="3" t="str">
        <f>VLOOKUP(C2358,Countries!$B$3:$C$140,2,FALSE)</f>
        <v>Europe</v>
      </c>
      <c r="E2358" s="3" t="s">
        <v>2</v>
      </c>
      <c r="F2358" s="3" t="str">
        <f>VLOOKUP(E2358,Countries!$B$3:$C$140,2,FALSE)</f>
        <v>Europe</v>
      </c>
      <c r="G2358" s="4">
        <v>6</v>
      </c>
      <c r="H2358" s="4">
        <v>0</v>
      </c>
    </row>
    <row r="2359" spans="2:8" x14ac:dyDescent="0.2">
      <c r="B2359" s="3" t="s">
        <v>160</v>
      </c>
      <c r="C2359" s="3" t="s">
        <v>14</v>
      </c>
      <c r="D2359" s="3" t="str">
        <f>VLOOKUP(C2359,Countries!$B$3:$C$140,2,FALSE)</f>
        <v>Europe</v>
      </c>
      <c r="E2359" s="3" t="s">
        <v>113</v>
      </c>
      <c r="F2359" s="3" t="str">
        <f>VLOOKUP(E2359,Countries!$B$3:$C$140,2,FALSE)</f>
        <v>Africa</v>
      </c>
      <c r="G2359" s="4">
        <v>6</v>
      </c>
      <c r="H2359" s="4">
        <v>0</v>
      </c>
    </row>
    <row r="2360" spans="2:8" x14ac:dyDescent="0.2">
      <c r="B2360" s="3" t="s">
        <v>160</v>
      </c>
      <c r="C2360" s="3" t="s">
        <v>14</v>
      </c>
      <c r="D2360" s="3" t="str">
        <f>VLOOKUP(C2360,Countries!$B$3:$C$140,2,FALSE)</f>
        <v>Europe</v>
      </c>
      <c r="E2360" s="3" t="s">
        <v>69</v>
      </c>
      <c r="F2360" s="3" t="str">
        <f>VLOOKUP(E2360,Countries!$B$3:$C$140,2,FALSE)</f>
        <v>South America</v>
      </c>
      <c r="G2360" s="4">
        <v>12</v>
      </c>
      <c r="H2360" s="4">
        <v>0</v>
      </c>
    </row>
    <row r="2361" spans="2:8" x14ac:dyDescent="0.2">
      <c r="B2361" s="3" t="s">
        <v>160</v>
      </c>
      <c r="C2361" s="3" t="s">
        <v>14</v>
      </c>
      <c r="D2361" s="3" t="str">
        <f>VLOOKUP(C2361,Countries!$B$3:$C$140,2,FALSE)</f>
        <v>Europe</v>
      </c>
      <c r="E2361" s="3" t="s">
        <v>48</v>
      </c>
      <c r="F2361" s="3" t="str">
        <f>VLOOKUP(E2361,Countries!$B$3:$C$140,2,FALSE)</f>
        <v>Oceania</v>
      </c>
      <c r="G2361" s="4">
        <v>2</v>
      </c>
      <c r="H2361" s="4">
        <v>0</v>
      </c>
    </row>
    <row r="2362" spans="2:8" x14ac:dyDescent="0.2">
      <c r="B2362" s="3" t="s">
        <v>160</v>
      </c>
      <c r="C2362" s="3" t="s">
        <v>14</v>
      </c>
      <c r="D2362" s="3" t="str">
        <f>VLOOKUP(C2362,Countries!$B$3:$C$140,2,FALSE)</f>
        <v>Europe</v>
      </c>
      <c r="E2362" s="3" t="s">
        <v>3</v>
      </c>
      <c r="F2362" s="3" t="str">
        <f>VLOOKUP(E2362,Countries!$B$3:$C$140,2,FALSE)</f>
        <v>Europe</v>
      </c>
      <c r="G2362" s="4">
        <v>4</v>
      </c>
      <c r="H2362" s="4">
        <v>0</v>
      </c>
    </row>
    <row r="2363" spans="2:8" x14ac:dyDescent="0.2">
      <c r="B2363" s="3" t="s">
        <v>160</v>
      </c>
      <c r="C2363" s="3" t="s">
        <v>14</v>
      </c>
      <c r="D2363" s="3" t="str">
        <f>VLOOKUP(C2363,Countries!$B$3:$C$140,2,FALSE)</f>
        <v>Europe</v>
      </c>
      <c r="E2363" s="3" t="s">
        <v>4</v>
      </c>
      <c r="F2363" s="3" t="str">
        <f>VLOOKUP(E2363,Countries!$B$3:$C$140,2,FALSE)</f>
        <v>Asia</v>
      </c>
      <c r="G2363" s="4">
        <v>10</v>
      </c>
      <c r="H2363" s="4">
        <v>0</v>
      </c>
    </row>
    <row r="2364" spans="2:8" x14ac:dyDescent="0.2">
      <c r="B2364" s="3" t="s">
        <v>160</v>
      </c>
      <c r="C2364" s="3" t="s">
        <v>14</v>
      </c>
      <c r="D2364" s="3" t="str">
        <f>VLOOKUP(C2364,Countries!$B$3:$C$140,2,FALSE)</f>
        <v>Europe</v>
      </c>
      <c r="E2364" s="3" t="s">
        <v>35</v>
      </c>
      <c r="F2364" s="3" t="str">
        <f>VLOOKUP(E2364,Countries!$B$3:$C$140,2,FALSE)</f>
        <v>Europe</v>
      </c>
      <c r="G2364" s="4">
        <v>6</v>
      </c>
      <c r="H2364" s="4">
        <v>0</v>
      </c>
    </row>
    <row r="2365" spans="2:8" x14ac:dyDescent="0.2">
      <c r="B2365" s="3" t="s">
        <v>160</v>
      </c>
      <c r="C2365" s="3" t="s">
        <v>14</v>
      </c>
      <c r="D2365" s="3" t="str">
        <f>VLOOKUP(C2365,Countries!$B$3:$C$140,2,FALSE)</f>
        <v>Europe</v>
      </c>
      <c r="E2365" s="3" t="s">
        <v>6</v>
      </c>
      <c r="F2365" s="3" t="str">
        <f>VLOOKUP(E2365,Countries!$B$3:$C$140,2,FALSE)</f>
        <v>Europe</v>
      </c>
      <c r="G2365" s="4">
        <v>8</v>
      </c>
      <c r="H2365" s="4">
        <v>0</v>
      </c>
    </row>
    <row r="2366" spans="2:8" x14ac:dyDescent="0.2">
      <c r="B2366" s="3" t="s">
        <v>160</v>
      </c>
      <c r="C2366" s="3" t="s">
        <v>14</v>
      </c>
      <c r="D2366" s="3" t="str">
        <f>VLOOKUP(C2366,Countries!$B$3:$C$140,2,FALSE)</f>
        <v>Europe</v>
      </c>
      <c r="E2366" s="3" t="s">
        <v>59</v>
      </c>
      <c r="F2366" s="3" t="str">
        <f>VLOOKUP(E2366,Countries!$B$3:$C$140,2,FALSE)</f>
        <v>Europe</v>
      </c>
      <c r="G2366" s="4">
        <v>4</v>
      </c>
      <c r="H2366" s="4">
        <v>0</v>
      </c>
    </row>
    <row r="2367" spans="2:8" x14ac:dyDescent="0.2">
      <c r="B2367" s="3" t="s">
        <v>160</v>
      </c>
      <c r="C2367" s="3" t="s">
        <v>14</v>
      </c>
      <c r="D2367" s="3" t="str">
        <f>VLOOKUP(C2367,Countries!$B$3:$C$140,2,FALSE)</f>
        <v>Europe</v>
      </c>
      <c r="E2367" s="3" t="s">
        <v>7</v>
      </c>
      <c r="F2367" s="3" t="str">
        <f>VLOOKUP(E2367,Countries!$B$3:$C$140,2,FALSE)</f>
        <v>South America</v>
      </c>
      <c r="G2367" s="4">
        <v>26</v>
      </c>
      <c r="H2367" s="4">
        <v>60537.464176499998</v>
      </c>
    </row>
    <row r="2368" spans="2:8" x14ac:dyDescent="0.2">
      <c r="B2368" s="3" t="s">
        <v>160</v>
      </c>
      <c r="C2368" s="3" t="s">
        <v>14</v>
      </c>
      <c r="D2368" s="3" t="str">
        <f>VLOOKUP(C2368,Countries!$B$3:$C$140,2,FALSE)</f>
        <v>Europe</v>
      </c>
      <c r="E2368" s="3" t="s">
        <v>36</v>
      </c>
      <c r="F2368" s="3" t="str">
        <f>VLOOKUP(E2368,Countries!$B$3:$C$140,2,FALSE)</f>
        <v>Europe</v>
      </c>
      <c r="G2368" s="4">
        <v>18</v>
      </c>
      <c r="H2368" s="4">
        <v>0</v>
      </c>
    </row>
    <row r="2369" spans="2:8" x14ac:dyDescent="0.2">
      <c r="B2369" s="3" t="s">
        <v>160</v>
      </c>
      <c r="C2369" s="3" t="s">
        <v>14</v>
      </c>
      <c r="D2369" s="3" t="str">
        <f>VLOOKUP(C2369,Countries!$B$3:$C$140,2,FALSE)</f>
        <v>Europe</v>
      </c>
      <c r="E2369" s="3" t="s">
        <v>88</v>
      </c>
      <c r="F2369" s="3" t="str">
        <f>VLOOKUP(E2369,Countries!$B$3:$C$140,2,FALSE)</f>
        <v>South America</v>
      </c>
      <c r="G2369" s="4">
        <v>6</v>
      </c>
      <c r="H2369" s="4">
        <v>600000</v>
      </c>
    </row>
    <row r="2370" spans="2:8" x14ac:dyDescent="0.2">
      <c r="B2370" s="3" t="s">
        <v>160</v>
      </c>
      <c r="C2370" s="3" t="s">
        <v>14</v>
      </c>
      <c r="D2370" s="3" t="str">
        <f>VLOOKUP(C2370,Countries!$B$3:$C$140,2,FALSE)</f>
        <v>Europe</v>
      </c>
      <c r="E2370" s="3" t="s">
        <v>106</v>
      </c>
      <c r="F2370" s="3" t="str">
        <f>VLOOKUP(E2370,Countries!$B$3:$C$140,2,FALSE)</f>
        <v>Africa</v>
      </c>
      <c r="G2370" s="4">
        <v>2</v>
      </c>
      <c r="H2370" s="4">
        <v>0</v>
      </c>
    </row>
    <row r="2371" spans="2:8" x14ac:dyDescent="0.2">
      <c r="B2371" s="3" t="s">
        <v>160</v>
      </c>
      <c r="C2371" s="3" t="s">
        <v>14</v>
      </c>
      <c r="D2371" s="3" t="str">
        <f>VLOOKUP(C2371,Countries!$B$3:$C$140,2,FALSE)</f>
        <v>Europe</v>
      </c>
      <c r="E2371" s="3" t="s">
        <v>9</v>
      </c>
      <c r="F2371" s="3" t="str">
        <f>VLOOKUP(E2371,Countries!$B$3:$C$140,2,FALSE)</f>
        <v>Europe</v>
      </c>
      <c r="G2371" s="4">
        <v>4</v>
      </c>
      <c r="H2371" s="4">
        <v>0</v>
      </c>
    </row>
    <row r="2372" spans="2:8" x14ac:dyDescent="0.2">
      <c r="B2372" s="3" t="s">
        <v>160</v>
      </c>
      <c r="C2372" s="3" t="s">
        <v>14</v>
      </c>
      <c r="D2372" s="3" t="str">
        <f>VLOOKUP(C2372,Countries!$B$3:$C$140,2,FALSE)</f>
        <v>Europe</v>
      </c>
      <c r="E2372" s="3" t="s">
        <v>62</v>
      </c>
      <c r="F2372" s="3" t="str">
        <f>VLOOKUP(E2372,Countries!$B$3:$C$140,2,FALSE)</f>
        <v>Asia</v>
      </c>
      <c r="G2372" s="4">
        <v>54</v>
      </c>
      <c r="H2372" s="4">
        <v>0</v>
      </c>
    </row>
    <row r="2373" spans="2:8" x14ac:dyDescent="0.2">
      <c r="B2373" s="3" t="s">
        <v>160</v>
      </c>
      <c r="C2373" s="3" t="s">
        <v>14</v>
      </c>
      <c r="D2373" s="3" t="str">
        <f>VLOOKUP(C2373,Countries!$B$3:$C$140,2,FALSE)</f>
        <v>Europe</v>
      </c>
      <c r="E2373" s="3" t="s">
        <v>49</v>
      </c>
      <c r="F2373" s="3" t="str">
        <f>VLOOKUP(E2373,Countries!$B$3:$C$140,2,FALSE)</f>
        <v>Europe</v>
      </c>
      <c r="G2373" s="4">
        <v>4</v>
      </c>
      <c r="H2373" s="4">
        <v>0</v>
      </c>
    </row>
    <row r="2374" spans="2:8" x14ac:dyDescent="0.2">
      <c r="B2374" s="3" t="s">
        <v>160</v>
      </c>
      <c r="C2374" s="3" t="s">
        <v>14</v>
      </c>
      <c r="D2374" s="3" t="str">
        <f>VLOOKUP(C2374,Countries!$B$3:$C$140,2,FALSE)</f>
        <v>Europe</v>
      </c>
      <c r="E2374" s="3" t="s">
        <v>10</v>
      </c>
      <c r="F2374" s="3" t="str">
        <f>VLOOKUP(E2374,Countries!$B$3:$C$140,2,FALSE)</f>
        <v>Europe</v>
      </c>
      <c r="G2374" s="4">
        <v>2</v>
      </c>
      <c r="H2374" s="4">
        <v>0</v>
      </c>
    </row>
    <row r="2375" spans="2:8" x14ac:dyDescent="0.2">
      <c r="B2375" s="3" t="s">
        <v>160</v>
      </c>
      <c r="C2375" s="3" t="s">
        <v>14</v>
      </c>
      <c r="D2375" s="3" t="str">
        <f>VLOOKUP(C2375,Countries!$B$3:$C$140,2,FALSE)</f>
        <v>Europe</v>
      </c>
      <c r="E2375" s="3" t="s">
        <v>107</v>
      </c>
      <c r="F2375" s="3" t="str">
        <f>VLOOKUP(E2375,Countries!$B$3:$C$140,2,FALSE)</f>
        <v>South America</v>
      </c>
      <c r="G2375" s="4">
        <v>2</v>
      </c>
      <c r="H2375" s="4">
        <v>0</v>
      </c>
    </row>
    <row r="2376" spans="2:8" x14ac:dyDescent="0.2">
      <c r="B2376" s="3" t="s">
        <v>160</v>
      </c>
      <c r="C2376" s="3" t="s">
        <v>14</v>
      </c>
      <c r="D2376" s="3" t="str">
        <f>VLOOKUP(C2376,Countries!$B$3:$C$140,2,FALSE)</f>
        <v>Europe</v>
      </c>
      <c r="E2376" s="3" t="s">
        <v>50</v>
      </c>
      <c r="F2376" s="3" t="str">
        <f>VLOOKUP(E2376,Countries!$B$3:$C$140,2,FALSE)</f>
        <v>Europe</v>
      </c>
      <c r="G2376" s="4">
        <v>6</v>
      </c>
      <c r="H2376" s="4">
        <v>2623290.1143150004</v>
      </c>
    </row>
    <row r="2377" spans="2:8" x14ac:dyDescent="0.2">
      <c r="B2377" s="3" t="s">
        <v>160</v>
      </c>
      <c r="C2377" s="3" t="s">
        <v>14</v>
      </c>
      <c r="D2377" s="3" t="str">
        <f>VLOOKUP(C2377,Countries!$B$3:$C$140,2,FALSE)</f>
        <v>Europe</v>
      </c>
      <c r="E2377" s="3" t="s">
        <v>11</v>
      </c>
      <c r="F2377" s="3" t="str">
        <f>VLOOKUP(E2377,Countries!$B$3:$C$140,2,FALSE)</f>
        <v>Europe</v>
      </c>
      <c r="G2377" s="4">
        <v>66</v>
      </c>
      <c r="H2377" s="4">
        <v>403583.09450999997</v>
      </c>
    </row>
    <row r="2378" spans="2:8" x14ac:dyDescent="0.2">
      <c r="B2378" s="3" t="s">
        <v>160</v>
      </c>
      <c r="C2378" s="3" t="s">
        <v>14</v>
      </c>
      <c r="D2378" s="3" t="str">
        <f>VLOOKUP(C2378,Countries!$B$3:$C$140,2,FALSE)</f>
        <v>Europe</v>
      </c>
      <c r="E2378" s="3" t="s">
        <v>38</v>
      </c>
      <c r="F2378" s="3" t="str">
        <f>VLOOKUP(E2378,Countries!$B$3:$C$140,2,FALSE)</f>
        <v>Europe</v>
      </c>
      <c r="G2378" s="4">
        <v>2</v>
      </c>
      <c r="H2378" s="4">
        <v>0</v>
      </c>
    </row>
    <row r="2379" spans="2:8" x14ac:dyDescent="0.2">
      <c r="B2379" s="3" t="s">
        <v>160</v>
      </c>
      <c r="C2379" s="3" t="s">
        <v>14</v>
      </c>
      <c r="D2379" s="3" t="str">
        <f>VLOOKUP(C2379,Countries!$B$3:$C$140,2,FALSE)</f>
        <v>Europe</v>
      </c>
      <c r="E2379" s="3" t="s">
        <v>12</v>
      </c>
      <c r="F2379" s="3" t="str">
        <f>VLOOKUP(E2379,Countries!$B$3:$C$140,2,FALSE)</f>
        <v>Europe</v>
      </c>
      <c r="G2379" s="4">
        <v>20</v>
      </c>
      <c r="H2379" s="4">
        <v>7987885.327815</v>
      </c>
    </row>
    <row r="2380" spans="2:8" x14ac:dyDescent="0.2">
      <c r="B2380" s="3" t="s">
        <v>160</v>
      </c>
      <c r="C2380" s="3" t="s">
        <v>14</v>
      </c>
      <c r="D2380" s="3" t="str">
        <f>VLOOKUP(C2380,Countries!$B$3:$C$140,2,FALSE)</f>
        <v>Europe</v>
      </c>
      <c r="E2380" s="3" t="s">
        <v>13</v>
      </c>
      <c r="F2380" s="3" t="str">
        <f>VLOOKUP(E2380,Countries!$B$3:$C$140,2,FALSE)</f>
        <v>Europe</v>
      </c>
      <c r="G2380" s="4">
        <v>16</v>
      </c>
      <c r="H2380" s="4">
        <v>807166.18901999993</v>
      </c>
    </row>
    <row r="2381" spans="2:8" x14ac:dyDescent="0.2">
      <c r="B2381" s="3" t="s">
        <v>160</v>
      </c>
      <c r="C2381" s="3" t="s">
        <v>14</v>
      </c>
      <c r="D2381" s="3" t="str">
        <f>VLOOKUP(C2381,Countries!$B$3:$C$140,2,FALSE)</f>
        <v>Europe</v>
      </c>
      <c r="E2381" s="3" t="s">
        <v>64</v>
      </c>
      <c r="F2381" s="3" t="str">
        <f>VLOOKUP(E2381,Countries!$B$3:$C$140,2,FALSE)</f>
        <v>Africa</v>
      </c>
      <c r="G2381" s="4">
        <v>2</v>
      </c>
      <c r="H2381" s="4">
        <v>0</v>
      </c>
    </row>
    <row r="2382" spans="2:8" x14ac:dyDescent="0.2">
      <c r="B2382" s="3" t="s">
        <v>160</v>
      </c>
      <c r="C2382" s="3" t="s">
        <v>14</v>
      </c>
      <c r="D2382" s="3" t="str">
        <f>VLOOKUP(C2382,Countries!$B$3:$C$140,2,FALSE)</f>
        <v>Europe</v>
      </c>
      <c r="E2382" s="3" t="s">
        <v>108</v>
      </c>
      <c r="F2382" s="3" t="str">
        <f>VLOOKUP(E2382,Countries!$B$3:$C$140,2,FALSE)</f>
        <v>North America</v>
      </c>
      <c r="G2382" s="4">
        <v>2</v>
      </c>
      <c r="H2382" s="4">
        <v>0</v>
      </c>
    </row>
    <row r="2383" spans="2:8" x14ac:dyDescent="0.2">
      <c r="B2383" s="3" t="s">
        <v>160</v>
      </c>
      <c r="C2383" s="3" t="s">
        <v>14</v>
      </c>
      <c r="D2383" s="3" t="str">
        <f>VLOOKUP(C2383,Countries!$B$3:$C$140,2,FALSE)</f>
        <v>Europe</v>
      </c>
      <c r="E2383" s="3" t="s">
        <v>15</v>
      </c>
      <c r="F2383" s="3" t="str">
        <f>VLOOKUP(E2383,Countries!$B$3:$C$140,2,FALSE)</f>
        <v>Europe</v>
      </c>
      <c r="G2383" s="4">
        <v>4</v>
      </c>
      <c r="H2383" s="4">
        <v>0</v>
      </c>
    </row>
    <row r="2384" spans="2:8" x14ac:dyDescent="0.2">
      <c r="B2384" s="3" t="s">
        <v>160</v>
      </c>
      <c r="C2384" s="3" t="s">
        <v>14</v>
      </c>
      <c r="D2384" s="3" t="str">
        <f>VLOOKUP(C2384,Countries!$B$3:$C$140,2,FALSE)</f>
        <v>Europe</v>
      </c>
      <c r="E2384" s="3" t="s">
        <v>16</v>
      </c>
      <c r="F2384" s="3" t="str">
        <f>VLOOKUP(E2384,Countries!$B$3:$C$140,2,FALSE)</f>
        <v>Asia</v>
      </c>
      <c r="G2384" s="4">
        <v>4</v>
      </c>
      <c r="H2384" s="4">
        <v>0</v>
      </c>
    </row>
    <row r="2385" spans="2:8" x14ac:dyDescent="0.2">
      <c r="B2385" s="3" t="s">
        <v>160</v>
      </c>
      <c r="C2385" s="3" t="s">
        <v>14</v>
      </c>
      <c r="D2385" s="3" t="str">
        <f>VLOOKUP(C2385,Countries!$B$3:$C$140,2,FALSE)</f>
        <v>Europe</v>
      </c>
      <c r="E2385" s="3" t="s">
        <v>51</v>
      </c>
      <c r="F2385" s="3" t="str">
        <f>VLOOKUP(E2385,Countries!$B$3:$C$140,2,FALSE)</f>
        <v>Asia</v>
      </c>
      <c r="G2385" s="4">
        <v>6</v>
      </c>
      <c r="H2385" s="4">
        <v>0</v>
      </c>
    </row>
    <row r="2386" spans="2:8" x14ac:dyDescent="0.2">
      <c r="B2386" s="3" t="s">
        <v>160</v>
      </c>
      <c r="C2386" s="3" t="s">
        <v>14</v>
      </c>
      <c r="D2386" s="3" t="str">
        <f>VLOOKUP(C2386,Countries!$B$3:$C$140,2,FALSE)</f>
        <v>Europe</v>
      </c>
      <c r="E2386" s="3" t="s">
        <v>17</v>
      </c>
      <c r="F2386" s="3" t="str">
        <f>VLOOKUP(E2386,Countries!$B$3:$C$140,2,FALSE)</f>
        <v>Europe</v>
      </c>
      <c r="G2386" s="4">
        <v>22</v>
      </c>
      <c r="H2386" s="4">
        <v>0</v>
      </c>
    </row>
    <row r="2387" spans="2:8" x14ac:dyDescent="0.2">
      <c r="B2387" s="3" t="s">
        <v>160</v>
      </c>
      <c r="C2387" s="3" t="s">
        <v>14</v>
      </c>
      <c r="D2387" s="3" t="str">
        <f>VLOOKUP(C2387,Countries!$B$3:$C$140,2,FALSE)</f>
        <v>Europe</v>
      </c>
      <c r="E2387" s="3" t="s">
        <v>92</v>
      </c>
      <c r="F2387" s="3" t="str">
        <f>VLOOKUP(E2387,Countries!$B$3:$C$140,2,FALSE)</f>
        <v>Asia</v>
      </c>
      <c r="G2387" s="4">
        <v>2</v>
      </c>
      <c r="H2387" s="4">
        <v>117334.02702600001</v>
      </c>
    </row>
    <row r="2388" spans="2:8" x14ac:dyDescent="0.2">
      <c r="B2388" s="3" t="s">
        <v>160</v>
      </c>
      <c r="C2388" s="3" t="s">
        <v>14</v>
      </c>
      <c r="D2388" s="3" t="str">
        <f>VLOOKUP(C2388,Countries!$B$3:$C$140,2,FALSE)</f>
        <v>Europe</v>
      </c>
      <c r="E2388" s="3" t="s">
        <v>40</v>
      </c>
      <c r="F2388" s="3" t="str">
        <f>VLOOKUP(E2388,Countries!$B$3:$C$140,2,FALSE)</f>
        <v>Asia</v>
      </c>
      <c r="G2388" s="4">
        <v>2</v>
      </c>
      <c r="H2388" s="4">
        <v>0</v>
      </c>
    </row>
    <row r="2389" spans="2:8" x14ac:dyDescent="0.2">
      <c r="B2389" s="3" t="s">
        <v>160</v>
      </c>
      <c r="C2389" s="3" t="s">
        <v>14</v>
      </c>
      <c r="D2389" s="3" t="str">
        <f>VLOOKUP(C2389,Countries!$B$3:$C$140,2,FALSE)</f>
        <v>Europe</v>
      </c>
      <c r="E2389" s="3" t="s">
        <v>19</v>
      </c>
      <c r="F2389" s="3" t="str">
        <f>VLOOKUP(E2389,Countries!$B$3:$C$140,2,FALSE)</f>
        <v>Asia</v>
      </c>
      <c r="G2389" s="4">
        <v>2</v>
      </c>
      <c r="H2389" s="4">
        <v>0</v>
      </c>
    </row>
    <row r="2390" spans="2:8" x14ac:dyDescent="0.2">
      <c r="B2390" s="3" t="s">
        <v>160</v>
      </c>
      <c r="C2390" s="3" t="s">
        <v>14</v>
      </c>
      <c r="D2390" s="3" t="str">
        <f>VLOOKUP(C2390,Countries!$B$3:$C$140,2,FALSE)</f>
        <v>Europe</v>
      </c>
      <c r="E2390" s="3" t="s">
        <v>41</v>
      </c>
      <c r="F2390" s="3" t="str">
        <f>VLOOKUP(E2390,Countries!$B$3:$C$140,2,FALSE)</f>
        <v>Asia</v>
      </c>
      <c r="G2390" s="4">
        <v>4</v>
      </c>
      <c r="H2390" s="4">
        <v>0</v>
      </c>
    </row>
    <row r="2391" spans="2:8" x14ac:dyDescent="0.2">
      <c r="B2391" s="3" t="s">
        <v>160</v>
      </c>
      <c r="C2391" s="3" t="s">
        <v>14</v>
      </c>
      <c r="D2391" s="3" t="str">
        <f>VLOOKUP(C2391,Countries!$B$3:$C$140,2,FALSE)</f>
        <v>Europe</v>
      </c>
      <c r="E2391" s="3" t="s">
        <v>66</v>
      </c>
      <c r="F2391" s="3" t="str">
        <f>VLOOKUP(E2391,Countries!$B$3:$C$140,2,FALSE)</f>
        <v>Europe</v>
      </c>
      <c r="G2391" s="4">
        <v>2</v>
      </c>
      <c r="H2391" s="4">
        <v>0</v>
      </c>
    </row>
    <row r="2392" spans="2:8" x14ac:dyDescent="0.2">
      <c r="B2392" s="3" t="s">
        <v>160</v>
      </c>
      <c r="C2392" s="3" t="s">
        <v>14</v>
      </c>
      <c r="D2392" s="3" t="str">
        <f>VLOOKUP(C2392,Countries!$B$3:$C$140,2,FALSE)</f>
        <v>Europe</v>
      </c>
      <c r="E2392" s="3" t="s">
        <v>43</v>
      </c>
      <c r="F2392" s="3" t="str">
        <f>VLOOKUP(E2392,Countries!$B$3:$C$140,2,FALSE)</f>
        <v>Europe</v>
      </c>
      <c r="G2392" s="4">
        <v>4</v>
      </c>
      <c r="H2392" s="4">
        <v>0</v>
      </c>
    </row>
    <row r="2393" spans="2:8" x14ac:dyDescent="0.2">
      <c r="B2393" s="3" t="s">
        <v>160</v>
      </c>
      <c r="C2393" s="3" t="s">
        <v>14</v>
      </c>
      <c r="D2393" s="3" t="str">
        <f>VLOOKUP(C2393,Countries!$B$3:$C$140,2,FALSE)</f>
        <v>Europe</v>
      </c>
      <c r="E2393" s="3" t="s">
        <v>21</v>
      </c>
      <c r="F2393" s="3" t="str">
        <f>VLOOKUP(E2393,Countries!$B$3:$C$140,2,FALSE)</f>
        <v>Europe</v>
      </c>
      <c r="G2393" s="4">
        <v>2</v>
      </c>
      <c r="H2393" s="4">
        <v>0</v>
      </c>
    </row>
    <row r="2394" spans="2:8" x14ac:dyDescent="0.2">
      <c r="B2394" s="3" t="s">
        <v>160</v>
      </c>
      <c r="C2394" s="3" t="s">
        <v>14</v>
      </c>
      <c r="D2394" s="3" t="str">
        <f>VLOOKUP(C2394,Countries!$B$3:$C$140,2,FALSE)</f>
        <v>Europe</v>
      </c>
      <c r="E2394" s="3" t="s">
        <v>23</v>
      </c>
      <c r="F2394" s="3" t="str">
        <f>VLOOKUP(E2394,Countries!$B$3:$C$140,2,FALSE)</f>
        <v>Europe</v>
      </c>
      <c r="G2394" s="4">
        <v>4</v>
      </c>
      <c r="H2394" s="4">
        <v>0</v>
      </c>
    </row>
    <row r="2395" spans="2:8" x14ac:dyDescent="0.2">
      <c r="B2395" s="3" t="s">
        <v>160</v>
      </c>
      <c r="C2395" s="3" t="s">
        <v>14</v>
      </c>
      <c r="D2395" s="3" t="str">
        <f>VLOOKUP(C2395,Countries!$B$3:$C$140,2,FALSE)</f>
        <v>Europe</v>
      </c>
      <c r="E2395" s="3" t="s">
        <v>53</v>
      </c>
      <c r="F2395" s="3" t="str">
        <f>VLOOKUP(E2395,Countries!$B$3:$C$140,2,FALSE)</f>
        <v>Europe</v>
      </c>
      <c r="G2395" s="4">
        <v>8</v>
      </c>
      <c r="H2395" s="4">
        <v>235333.19181600001</v>
      </c>
    </row>
    <row r="2396" spans="2:8" x14ac:dyDescent="0.2">
      <c r="B2396" s="3" t="s">
        <v>160</v>
      </c>
      <c r="C2396" s="3" t="s">
        <v>14</v>
      </c>
      <c r="D2396" s="3" t="str">
        <f>VLOOKUP(C2396,Countries!$B$3:$C$140,2,FALSE)</f>
        <v>Europe</v>
      </c>
      <c r="E2396" s="3" t="s">
        <v>44</v>
      </c>
      <c r="F2396" s="3" t="str">
        <f>VLOOKUP(E2396,Countries!$B$3:$C$140,2,FALSE)</f>
        <v>Europe</v>
      </c>
      <c r="G2396" s="4">
        <v>2</v>
      </c>
      <c r="H2396" s="4">
        <v>0</v>
      </c>
    </row>
    <row r="2397" spans="2:8" x14ac:dyDescent="0.2">
      <c r="B2397" s="3" t="s">
        <v>160</v>
      </c>
      <c r="C2397" s="3" t="s">
        <v>14</v>
      </c>
      <c r="D2397" s="3" t="str">
        <f>VLOOKUP(C2397,Countries!$B$3:$C$140,2,FALSE)</f>
        <v>Europe</v>
      </c>
      <c r="E2397" s="3" t="s">
        <v>45</v>
      </c>
      <c r="F2397" s="3" t="str">
        <f>VLOOKUP(E2397,Countries!$B$3:$C$140,2,FALSE)</f>
        <v>Asia</v>
      </c>
      <c r="G2397" s="4">
        <v>2</v>
      </c>
      <c r="H2397" s="4">
        <v>0</v>
      </c>
    </row>
    <row r="2398" spans="2:8" x14ac:dyDescent="0.2">
      <c r="B2398" s="3" t="s">
        <v>160</v>
      </c>
      <c r="C2398" s="3" t="s">
        <v>14</v>
      </c>
      <c r="D2398" s="3" t="str">
        <f>VLOOKUP(C2398,Countries!$B$3:$C$140,2,FALSE)</f>
        <v>Europe</v>
      </c>
      <c r="E2398" s="3" t="s">
        <v>54</v>
      </c>
      <c r="F2398" s="3" t="str">
        <f>VLOOKUP(E2398,Countries!$B$3:$C$140,2,FALSE)</f>
        <v>Europe</v>
      </c>
      <c r="G2398" s="4">
        <v>4</v>
      </c>
      <c r="H2398" s="4">
        <v>0</v>
      </c>
    </row>
    <row r="2399" spans="2:8" x14ac:dyDescent="0.2">
      <c r="B2399" s="3" t="s">
        <v>160</v>
      </c>
      <c r="C2399" s="3" t="s">
        <v>14</v>
      </c>
      <c r="D2399" s="3" t="str">
        <f>VLOOKUP(C2399,Countries!$B$3:$C$140,2,FALSE)</f>
        <v>Europe</v>
      </c>
      <c r="E2399" s="3" t="s">
        <v>25</v>
      </c>
      <c r="F2399" s="3" t="str">
        <f>VLOOKUP(E2399,Countries!$B$3:$C$140,2,FALSE)</f>
        <v>Europe</v>
      </c>
      <c r="G2399" s="4">
        <v>18</v>
      </c>
      <c r="H2399" s="4">
        <v>0</v>
      </c>
    </row>
    <row r="2400" spans="2:8" x14ac:dyDescent="0.2">
      <c r="B2400" s="3" t="s">
        <v>160</v>
      </c>
      <c r="C2400" s="3" t="s">
        <v>14</v>
      </c>
      <c r="D2400" s="3" t="str">
        <f>VLOOKUP(C2400,Countries!$B$3:$C$140,2,FALSE)</f>
        <v>Europe</v>
      </c>
      <c r="E2400" s="3" t="s">
        <v>26</v>
      </c>
      <c r="F2400" s="3" t="str">
        <f>VLOOKUP(E2400,Countries!$B$3:$C$140,2,FALSE)</f>
        <v>Europe</v>
      </c>
      <c r="G2400" s="4">
        <v>12</v>
      </c>
      <c r="H2400" s="4">
        <v>0</v>
      </c>
    </row>
    <row r="2401" spans="2:8" x14ac:dyDescent="0.2">
      <c r="B2401" s="3" t="s">
        <v>160</v>
      </c>
      <c r="C2401" s="3" t="s">
        <v>14</v>
      </c>
      <c r="D2401" s="3" t="str">
        <f>VLOOKUP(C2401,Countries!$B$3:$C$140,2,FALSE)</f>
        <v>Europe</v>
      </c>
      <c r="E2401" s="3" t="s">
        <v>46</v>
      </c>
      <c r="F2401" s="3" t="str">
        <f>VLOOKUP(E2401,Countries!$B$3:$C$140,2,FALSE)</f>
        <v>Europe/Asia</v>
      </c>
      <c r="G2401" s="4">
        <v>8</v>
      </c>
      <c r="H2401" s="4">
        <v>471232.37710799999</v>
      </c>
    </row>
    <row r="2402" spans="2:8" x14ac:dyDescent="0.2">
      <c r="B2402" s="3" t="s">
        <v>160</v>
      </c>
      <c r="C2402" s="3" t="s">
        <v>14</v>
      </c>
      <c r="D2402" s="3" t="str">
        <f>VLOOKUP(C2402,Countries!$B$3:$C$140,2,FALSE)</f>
        <v>Europe</v>
      </c>
      <c r="E2402" s="3" t="s">
        <v>90</v>
      </c>
      <c r="F2402" s="3" t="str">
        <f>VLOOKUP(E2402,Countries!$B$3:$C$140,2,FALSE)</f>
        <v>Asia</v>
      </c>
      <c r="G2402" s="4">
        <v>4</v>
      </c>
      <c r="H2402" s="4">
        <v>0</v>
      </c>
    </row>
    <row r="2403" spans="2:8" x14ac:dyDescent="0.2">
      <c r="B2403" s="3" t="s">
        <v>160</v>
      </c>
      <c r="C2403" s="3" t="s">
        <v>14</v>
      </c>
      <c r="D2403" s="3" t="str">
        <f>VLOOKUP(C2403,Countries!$B$3:$C$140,2,FALSE)</f>
        <v>Europe</v>
      </c>
      <c r="E2403" s="3" t="s">
        <v>28</v>
      </c>
      <c r="F2403" s="3" t="str">
        <f>VLOOKUP(E2403,Countries!$B$3:$C$140,2,FALSE)</f>
        <v>Europe</v>
      </c>
      <c r="G2403" s="4">
        <v>20</v>
      </c>
      <c r="H2403" s="4">
        <v>0</v>
      </c>
    </row>
    <row r="2404" spans="2:8" x14ac:dyDescent="0.2">
      <c r="B2404" s="3" t="s">
        <v>160</v>
      </c>
      <c r="C2404" s="3" t="s">
        <v>14</v>
      </c>
      <c r="D2404" s="3" t="str">
        <f>VLOOKUP(C2404,Countries!$B$3:$C$140,2,FALSE)</f>
        <v>Europe</v>
      </c>
      <c r="E2404" s="3" t="s">
        <v>29</v>
      </c>
      <c r="F2404" s="3" t="str">
        <f>VLOOKUP(E2404,Countries!$B$3:$C$140,2,FALSE)</f>
        <v>Europe</v>
      </c>
      <c r="G2404" s="4">
        <v>4</v>
      </c>
      <c r="H2404" s="4">
        <v>0</v>
      </c>
    </row>
    <row r="2405" spans="2:8" x14ac:dyDescent="0.2">
      <c r="B2405" s="3" t="s">
        <v>160</v>
      </c>
      <c r="C2405" s="3" t="s">
        <v>14</v>
      </c>
      <c r="D2405" s="3" t="str">
        <f>VLOOKUP(C2405,Countries!$B$3:$C$140,2,FALSE)</f>
        <v>Europe</v>
      </c>
      <c r="E2405" s="3" t="s">
        <v>30</v>
      </c>
      <c r="F2405" s="3" t="str">
        <f>VLOOKUP(E2405,Countries!$B$3:$C$140,2,FALSE)</f>
        <v>Europe</v>
      </c>
      <c r="G2405" s="4">
        <v>2</v>
      </c>
      <c r="H2405" s="4">
        <v>0</v>
      </c>
    </row>
    <row r="2406" spans="2:8" x14ac:dyDescent="0.2">
      <c r="B2406" s="3" t="s">
        <v>160</v>
      </c>
      <c r="C2406" s="3" t="s">
        <v>14</v>
      </c>
      <c r="D2406" s="3" t="str">
        <f>VLOOKUP(C2406,Countries!$B$3:$C$140,2,FALSE)</f>
        <v>Europe</v>
      </c>
      <c r="E2406" s="3" t="s">
        <v>31</v>
      </c>
      <c r="F2406" s="3" t="str">
        <f>VLOOKUP(E2406,Countries!$B$3:$C$140,2,FALSE)</f>
        <v>Europe</v>
      </c>
      <c r="G2406" s="4">
        <v>4</v>
      </c>
      <c r="H2406" s="4">
        <v>0</v>
      </c>
    </row>
    <row r="2407" spans="2:8" x14ac:dyDescent="0.2">
      <c r="B2407" s="3" t="s">
        <v>160</v>
      </c>
      <c r="C2407" s="3" t="s">
        <v>14</v>
      </c>
      <c r="D2407" s="3" t="str">
        <f>VLOOKUP(C2407,Countries!$B$3:$C$140,2,FALSE)</f>
        <v>Europe</v>
      </c>
      <c r="E2407" s="3" t="s">
        <v>57</v>
      </c>
      <c r="F2407" s="3" t="str">
        <f>VLOOKUP(E2407,Countries!$B$3:$C$140,2,FALSE)</f>
        <v>Europe/Asia</v>
      </c>
      <c r="G2407" s="4">
        <v>4</v>
      </c>
      <c r="H2407" s="4">
        <v>0</v>
      </c>
    </row>
    <row r="2408" spans="2:8" x14ac:dyDescent="0.2">
      <c r="B2408" s="3" t="s">
        <v>160</v>
      </c>
      <c r="C2408" s="3" t="s">
        <v>14</v>
      </c>
      <c r="D2408" s="3" t="str">
        <f>VLOOKUP(C2408,Countries!$B$3:$C$140,2,FALSE)</f>
        <v>Europe</v>
      </c>
      <c r="E2408" s="3" t="s">
        <v>105</v>
      </c>
      <c r="F2408" s="3" t="str">
        <f>VLOOKUP(E2408,Countries!$B$3:$C$140,2,FALSE)</f>
        <v>Asia</v>
      </c>
      <c r="G2408" s="4">
        <v>2</v>
      </c>
      <c r="H2408" s="4">
        <v>0</v>
      </c>
    </row>
    <row r="2409" spans="2:8" x14ac:dyDescent="0.2">
      <c r="B2409" s="3" t="s">
        <v>160</v>
      </c>
      <c r="C2409" s="3" t="s">
        <v>14</v>
      </c>
      <c r="D2409" s="3" t="str">
        <f>VLOOKUP(C2409,Countries!$B$3:$C$140,2,FALSE)</f>
        <v>Europe</v>
      </c>
      <c r="E2409" s="3" t="s">
        <v>58</v>
      </c>
      <c r="F2409" s="3" t="str">
        <f>VLOOKUP(E2409,Countries!$B$3:$C$140,2,FALSE)</f>
        <v>South America</v>
      </c>
      <c r="G2409" s="4">
        <v>2</v>
      </c>
      <c r="H2409" s="4">
        <v>1731071.2345140001</v>
      </c>
    </row>
    <row r="2410" spans="2:8" x14ac:dyDescent="0.2">
      <c r="B2410" s="3" t="s">
        <v>160</v>
      </c>
      <c r="C2410" s="3" t="s">
        <v>14</v>
      </c>
      <c r="D2410" s="3" t="str">
        <f>VLOOKUP(C2410,Countries!$B$3:$C$140,2,FALSE)</f>
        <v>Europe</v>
      </c>
      <c r="E2410" s="3" t="s">
        <v>33</v>
      </c>
      <c r="F2410" s="3" t="str">
        <f>VLOOKUP(E2410,Countries!$B$3:$C$140,2,FALSE)</f>
        <v>North America</v>
      </c>
      <c r="G2410" s="4">
        <v>6</v>
      </c>
      <c r="H2410" s="4">
        <v>0</v>
      </c>
    </row>
    <row r="2411" spans="2:8" x14ac:dyDescent="0.2">
      <c r="B2411" s="3" t="s">
        <v>160</v>
      </c>
      <c r="C2411" s="3" t="s">
        <v>14</v>
      </c>
      <c r="D2411" s="3" t="str">
        <f>VLOOKUP(C2411,Countries!$B$3:$C$140,2,FALSE)</f>
        <v>Europe</v>
      </c>
      <c r="E2411" s="3" t="s">
        <v>91</v>
      </c>
      <c r="F2411" s="3" t="str">
        <f>VLOOKUP(E2411,Countries!$B$3:$C$140,2,FALSE)</f>
        <v>South America</v>
      </c>
      <c r="G2411" s="4">
        <v>2</v>
      </c>
      <c r="H2411" s="4">
        <v>0</v>
      </c>
    </row>
    <row r="2412" spans="2:8" x14ac:dyDescent="0.2">
      <c r="B2412" s="3" t="s">
        <v>160</v>
      </c>
      <c r="C2412" s="3" t="s">
        <v>15</v>
      </c>
      <c r="D2412" s="3" t="str">
        <f>VLOOKUP(C2412,Countries!$B$3:$C$140,2,FALSE)</f>
        <v>Europe</v>
      </c>
      <c r="E2412" s="3" t="s">
        <v>2</v>
      </c>
      <c r="F2412" s="3" t="str">
        <f>VLOOKUP(E2412,Countries!$B$3:$C$140,2,FALSE)</f>
        <v>Europe</v>
      </c>
      <c r="G2412" s="4">
        <v>2</v>
      </c>
      <c r="H2412" s="4">
        <v>0</v>
      </c>
    </row>
    <row r="2413" spans="2:8" x14ac:dyDescent="0.2">
      <c r="B2413" s="3" t="s">
        <v>160</v>
      </c>
      <c r="C2413" s="3" t="s">
        <v>15</v>
      </c>
      <c r="D2413" s="3" t="str">
        <f>VLOOKUP(C2413,Countries!$B$3:$C$140,2,FALSE)</f>
        <v>Europe</v>
      </c>
      <c r="E2413" s="3" t="s">
        <v>69</v>
      </c>
      <c r="F2413" s="3" t="str">
        <f>VLOOKUP(E2413,Countries!$B$3:$C$140,2,FALSE)</f>
        <v>South America</v>
      </c>
      <c r="G2413" s="4">
        <v>2</v>
      </c>
      <c r="H2413" s="4">
        <v>0</v>
      </c>
    </row>
    <row r="2414" spans="2:8" x14ac:dyDescent="0.2">
      <c r="B2414" s="3" t="s">
        <v>160</v>
      </c>
      <c r="C2414" s="3" t="s">
        <v>15</v>
      </c>
      <c r="D2414" s="3" t="str">
        <f>VLOOKUP(C2414,Countries!$B$3:$C$140,2,FALSE)</f>
        <v>Europe</v>
      </c>
      <c r="E2414" s="3" t="s">
        <v>3</v>
      </c>
      <c r="F2414" s="3" t="str">
        <f>VLOOKUP(E2414,Countries!$B$3:$C$140,2,FALSE)</f>
        <v>Europe</v>
      </c>
      <c r="G2414" s="4">
        <v>20</v>
      </c>
      <c r="H2414" s="4">
        <v>0</v>
      </c>
    </row>
    <row r="2415" spans="2:8" x14ac:dyDescent="0.2">
      <c r="B2415" s="3" t="s">
        <v>160</v>
      </c>
      <c r="C2415" s="3" t="s">
        <v>15</v>
      </c>
      <c r="D2415" s="3" t="str">
        <f>VLOOKUP(C2415,Countries!$B$3:$C$140,2,FALSE)</f>
        <v>Europe</v>
      </c>
      <c r="E2415" s="3" t="s">
        <v>4</v>
      </c>
      <c r="F2415" s="3" t="str">
        <f>VLOOKUP(E2415,Countries!$B$3:$C$140,2,FALSE)</f>
        <v>Asia</v>
      </c>
      <c r="G2415" s="4">
        <v>2</v>
      </c>
      <c r="H2415" s="4">
        <v>0</v>
      </c>
    </row>
    <row r="2416" spans="2:8" x14ac:dyDescent="0.2">
      <c r="B2416" s="3" t="s">
        <v>160</v>
      </c>
      <c r="C2416" s="3" t="s">
        <v>15</v>
      </c>
      <c r="D2416" s="3" t="str">
        <f>VLOOKUP(C2416,Countries!$B$3:$C$140,2,FALSE)</f>
        <v>Europe</v>
      </c>
      <c r="E2416" s="3" t="s">
        <v>35</v>
      </c>
      <c r="F2416" s="3" t="str">
        <f>VLOOKUP(E2416,Countries!$B$3:$C$140,2,FALSE)</f>
        <v>Europe</v>
      </c>
      <c r="G2416" s="4">
        <v>20</v>
      </c>
      <c r="H2416" s="4">
        <v>0</v>
      </c>
    </row>
    <row r="2417" spans="2:8" x14ac:dyDescent="0.2">
      <c r="B2417" s="3" t="s">
        <v>160</v>
      </c>
      <c r="C2417" s="3" t="s">
        <v>15</v>
      </c>
      <c r="D2417" s="3" t="str">
        <f>VLOOKUP(C2417,Countries!$B$3:$C$140,2,FALSE)</f>
        <v>Europe</v>
      </c>
      <c r="E2417" s="3" t="s">
        <v>6</v>
      </c>
      <c r="F2417" s="3" t="str">
        <f>VLOOKUP(E2417,Countries!$B$3:$C$140,2,FALSE)</f>
        <v>Europe</v>
      </c>
      <c r="G2417" s="4">
        <v>16</v>
      </c>
      <c r="H2417" s="4">
        <v>0</v>
      </c>
    </row>
    <row r="2418" spans="2:8" x14ac:dyDescent="0.2">
      <c r="B2418" s="3" t="s">
        <v>160</v>
      </c>
      <c r="C2418" s="3" t="s">
        <v>15</v>
      </c>
      <c r="D2418" s="3" t="str">
        <f>VLOOKUP(C2418,Countries!$B$3:$C$140,2,FALSE)</f>
        <v>Europe</v>
      </c>
      <c r="E2418" s="3" t="s">
        <v>59</v>
      </c>
      <c r="F2418" s="3" t="str">
        <f>VLOOKUP(E2418,Countries!$B$3:$C$140,2,FALSE)</f>
        <v>Europe</v>
      </c>
      <c r="G2418" s="4">
        <v>2</v>
      </c>
      <c r="H2418" s="4">
        <v>0</v>
      </c>
    </row>
    <row r="2419" spans="2:8" x14ac:dyDescent="0.2">
      <c r="B2419" s="3" t="s">
        <v>160</v>
      </c>
      <c r="C2419" s="3" t="s">
        <v>15</v>
      </c>
      <c r="D2419" s="3" t="str">
        <f>VLOOKUP(C2419,Countries!$B$3:$C$140,2,FALSE)</f>
        <v>Europe</v>
      </c>
      <c r="E2419" s="3" t="s">
        <v>7</v>
      </c>
      <c r="F2419" s="3" t="str">
        <f>VLOOKUP(E2419,Countries!$B$3:$C$140,2,FALSE)</f>
        <v>South America</v>
      </c>
      <c r="G2419" s="4">
        <v>44</v>
      </c>
      <c r="H2419" s="4">
        <v>1710537.4641765002</v>
      </c>
    </row>
    <row r="2420" spans="2:8" x14ac:dyDescent="0.2">
      <c r="B2420" s="3" t="s">
        <v>160</v>
      </c>
      <c r="C2420" s="3" t="s">
        <v>15</v>
      </c>
      <c r="D2420" s="3" t="str">
        <f>VLOOKUP(C2420,Countries!$B$3:$C$140,2,FALSE)</f>
        <v>Europe</v>
      </c>
      <c r="E2420" s="3" t="s">
        <v>36</v>
      </c>
      <c r="F2420" s="3" t="str">
        <f>VLOOKUP(E2420,Countries!$B$3:$C$140,2,FALSE)</f>
        <v>Europe</v>
      </c>
      <c r="G2420" s="4">
        <v>2</v>
      </c>
      <c r="H2420" s="4">
        <v>0</v>
      </c>
    </row>
    <row r="2421" spans="2:8" x14ac:dyDescent="0.2">
      <c r="B2421" s="3" t="s">
        <v>160</v>
      </c>
      <c r="C2421" s="3" t="s">
        <v>15</v>
      </c>
      <c r="D2421" s="3" t="str">
        <f>VLOOKUP(C2421,Countries!$B$3:$C$140,2,FALSE)</f>
        <v>Europe</v>
      </c>
      <c r="E2421" s="3" t="s">
        <v>8</v>
      </c>
      <c r="F2421" s="3" t="str">
        <f>VLOOKUP(E2421,Countries!$B$3:$C$140,2,FALSE)</f>
        <v>North America</v>
      </c>
      <c r="G2421" s="4">
        <v>2</v>
      </c>
      <c r="H2421" s="4">
        <v>0</v>
      </c>
    </row>
    <row r="2422" spans="2:8" x14ac:dyDescent="0.2">
      <c r="B2422" s="3" t="s">
        <v>160</v>
      </c>
      <c r="C2422" s="3" t="s">
        <v>15</v>
      </c>
      <c r="D2422" s="3" t="str">
        <f>VLOOKUP(C2422,Countries!$B$3:$C$140,2,FALSE)</f>
        <v>Europe</v>
      </c>
      <c r="E2422" s="3" t="s">
        <v>106</v>
      </c>
      <c r="F2422" s="3" t="str">
        <f>VLOOKUP(E2422,Countries!$B$3:$C$140,2,FALSE)</f>
        <v>Africa</v>
      </c>
      <c r="G2422" s="4">
        <v>2</v>
      </c>
      <c r="H2422" s="4">
        <v>0</v>
      </c>
    </row>
    <row r="2423" spans="2:8" x14ac:dyDescent="0.2">
      <c r="B2423" s="3" t="s">
        <v>160</v>
      </c>
      <c r="C2423" s="3" t="s">
        <v>15</v>
      </c>
      <c r="D2423" s="3" t="str">
        <f>VLOOKUP(C2423,Countries!$B$3:$C$140,2,FALSE)</f>
        <v>Europe</v>
      </c>
      <c r="E2423" s="3" t="s">
        <v>72</v>
      </c>
      <c r="F2423" s="3" t="str">
        <f>VLOOKUP(E2423,Countries!$B$3:$C$140,2,FALSE)</f>
        <v>South America</v>
      </c>
      <c r="G2423" s="4">
        <v>2</v>
      </c>
      <c r="H2423" s="4">
        <v>0</v>
      </c>
    </row>
    <row r="2424" spans="2:8" x14ac:dyDescent="0.2">
      <c r="B2424" s="3" t="s">
        <v>160</v>
      </c>
      <c r="C2424" s="3" t="s">
        <v>15</v>
      </c>
      <c r="D2424" s="3" t="str">
        <f>VLOOKUP(C2424,Countries!$B$3:$C$140,2,FALSE)</f>
        <v>Europe</v>
      </c>
      <c r="E2424" s="3" t="s">
        <v>9</v>
      </c>
      <c r="F2424" s="3" t="str">
        <f>VLOOKUP(E2424,Countries!$B$3:$C$140,2,FALSE)</f>
        <v>Europe</v>
      </c>
      <c r="G2424" s="4">
        <v>12</v>
      </c>
      <c r="H2424" s="4">
        <v>0</v>
      </c>
    </row>
    <row r="2425" spans="2:8" x14ac:dyDescent="0.2">
      <c r="B2425" s="3" t="s">
        <v>160</v>
      </c>
      <c r="C2425" s="3" t="s">
        <v>15</v>
      </c>
      <c r="D2425" s="3" t="str">
        <f>VLOOKUP(C2425,Countries!$B$3:$C$140,2,FALSE)</f>
        <v>Europe</v>
      </c>
      <c r="E2425" s="3" t="s">
        <v>62</v>
      </c>
      <c r="F2425" s="3" t="str">
        <f>VLOOKUP(E2425,Countries!$B$3:$C$140,2,FALSE)</f>
        <v>Asia</v>
      </c>
      <c r="G2425" s="4">
        <v>6</v>
      </c>
      <c r="H2425" s="4">
        <v>0</v>
      </c>
    </row>
    <row r="2426" spans="2:8" x14ac:dyDescent="0.2">
      <c r="B2426" s="3" t="s">
        <v>160</v>
      </c>
      <c r="C2426" s="3" t="s">
        <v>15</v>
      </c>
      <c r="D2426" s="3" t="str">
        <f>VLOOKUP(C2426,Countries!$B$3:$C$140,2,FALSE)</f>
        <v>Europe</v>
      </c>
      <c r="E2426" s="3" t="s">
        <v>49</v>
      </c>
      <c r="F2426" s="3" t="str">
        <f>VLOOKUP(E2426,Countries!$B$3:$C$140,2,FALSE)</f>
        <v>Europe</v>
      </c>
      <c r="G2426" s="4">
        <v>6</v>
      </c>
      <c r="H2426" s="4">
        <v>0</v>
      </c>
    </row>
    <row r="2427" spans="2:8" x14ac:dyDescent="0.2">
      <c r="B2427" s="3" t="s">
        <v>160</v>
      </c>
      <c r="C2427" s="3" t="s">
        <v>15</v>
      </c>
      <c r="D2427" s="3" t="str">
        <f>VLOOKUP(C2427,Countries!$B$3:$C$140,2,FALSE)</f>
        <v>Europe</v>
      </c>
      <c r="E2427" s="3" t="s">
        <v>10</v>
      </c>
      <c r="F2427" s="3" t="str">
        <f>VLOOKUP(E2427,Countries!$B$3:$C$140,2,FALSE)</f>
        <v>Europe</v>
      </c>
      <c r="G2427" s="4">
        <v>2</v>
      </c>
      <c r="H2427" s="4">
        <v>0</v>
      </c>
    </row>
    <row r="2428" spans="2:8" x14ac:dyDescent="0.2">
      <c r="B2428" s="3" t="s">
        <v>160</v>
      </c>
      <c r="C2428" s="3" t="s">
        <v>15</v>
      </c>
      <c r="D2428" s="3" t="str">
        <f>VLOOKUP(C2428,Countries!$B$3:$C$140,2,FALSE)</f>
        <v>Europe</v>
      </c>
      <c r="E2428" s="3" t="s">
        <v>63</v>
      </c>
      <c r="F2428" s="3" t="str">
        <f>VLOOKUP(E2428,Countries!$B$3:$C$140,2,FALSE)</f>
        <v>Africa</v>
      </c>
      <c r="G2428" s="4">
        <v>2</v>
      </c>
      <c r="H2428" s="4">
        <v>0</v>
      </c>
    </row>
    <row r="2429" spans="2:8" x14ac:dyDescent="0.2">
      <c r="B2429" s="3" t="s">
        <v>160</v>
      </c>
      <c r="C2429" s="3" t="s">
        <v>15</v>
      </c>
      <c r="D2429" s="3" t="str">
        <f>VLOOKUP(C2429,Countries!$B$3:$C$140,2,FALSE)</f>
        <v>Europe</v>
      </c>
      <c r="E2429" s="3" t="s">
        <v>50</v>
      </c>
      <c r="F2429" s="3" t="str">
        <f>VLOOKUP(E2429,Countries!$B$3:$C$140,2,FALSE)</f>
        <v>Europe</v>
      </c>
      <c r="G2429" s="4">
        <v>4</v>
      </c>
      <c r="H2429" s="4">
        <v>0</v>
      </c>
    </row>
    <row r="2430" spans="2:8" x14ac:dyDescent="0.2">
      <c r="B2430" s="3" t="s">
        <v>160</v>
      </c>
      <c r="C2430" s="3" t="s">
        <v>15</v>
      </c>
      <c r="D2430" s="3" t="str">
        <f>VLOOKUP(C2430,Countries!$B$3:$C$140,2,FALSE)</f>
        <v>Europe</v>
      </c>
      <c r="E2430" s="3" t="s">
        <v>11</v>
      </c>
      <c r="F2430" s="3" t="str">
        <f>VLOOKUP(E2430,Countries!$B$3:$C$140,2,FALSE)</f>
        <v>Europe</v>
      </c>
      <c r="G2430" s="4">
        <v>12</v>
      </c>
      <c r="H2430" s="4">
        <v>0</v>
      </c>
    </row>
    <row r="2431" spans="2:8" x14ac:dyDescent="0.2">
      <c r="B2431" s="3" t="s">
        <v>160</v>
      </c>
      <c r="C2431" s="3" t="s">
        <v>15</v>
      </c>
      <c r="D2431" s="3" t="str">
        <f>VLOOKUP(C2431,Countries!$B$3:$C$140,2,FALSE)</f>
        <v>Europe</v>
      </c>
      <c r="E2431" s="3" t="s">
        <v>12</v>
      </c>
      <c r="F2431" s="3" t="str">
        <f>VLOOKUP(E2431,Countries!$B$3:$C$140,2,FALSE)</f>
        <v>Europe</v>
      </c>
      <c r="G2431" s="4">
        <v>10</v>
      </c>
      <c r="H2431" s="4">
        <v>0</v>
      </c>
    </row>
    <row r="2432" spans="2:8" x14ac:dyDescent="0.2">
      <c r="B2432" s="3" t="s">
        <v>160</v>
      </c>
      <c r="C2432" s="3" t="s">
        <v>15</v>
      </c>
      <c r="D2432" s="3" t="str">
        <f>VLOOKUP(C2432,Countries!$B$3:$C$140,2,FALSE)</f>
        <v>Europe</v>
      </c>
      <c r="E2432" s="3" t="s">
        <v>39</v>
      </c>
      <c r="F2432" s="3" t="str">
        <f>VLOOKUP(E2432,Countries!$B$3:$C$140,2,FALSE)</f>
        <v>Europe/Asia</v>
      </c>
      <c r="G2432" s="4">
        <v>8</v>
      </c>
      <c r="H2432" s="4">
        <v>0</v>
      </c>
    </row>
    <row r="2433" spans="2:8" x14ac:dyDescent="0.2">
      <c r="B2433" s="3" t="s">
        <v>160</v>
      </c>
      <c r="C2433" s="3" t="s">
        <v>15</v>
      </c>
      <c r="D2433" s="3" t="str">
        <f>VLOOKUP(C2433,Countries!$B$3:$C$140,2,FALSE)</f>
        <v>Europe</v>
      </c>
      <c r="E2433" s="3" t="s">
        <v>13</v>
      </c>
      <c r="F2433" s="3" t="str">
        <f>VLOOKUP(E2433,Countries!$B$3:$C$140,2,FALSE)</f>
        <v>Europe</v>
      </c>
      <c r="G2433" s="4">
        <v>14</v>
      </c>
      <c r="H2433" s="4">
        <v>0</v>
      </c>
    </row>
    <row r="2434" spans="2:8" x14ac:dyDescent="0.2">
      <c r="B2434" s="3" t="s">
        <v>160</v>
      </c>
      <c r="C2434" s="3" t="s">
        <v>15</v>
      </c>
      <c r="D2434" s="3" t="str">
        <f>VLOOKUP(C2434,Countries!$B$3:$C$140,2,FALSE)</f>
        <v>Europe</v>
      </c>
      <c r="E2434" s="3" t="s">
        <v>14</v>
      </c>
      <c r="F2434" s="3" t="str">
        <f>VLOOKUP(E2434,Countries!$B$3:$C$140,2,FALSE)</f>
        <v>Europe</v>
      </c>
      <c r="G2434" s="4">
        <v>14</v>
      </c>
      <c r="H2434" s="4">
        <v>302687.32088250003</v>
      </c>
    </row>
    <row r="2435" spans="2:8" x14ac:dyDescent="0.2">
      <c r="B2435" s="3" t="s">
        <v>160</v>
      </c>
      <c r="C2435" s="3" t="s">
        <v>15</v>
      </c>
      <c r="D2435" s="3" t="str">
        <f>VLOOKUP(C2435,Countries!$B$3:$C$140,2,FALSE)</f>
        <v>Europe</v>
      </c>
      <c r="E2435" s="3" t="s">
        <v>51</v>
      </c>
      <c r="F2435" s="3" t="str">
        <f>VLOOKUP(E2435,Countries!$B$3:$C$140,2,FALSE)</f>
        <v>Asia</v>
      </c>
      <c r="G2435" s="4">
        <v>8</v>
      </c>
      <c r="H2435" s="4">
        <v>0</v>
      </c>
    </row>
    <row r="2436" spans="2:8" x14ac:dyDescent="0.2">
      <c r="B2436" s="3" t="s">
        <v>160</v>
      </c>
      <c r="C2436" s="3" t="s">
        <v>15</v>
      </c>
      <c r="D2436" s="3" t="str">
        <f>VLOOKUP(C2436,Countries!$B$3:$C$140,2,FALSE)</f>
        <v>Europe</v>
      </c>
      <c r="E2436" s="3" t="s">
        <v>17</v>
      </c>
      <c r="F2436" s="3" t="str">
        <f>VLOOKUP(E2436,Countries!$B$3:$C$140,2,FALSE)</f>
        <v>Europe</v>
      </c>
      <c r="G2436" s="4">
        <v>30</v>
      </c>
      <c r="H2436" s="4">
        <v>424831.74443595298</v>
      </c>
    </row>
    <row r="2437" spans="2:8" x14ac:dyDescent="0.2">
      <c r="B2437" s="3" t="s">
        <v>160</v>
      </c>
      <c r="C2437" s="3" t="s">
        <v>15</v>
      </c>
      <c r="D2437" s="3" t="str">
        <f>VLOOKUP(C2437,Countries!$B$3:$C$140,2,FALSE)</f>
        <v>Europe</v>
      </c>
      <c r="E2437" s="3" t="s">
        <v>102</v>
      </c>
      <c r="F2437" s="3" t="str">
        <f>VLOOKUP(E2437,Countries!$B$3:$C$140,2,FALSE)</f>
        <v>North America</v>
      </c>
      <c r="G2437" s="4">
        <v>2</v>
      </c>
      <c r="H2437" s="4">
        <v>0</v>
      </c>
    </row>
    <row r="2438" spans="2:8" x14ac:dyDescent="0.2">
      <c r="B2438" s="3" t="s">
        <v>160</v>
      </c>
      <c r="C2438" s="3" t="s">
        <v>15</v>
      </c>
      <c r="D2438" s="3" t="str">
        <f>VLOOKUP(C2438,Countries!$B$3:$C$140,2,FALSE)</f>
        <v>Europe</v>
      </c>
      <c r="E2438" s="3" t="s">
        <v>40</v>
      </c>
      <c r="F2438" s="3" t="str">
        <f>VLOOKUP(E2438,Countries!$B$3:$C$140,2,FALSE)</f>
        <v>Asia</v>
      </c>
      <c r="G2438" s="4">
        <v>6</v>
      </c>
      <c r="H2438" s="4">
        <v>0</v>
      </c>
    </row>
    <row r="2439" spans="2:8" x14ac:dyDescent="0.2">
      <c r="B2439" s="3" t="s">
        <v>160</v>
      </c>
      <c r="C2439" s="3" t="s">
        <v>15</v>
      </c>
      <c r="D2439" s="3" t="str">
        <f>VLOOKUP(C2439,Countries!$B$3:$C$140,2,FALSE)</f>
        <v>Europe</v>
      </c>
      <c r="E2439" s="3" t="s">
        <v>119</v>
      </c>
      <c r="F2439" s="3" t="str">
        <f>VLOOKUP(E2439,Countries!$B$3:$C$140,2,FALSE)</f>
        <v>Africa</v>
      </c>
      <c r="G2439" s="4">
        <v>2</v>
      </c>
      <c r="H2439" s="4">
        <v>0</v>
      </c>
    </row>
    <row r="2440" spans="2:8" x14ac:dyDescent="0.2">
      <c r="B2440" s="3" t="s">
        <v>160</v>
      </c>
      <c r="C2440" s="3" t="s">
        <v>15</v>
      </c>
      <c r="D2440" s="3" t="str">
        <f>VLOOKUP(C2440,Countries!$B$3:$C$140,2,FALSE)</f>
        <v>Europe</v>
      </c>
      <c r="E2440" s="3" t="s">
        <v>66</v>
      </c>
      <c r="F2440" s="3" t="str">
        <f>VLOOKUP(E2440,Countries!$B$3:$C$140,2,FALSE)</f>
        <v>Europe</v>
      </c>
      <c r="G2440" s="4">
        <v>2</v>
      </c>
      <c r="H2440" s="4">
        <v>0</v>
      </c>
    </row>
    <row r="2441" spans="2:8" x14ac:dyDescent="0.2">
      <c r="B2441" s="3" t="s">
        <v>160</v>
      </c>
      <c r="C2441" s="3" t="s">
        <v>15</v>
      </c>
      <c r="D2441" s="3" t="str">
        <f>VLOOKUP(C2441,Countries!$B$3:$C$140,2,FALSE)</f>
        <v>Europe</v>
      </c>
      <c r="E2441" s="3" t="s">
        <v>22</v>
      </c>
      <c r="F2441" s="3" t="str">
        <f>VLOOKUP(E2441,Countries!$B$3:$C$140,2,FALSE)</f>
        <v>Europe</v>
      </c>
      <c r="G2441" s="4">
        <v>6</v>
      </c>
      <c r="H2441" s="4">
        <v>0</v>
      </c>
    </row>
    <row r="2442" spans="2:8" x14ac:dyDescent="0.2">
      <c r="B2442" s="3" t="s">
        <v>160</v>
      </c>
      <c r="C2442" s="3" t="s">
        <v>15</v>
      </c>
      <c r="D2442" s="3" t="str">
        <f>VLOOKUP(C2442,Countries!$B$3:$C$140,2,FALSE)</f>
        <v>Europe</v>
      </c>
      <c r="E2442" s="3" t="s">
        <v>23</v>
      </c>
      <c r="F2442" s="3" t="str">
        <f>VLOOKUP(E2442,Countries!$B$3:$C$140,2,FALSE)</f>
        <v>Europe</v>
      </c>
      <c r="G2442" s="4">
        <v>4</v>
      </c>
      <c r="H2442" s="4">
        <v>0</v>
      </c>
    </row>
    <row r="2443" spans="2:8" x14ac:dyDescent="0.2">
      <c r="B2443" s="3" t="s">
        <v>160</v>
      </c>
      <c r="C2443" s="3" t="s">
        <v>15</v>
      </c>
      <c r="D2443" s="3" t="str">
        <f>VLOOKUP(C2443,Countries!$B$3:$C$140,2,FALSE)</f>
        <v>Europe</v>
      </c>
      <c r="E2443" s="3" t="s">
        <v>53</v>
      </c>
      <c r="F2443" s="3" t="str">
        <f>VLOOKUP(E2443,Countries!$B$3:$C$140,2,FALSE)</f>
        <v>Europe</v>
      </c>
      <c r="G2443" s="4">
        <v>12</v>
      </c>
      <c r="H2443" s="4">
        <v>0</v>
      </c>
    </row>
    <row r="2444" spans="2:8" x14ac:dyDescent="0.2">
      <c r="B2444" s="3" t="s">
        <v>160</v>
      </c>
      <c r="C2444" s="3" t="s">
        <v>15</v>
      </c>
      <c r="D2444" s="3" t="str">
        <f>VLOOKUP(C2444,Countries!$B$3:$C$140,2,FALSE)</f>
        <v>Europe</v>
      </c>
      <c r="E2444" s="3" t="s">
        <v>24</v>
      </c>
      <c r="F2444" s="3" t="str">
        <f>VLOOKUP(E2444,Countries!$B$3:$C$140,2,FALSE)</f>
        <v>Africa</v>
      </c>
      <c r="G2444" s="4">
        <v>6</v>
      </c>
      <c r="H2444" s="4">
        <v>0</v>
      </c>
    </row>
    <row r="2445" spans="2:8" x14ac:dyDescent="0.2">
      <c r="B2445" s="3" t="s">
        <v>160</v>
      </c>
      <c r="C2445" s="3" t="s">
        <v>15</v>
      </c>
      <c r="D2445" s="3" t="str">
        <f>VLOOKUP(C2445,Countries!$B$3:$C$140,2,FALSE)</f>
        <v>Europe</v>
      </c>
      <c r="E2445" s="3" t="s">
        <v>44</v>
      </c>
      <c r="F2445" s="3" t="str">
        <f>VLOOKUP(E2445,Countries!$B$3:$C$140,2,FALSE)</f>
        <v>Europe</v>
      </c>
      <c r="G2445" s="4">
        <v>2</v>
      </c>
      <c r="H2445" s="4">
        <v>0</v>
      </c>
    </row>
    <row r="2446" spans="2:8" x14ac:dyDescent="0.2">
      <c r="B2446" s="3" t="s">
        <v>160</v>
      </c>
      <c r="C2446" s="3" t="s">
        <v>15</v>
      </c>
      <c r="D2446" s="3" t="str">
        <f>VLOOKUP(C2446,Countries!$B$3:$C$140,2,FALSE)</f>
        <v>Europe</v>
      </c>
      <c r="E2446" s="3" t="s">
        <v>54</v>
      </c>
      <c r="F2446" s="3" t="str">
        <f>VLOOKUP(E2446,Countries!$B$3:$C$140,2,FALSE)</f>
        <v>Europe</v>
      </c>
      <c r="G2446" s="4">
        <v>4</v>
      </c>
      <c r="H2446" s="4">
        <v>0</v>
      </c>
    </row>
    <row r="2447" spans="2:8" x14ac:dyDescent="0.2">
      <c r="B2447" s="3" t="s">
        <v>160</v>
      </c>
      <c r="C2447" s="3" t="s">
        <v>15</v>
      </c>
      <c r="D2447" s="3" t="str">
        <f>VLOOKUP(C2447,Countries!$B$3:$C$140,2,FALSE)</f>
        <v>Europe</v>
      </c>
      <c r="E2447" s="3" t="s">
        <v>25</v>
      </c>
      <c r="F2447" s="3" t="str">
        <f>VLOOKUP(E2447,Countries!$B$3:$C$140,2,FALSE)</f>
        <v>Europe</v>
      </c>
      <c r="G2447" s="4">
        <v>24</v>
      </c>
      <c r="H2447" s="4">
        <v>0</v>
      </c>
    </row>
    <row r="2448" spans="2:8" x14ac:dyDescent="0.2">
      <c r="B2448" s="3" t="s">
        <v>160</v>
      </c>
      <c r="C2448" s="3" t="s">
        <v>15</v>
      </c>
      <c r="D2448" s="3" t="str">
        <f>VLOOKUP(C2448,Countries!$B$3:$C$140,2,FALSE)</f>
        <v>Europe</v>
      </c>
      <c r="E2448" s="3" t="s">
        <v>81</v>
      </c>
      <c r="F2448" s="3" t="str">
        <f>VLOOKUP(E2448,Countries!$B$3:$C$140,2,FALSE)</f>
        <v>Asia</v>
      </c>
      <c r="G2448" s="4">
        <v>2</v>
      </c>
      <c r="H2448" s="4">
        <v>0</v>
      </c>
    </row>
    <row r="2449" spans="2:8" x14ac:dyDescent="0.2">
      <c r="B2449" s="3" t="s">
        <v>160</v>
      </c>
      <c r="C2449" s="3" t="s">
        <v>15</v>
      </c>
      <c r="D2449" s="3" t="str">
        <f>VLOOKUP(C2449,Countries!$B$3:$C$140,2,FALSE)</f>
        <v>Europe</v>
      </c>
      <c r="E2449" s="3" t="s">
        <v>26</v>
      </c>
      <c r="F2449" s="3" t="str">
        <f>VLOOKUP(E2449,Countries!$B$3:$C$140,2,FALSE)</f>
        <v>Europe</v>
      </c>
      <c r="G2449" s="4">
        <v>42</v>
      </c>
      <c r="H2449" s="4">
        <v>0</v>
      </c>
    </row>
    <row r="2450" spans="2:8" x14ac:dyDescent="0.2">
      <c r="B2450" s="3" t="s">
        <v>160</v>
      </c>
      <c r="C2450" s="3" t="s">
        <v>15</v>
      </c>
      <c r="D2450" s="3" t="str">
        <f>VLOOKUP(C2450,Countries!$B$3:$C$140,2,FALSE)</f>
        <v>Europe</v>
      </c>
      <c r="E2450" s="3" t="s">
        <v>46</v>
      </c>
      <c r="F2450" s="3" t="str">
        <f>VLOOKUP(E2450,Countries!$B$3:$C$140,2,FALSE)</f>
        <v>Europe/Asia</v>
      </c>
      <c r="G2450" s="4">
        <v>2</v>
      </c>
      <c r="H2450" s="4">
        <v>0</v>
      </c>
    </row>
    <row r="2451" spans="2:8" x14ac:dyDescent="0.2">
      <c r="B2451" s="3" t="s">
        <v>160</v>
      </c>
      <c r="C2451" s="3" t="s">
        <v>15</v>
      </c>
      <c r="D2451" s="3" t="str">
        <f>VLOOKUP(C2451,Countries!$B$3:$C$140,2,FALSE)</f>
        <v>Europe</v>
      </c>
      <c r="E2451" s="3" t="s">
        <v>47</v>
      </c>
      <c r="F2451" s="3" t="str">
        <f>VLOOKUP(E2451,Countries!$B$3:$C$140,2,FALSE)</f>
        <v>Africa</v>
      </c>
      <c r="G2451" s="4">
        <v>2</v>
      </c>
      <c r="H2451" s="4">
        <v>0</v>
      </c>
    </row>
    <row r="2452" spans="2:8" x14ac:dyDescent="0.2">
      <c r="B2452" s="3" t="s">
        <v>160</v>
      </c>
      <c r="C2452" s="3" t="s">
        <v>15</v>
      </c>
      <c r="D2452" s="3" t="str">
        <f>VLOOKUP(C2452,Countries!$B$3:$C$140,2,FALSE)</f>
        <v>Europe</v>
      </c>
      <c r="E2452" s="3" t="s">
        <v>28</v>
      </c>
      <c r="F2452" s="3" t="str">
        <f>VLOOKUP(E2452,Countries!$B$3:$C$140,2,FALSE)</f>
        <v>Europe</v>
      </c>
      <c r="G2452" s="4">
        <v>22</v>
      </c>
      <c r="H2452" s="4">
        <v>298813.29470249999</v>
      </c>
    </row>
    <row r="2453" spans="2:8" x14ac:dyDescent="0.2">
      <c r="B2453" s="3" t="s">
        <v>160</v>
      </c>
      <c r="C2453" s="3" t="s">
        <v>15</v>
      </c>
      <c r="D2453" s="3" t="str">
        <f>VLOOKUP(C2453,Countries!$B$3:$C$140,2,FALSE)</f>
        <v>Europe</v>
      </c>
      <c r="E2453" s="3" t="s">
        <v>29</v>
      </c>
      <c r="F2453" s="3" t="str">
        <f>VLOOKUP(E2453,Countries!$B$3:$C$140,2,FALSE)</f>
        <v>Europe</v>
      </c>
      <c r="G2453" s="4">
        <v>4</v>
      </c>
      <c r="H2453" s="4">
        <v>0</v>
      </c>
    </row>
    <row r="2454" spans="2:8" x14ac:dyDescent="0.2">
      <c r="B2454" s="3" t="s">
        <v>160</v>
      </c>
      <c r="C2454" s="3" t="s">
        <v>15</v>
      </c>
      <c r="D2454" s="3" t="str">
        <f>VLOOKUP(C2454,Countries!$B$3:$C$140,2,FALSE)</f>
        <v>Europe</v>
      </c>
      <c r="E2454" s="3" t="s">
        <v>56</v>
      </c>
      <c r="F2454" s="3" t="str">
        <f>VLOOKUP(E2454,Countries!$B$3:$C$140,2,FALSE)</f>
        <v>Europe</v>
      </c>
      <c r="G2454" s="4">
        <v>22</v>
      </c>
      <c r="H2454" s="4">
        <v>0</v>
      </c>
    </row>
    <row r="2455" spans="2:8" x14ac:dyDescent="0.2">
      <c r="B2455" s="3" t="s">
        <v>160</v>
      </c>
      <c r="C2455" s="3" t="s">
        <v>15</v>
      </c>
      <c r="D2455" s="3" t="str">
        <f>VLOOKUP(C2455,Countries!$B$3:$C$140,2,FALSE)</f>
        <v>Europe</v>
      </c>
      <c r="E2455" s="3" t="s">
        <v>30</v>
      </c>
      <c r="F2455" s="3" t="str">
        <f>VLOOKUP(E2455,Countries!$B$3:$C$140,2,FALSE)</f>
        <v>Europe</v>
      </c>
      <c r="G2455" s="4">
        <v>6</v>
      </c>
      <c r="H2455" s="4">
        <v>0</v>
      </c>
    </row>
    <row r="2456" spans="2:8" x14ac:dyDescent="0.2">
      <c r="B2456" s="3" t="s">
        <v>160</v>
      </c>
      <c r="C2456" s="3" t="s">
        <v>15</v>
      </c>
      <c r="D2456" s="3" t="str">
        <f>VLOOKUP(C2456,Countries!$B$3:$C$140,2,FALSE)</f>
        <v>Europe</v>
      </c>
      <c r="E2456" s="3" t="s">
        <v>57</v>
      </c>
      <c r="F2456" s="3" t="str">
        <f>VLOOKUP(E2456,Countries!$B$3:$C$140,2,FALSE)</f>
        <v>Europe/Asia</v>
      </c>
      <c r="G2456" s="4">
        <v>4</v>
      </c>
      <c r="H2456" s="4">
        <v>0</v>
      </c>
    </row>
    <row r="2457" spans="2:8" x14ac:dyDescent="0.2">
      <c r="B2457" s="3" t="s">
        <v>160</v>
      </c>
      <c r="C2457" s="3" t="s">
        <v>15</v>
      </c>
      <c r="D2457" s="3" t="str">
        <f>VLOOKUP(C2457,Countries!$B$3:$C$140,2,FALSE)</f>
        <v>Europe</v>
      </c>
      <c r="E2457" s="3" t="s">
        <v>32</v>
      </c>
      <c r="F2457" s="3" t="str">
        <f>VLOOKUP(E2457,Countries!$B$3:$C$140,2,FALSE)</f>
        <v>Europe</v>
      </c>
      <c r="G2457" s="4">
        <v>4</v>
      </c>
      <c r="H2457" s="4">
        <v>0</v>
      </c>
    </row>
    <row r="2458" spans="2:8" x14ac:dyDescent="0.2">
      <c r="B2458" s="3" t="s">
        <v>160</v>
      </c>
      <c r="C2458" s="3" t="s">
        <v>15</v>
      </c>
      <c r="D2458" s="3" t="str">
        <f>VLOOKUP(C2458,Countries!$B$3:$C$140,2,FALSE)</f>
        <v>Europe</v>
      </c>
      <c r="E2458" s="3" t="s">
        <v>87</v>
      </c>
      <c r="F2458" s="3" t="str">
        <f>VLOOKUP(E2458,Countries!$B$3:$C$140,2,FALSE)</f>
        <v>Asia</v>
      </c>
      <c r="G2458" s="4">
        <v>2</v>
      </c>
      <c r="H2458" s="4">
        <v>0</v>
      </c>
    </row>
    <row r="2459" spans="2:8" x14ac:dyDescent="0.2">
      <c r="B2459" s="3" t="s">
        <v>160</v>
      </c>
      <c r="C2459" s="3" t="s">
        <v>15</v>
      </c>
      <c r="D2459" s="3" t="str">
        <f>VLOOKUP(C2459,Countries!$B$3:$C$140,2,FALSE)</f>
        <v>Europe</v>
      </c>
      <c r="E2459" s="3" t="s">
        <v>91</v>
      </c>
      <c r="F2459" s="3" t="str">
        <f>VLOOKUP(E2459,Countries!$B$3:$C$140,2,FALSE)</f>
        <v>South America</v>
      </c>
      <c r="G2459" s="4">
        <v>2</v>
      </c>
      <c r="H2459" s="4">
        <v>0</v>
      </c>
    </row>
    <row r="2460" spans="2:8" x14ac:dyDescent="0.2">
      <c r="B2460" s="3" t="s">
        <v>160</v>
      </c>
      <c r="C2460" s="3" t="s">
        <v>15</v>
      </c>
      <c r="D2460" s="3" t="str">
        <f>VLOOKUP(C2460,Countries!$B$3:$C$140,2,FALSE)</f>
        <v>Europe</v>
      </c>
      <c r="E2460" s="3" t="s">
        <v>85</v>
      </c>
      <c r="F2460" s="3" t="str">
        <f>VLOOKUP(E2460,Countries!$B$3:$C$140,2,FALSE)</f>
        <v>Asia</v>
      </c>
      <c r="G2460" s="4">
        <v>4</v>
      </c>
      <c r="H2460" s="4">
        <v>0</v>
      </c>
    </row>
    <row r="2461" spans="2:8" x14ac:dyDescent="0.2">
      <c r="B2461" s="3" t="s">
        <v>160</v>
      </c>
      <c r="C2461" s="3" t="s">
        <v>101</v>
      </c>
      <c r="D2461" s="3" t="str">
        <f>VLOOKUP(C2461,Countries!$B$3:$C$140,2,FALSE)</f>
        <v>Europe</v>
      </c>
      <c r="E2461" s="3" t="s">
        <v>48</v>
      </c>
      <c r="F2461" s="3" t="str">
        <f>VLOOKUP(E2461,Countries!$B$3:$C$140,2,FALSE)</f>
        <v>Oceania</v>
      </c>
      <c r="G2461" s="4">
        <v>8</v>
      </c>
      <c r="H2461" s="4">
        <v>0</v>
      </c>
    </row>
    <row r="2462" spans="2:8" x14ac:dyDescent="0.2">
      <c r="B2462" s="3" t="s">
        <v>160</v>
      </c>
      <c r="C2462" s="3" t="s">
        <v>101</v>
      </c>
      <c r="D2462" s="3" t="str">
        <f>VLOOKUP(C2462,Countries!$B$3:$C$140,2,FALSE)</f>
        <v>Europe</v>
      </c>
      <c r="E2462" s="3" t="s">
        <v>35</v>
      </c>
      <c r="F2462" s="3" t="str">
        <f>VLOOKUP(E2462,Countries!$B$3:$C$140,2,FALSE)</f>
        <v>Europe</v>
      </c>
      <c r="G2462" s="4">
        <v>2</v>
      </c>
      <c r="H2462" s="4">
        <v>0</v>
      </c>
    </row>
    <row r="2463" spans="2:8" x14ac:dyDescent="0.2">
      <c r="B2463" s="3" t="s">
        <v>160</v>
      </c>
      <c r="C2463" s="3" t="s">
        <v>101</v>
      </c>
      <c r="D2463" s="3" t="str">
        <f>VLOOKUP(C2463,Countries!$B$3:$C$140,2,FALSE)</f>
        <v>Europe</v>
      </c>
      <c r="E2463" s="3" t="s">
        <v>7</v>
      </c>
      <c r="F2463" s="3" t="str">
        <f>VLOOKUP(E2463,Countries!$B$3:$C$140,2,FALSE)</f>
        <v>South America</v>
      </c>
      <c r="G2463" s="4">
        <v>2</v>
      </c>
      <c r="H2463" s="4">
        <v>0</v>
      </c>
    </row>
    <row r="2464" spans="2:8" x14ac:dyDescent="0.2">
      <c r="B2464" s="3" t="s">
        <v>160</v>
      </c>
      <c r="C2464" s="3" t="s">
        <v>101</v>
      </c>
      <c r="D2464" s="3" t="str">
        <f>VLOOKUP(C2464,Countries!$B$3:$C$140,2,FALSE)</f>
        <v>Europe</v>
      </c>
      <c r="E2464" s="3" t="s">
        <v>49</v>
      </c>
      <c r="F2464" s="3" t="str">
        <f>VLOOKUP(E2464,Countries!$B$3:$C$140,2,FALSE)</f>
        <v>Europe</v>
      </c>
      <c r="G2464" s="4">
        <v>2</v>
      </c>
      <c r="H2464" s="4">
        <v>0</v>
      </c>
    </row>
    <row r="2465" spans="2:8" x14ac:dyDescent="0.2">
      <c r="B2465" s="3" t="s">
        <v>160</v>
      </c>
      <c r="C2465" s="3" t="s">
        <v>101</v>
      </c>
      <c r="D2465" s="3" t="str">
        <f>VLOOKUP(C2465,Countries!$B$3:$C$140,2,FALSE)</f>
        <v>Europe</v>
      </c>
      <c r="E2465" s="3" t="s">
        <v>50</v>
      </c>
      <c r="F2465" s="3" t="str">
        <f>VLOOKUP(E2465,Countries!$B$3:$C$140,2,FALSE)</f>
        <v>Europe</v>
      </c>
      <c r="G2465" s="4">
        <v>32</v>
      </c>
      <c r="H2465" s="4">
        <v>0</v>
      </c>
    </row>
    <row r="2466" spans="2:8" x14ac:dyDescent="0.2">
      <c r="B2466" s="3" t="s">
        <v>160</v>
      </c>
      <c r="C2466" s="3" t="s">
        <v>101</v>
      </c>
      <c r="D2466" s="3" t="str">
        <f>VLOOKUP(C2466,Countries!$B$3:$C$140,2,FALSE)</f>
        <v>Europe</v>
      </c>
      <c r="E2466" s="3" t="s">
        <v>73</v>
      </c>
      <c r="F2466" s="3" t="str">
        <f>VLOOKUP(E2466,Countries!$B$3:$C$140,2,FALSE)</f>
        <v>Europe</v>
      </c>
      <c r="G2466" s="4">
        <v>4</v>
      </c>
      <c r="H2466" s="4">
        <v>0</v>
      </c>
    </row>
    <row r="2467" spans="2:8" x14ac:dyDescent="0.2">
      <c r="B2467" s="3" t="s">
        <v>160</v>
      </c>
      <c r="C2467" s="3" t="s">
        <v>101</v>
      </c>
      <c r="D2467" s="3" t="str">
        <f>VLOOKUP(C2467,Countries!$B$3:$C$140,2,FALSE)</f>
        <v>Europe</v>
      </c>
      <c r="E2467" s="3" t="s">
        <v>75</v>
      </c>
      <c r="F2467" s="3" t="str">
        <f>VLOOKUP(E2467,Countries!$B$3:$C$140,2,FALSE)</f>
        <v>Europe</v>
      </c>
      <c r="G2467" s="4">
        <v>2</v>
      </c>
      <c r="H2467" s="4">
        <v>0</v>
      </c>
    </row>
    <row r="2468" spans="2:8" x14ac:dyDescent="0.2">
      <c r="B2468" s="3" t="s">
        <v>160</v>
      </c>
      <c r="C2468" s="3" t="s">
        <v>101</v>
      </c>
      <c r="D2468" s="3" t="str">
        <f>VLOOKUP(C2468,Countries!$B$3:$C$140,2,FALSE)</f>
        <v>Europe</v>
      </c>
      <c r="E2468" s="3" t="s">
        <v>22</v>
      </c>
      <c r="F2468" s="3" t="str">
        <f>VLOOKUP(E2468,Countries!$B$3:$C$140,2,FALSE)</f>
        <v>Europe</v>
      </c>
      <c r="G2468" s="4">
        <v>2</v>
      </c>
      <c r="H2468" s="4">
        <v>0</v>
      </c>
    </row>
    <row r="2469" spans="2:8" x14ac:dyDescent="0.2">
      <c r="B2469" s="3" t="s">
        <v>160</v>
      </c>
      <c r="C2469" s="3" t="s">
        <v>101</v>
      </c>
      <c r="D2469" s="3" t="str">
        <f>VLOOKUP(C2469,Countries!$B$3:$C$140,2,FALSE)</f>
        <v>Europe</v>
      </c>
      <c r="E2469" s="3" t="s">
        <v>78</v>
      </c>
      <c r="F2469" s="3" t="str">
        <f>VLOOKUP(E2469,Countries!$B$3:$C$140,2,FALSE)</f>
        <v>Europe</v>
      </c>
      <c r="G2469" s="4">
        <v>6</v>
      </c>
      <c r="H2469" s="4">
        <v>0</v>
      </c>
    </row>
    <row r="2470" spans="2:8" x14ac:dyDescent="0.2">
      <c r="B2470" s="3" t="s">
        <v>160</v>
      </c>
      <c r="C2470" s="3" t="s">
        <v>101</v>
      </c>
      <c r="D2470" s="3" t="str">
        <f>VLOOKUP(C2470,Countries!$B$3:$C$140,2,FALSE)</f>
        <v>Europe</v>
      </c>
      <c r="E2470" s="3" t="s">
        <v>55</v>
      </c>
      <c r="F2470" s="3" t="str">
        <f>VLOOKUP(E2470,Countries!$B$3:$C$140,2,FALSE)</f>
        <v>Europe</v>
      </c>
      <c r="G2470" s="4">
        <v>14</v>
      </c>
      <c r="H2470" s="4">
        <v>0</v>
      </c>
    </row>
    <row r="2471" spans="2:8" x14ac:dyDescent="0.2">
      <c r="B2471" s="3" t="s">
        <v>160</v>
      </c>
      <c r="C2471" s="3" t="s">
        <v>75</v>
      </c>
      <c r="D2471" s="3" t="str">
        <f>VLOOKUP(C2471,Countries!$B$3:$C$140,2,FALSE)</f>
        <v>Europe</v>
      </c>
      <c r="E2471" s="3" t="s">
        <v>9</v>
      </c>
      <c r="F2471" s="3" t="str">
        <f>VLOOKUP(E2471,Countries!$B$3:$C$140,2,FALSE)</f>
        <v>Europe</v>
      </c>
      <c r="G2471" s="4">
        <v>4</v>
      </c>
      <c r="H2471" s="4">
        <v>0</v>
      </c>
    </row>
    <row r="2472" spans="2:8" x14ac:dyDescent="0.2">
      <c r="B2472" s="3" t="s">
        <v>160</v>
      </c>
      <c r="C2472" s="3" t="s">
        <v>75</v>
      </c>
      <c r="D2472" s="3" t="str">
        <f>VLOOKUP(C2472,Countries!$B$3:$C$140,2,FALSE)</f>
        <v>Europe</v>
      </c>
      <c r="E2472" s="3" t="s">
        <v>10</v>
      </c>
      <c r="F2472" s="3" t="str">
        <f>VLOOKUP(E2472,Countries!$B$3:$C$140,2,FALSE)</f>
        <v>Europe</v>
      </c>
      <c r="G2472" s="4">
        <v>20</v>
      </c>
      <c r="H2472" s="4">
        <v>37863.474998999998</v>
      </c>
    </row>
    <row r="2473" spans="2:8" x14ac:dyDescent="0.2">
      <c r="B2473" s="3" t="s">
        <v>160</v>
      </c>
      <c r="C2473" s="3" t="s">
        <v>75</v>
      </c>
      <c r="D2473" s="3" t="str">
        <f>VLOOKUP(C2473,Countries!$B$3:$C$140,2,FALSE)</f>
        <v>Europe</v>
      </c>
      <c r="E2473" s="3" t="s">
        <v>50</v>
      </c>
      <c r="F2473" s="3" t="str">
        <f>VLOOKUP(E2473,Countries!$B$3:$C$140,2,FALSE)</f>
        <v>Europe</v>
      </c>
      <c r="G2473" s="4">
        <v>22</v>
      </c>
      <c r="H2473" s="4">
        <v>0</v>
      </c>
    </row>
    <row r="2474" spans="2:8" x14ac:dyDescent="0.2">
      <c r="B2474" s="3" t="s">
        <v>160</v>
      </c>
      <c r="C2474" s="3" t="s">
        <v>75</v>
      </c>
      <c r="D2474" s="3" t="str">
        <f>VLOOKUP(C2474,Countries!$B$3:$C$140,2,FALSE)</f>
        <v>Europe</v>
      </c>
      <c r="E2474" s="3" t="s">
        <v>11</v>
      </c>
      <c r="F2474" s="3" t="str">
        <f>VLOOKUP(E2474,Countries!$B$3:$C$140,2,FALSE)</f>
        <v>Europe</v>
      </c>
      <c r="G2474" s="4">
        <v>6</v>
      </c>
      <c r="H2474" s="4">
        <v>0</v>
      </c>
    </row>
    <row r="2475" spans="2:8" x14ac:dyDescent="0.2">
      <c r="B2475" s="3" t="s">
        <v>160</v>
      </c>
      <c r="C2475" s="3" t="s">
        <v>75</v>
      </c>
      <c r="D2475" s="3" t="str">
        <f>VLOOKUP(C2475,Countries!$B$3:$C$140,2,FALSE)</f>
        <v>Europe</v>
      </c>
      <c r="E2475" s="3" t="s">
        <v>73</v>
      </c>
      <c r="F2475" s="3" t="str">
        <f>VLOOKUP(E2475,Countries!$B$3:$C$140,2,FALSE)</f>
        <v>Europe</v>
      </c>
      <c r="G2475" s="4">
        <v>2</v>
      </c>
      <c r="H2475" s="4">
        <v>0</v>
      </c>
    </row>
    <row r="2476" spans="2:8" x14ac:dyDescent="0.2">
      <c r="B2476" s="3" t="s">
        <v>160</v>
      </c>
      <c r="C2476" s="3" t="s">
        <v>75</v>
      </c>
      <c r="D2476" s="3" t="str">
        <f>VLOOKUP(C2476,Countries!$B$3:$C$140,2,FALSE)</f>
        <v>Europe</v>
      </c>
      <c r="E2476" s="3" t="s">
        <v>97</v>
      </c>
      <c r="F2476" s="3" t="str">
        <f>VLOOKUP(E2476,Countries!$B$3:$C$140,2,FALSE)</f>
        <v>Europe</v>
      </c>
      <c r="G2476" s="4">
        <v>2</v>
      </c>
      <c r="H2476" s="4">
        <v>0</v>
      </c>
    </row>
    <row r="2477" spans="2:8" x14ac:dyDescent="0.2">
      <c r="B2477" s="3" t="s">
        <v>160</v>
      </c>
      <c r="C2477" s="3" t="s">
        <v>75</v>
      </c>
      <c r="D2477" s="3" t="str">
        <f>VLOOKUP(C2477,Countries!$B$3:$C$140,2,FALSE)</f>
        <v>Europe</v>
      </c>
      <c r="E2477" s="3" t="s">
        <v>13</v>
      </c>
      <c r="F2477" s="3" t="str">
        <f>VLOOKUP(E2477,Countries!$B$3:$C$140,2,FALSE)</f>
        <v>Europe</v>
      </c>
      <c r="G2477" s="4">
        <v>2</v>
      </c>
      <c r="H2477" s="4">
        <v>0</v>
      </c>
    </row>
    <row r="2478" spans="2:8" x14ac:dyDescent="0.2">
      <c r="B2478" s="3" t="s">
        <v>160</v>
      </c>
      <c r="C2478" s="3" t="s">
        <v>75</v>
      </c>
      <c r="D2478" s="3" t="str">
        <f>VLOOKUP(C2478,Countries!$B$3:$C$140,2,FALSE)</f>
        <v>Europe</v>
      </c>
      <c r="E2478" s="3" t="s">
        <v>52</v>
      </c>
      <c r="F2478" s="3" t="str">
        <f>VLOOKUP(E2478,Countries!$B$3:$C$140,2,FALSE)</f>
        <v>Europe</v>
      </c>
      <c r="G2478" s="4">
        <v>4</v>
      </c>
      <c r="H2478" s="4">
        <v>0</v>
      </c>
    </row>
    <row r="2479" spans="2:8" x14ac:dyDescent="0.2">
      <c r="B2479" s="3" t="s">
        <v>160</v>
      </c>
      <c r="C2479" s="3" t="s">
        <v>75</v>
      </c>
      <c r="D2479" s="3" t="str">
        <f>VLOOKUP(C2479,Countries!$B$3:$C$140,2,FALSE)</f>
        <v>Europe</v>
      </c>
      <c r="E2479" s="3" t="s">
        <v>21</v>
      </c>
      <c r="F2479" s="3" t="str">
        <f>VLOOKUP(E2479,Countries!$B$3:$C$140,2,FALSE)</f>
        <v>Europe</v>
      </c>
      <c r="G2479" s="4">
        <v>2</v>
      </c>
      <c r="H2479" s="4">
        <v>0</v>
      </c>
    </row>
    <row r="2480" spans="2:8" x14ac:dyDescent="0.2">
      <c r="B2480" s="3" t="s">
        <v>160</v>
      </c>
      <c r="C2480" s="3" t="s">
        <v>75</v>
      </c>
      <c r="D2480" s="3" t="str">
        <f>VLOOKUP(C2480,Countries!$B$3:$C$140,2,FALSE)</f>
        <v>Europe</v>
      </c>
      <c r="E2480" s="3" t="s">
        <v>53</v>
      </c>
      <c r="F2480" s="3" t="str">
        <f>VLOOKUP(E2480,Countries!$B$3:$C$140,2,FALSE)</f>
        <v>Europe</v>
      </c>
      <c r="G2480" s="4">
        <v>2</v>
      </c>
      <c r="H2480" s="4">
        <v>0</v>
      </c>
    </row>
    <row r="2481" spans="2:8" x14ac:dyDescent="0.2">
      <c r="B2481" s="3" t="s">
        <v>160</v>
      </c>
      <c r="C2481" s="3" t="s">
        <v>75</v>
      </c>
      <c r="D2481" s="3" t="str">
        <f>VLOOKUP(C2481,Countries!$B$3:$C$140,2,FALSE)</f>
        <v>Europe</v>
      </c>
      <c r="E2481" s="3" t="s">
        <v>44</v>
      </c>
      <c r="F2481" s="3" t="str">
        <f>VLOOKUP(E2481,Countries!$B$3:$C$140,2,FALSE)</f>
        <v>Europe</v>
      </c>
      <c r="G2481" s="4">
        <v>20</v>
      </c>
      <c r="H2481" s="4">
        <v>0</v>
      </c>
    </row>
    <row r="2482" spans="2:8" x14ac:dyDescent="0.2">
      <c r="B2482" s="3" t="s">
        <v>160</v>
      </c>
      <c r="C2482" s="3" t="s">
        <v>75</v>
      </c>
      <c r="D2482" s="3" t="str">
        <f>VLOOKUP(C2482,Countries!$B$3:$C$140,2,FALSE)</f>
        <v>Europe</v>
      </c>
      <c r="E2482" s="3" t="s">
        <v>26</v>
      </c>
      <c r="F2482" s="3" t="str">
        <f>VLOOKUP(E2482,Countries!$B$3:$C$140,2,FALSE)</f>
        <v>Europe</v>
      </c>
      <c r="G2482" s="4">
        <v>2</v>
      </c>
      <c r="H2482" s="4">
        <v>0</v>
      </c>
    </row>
    <row r="2483" spans="2:8" x14ac:dyDescent="0.2">
      <c r="B2483" s="3" t="s">
        <v>160</v>
      </c>
      <c r="C2483" s="3" t="s">
        <v>75</v>
      </c>
      <c r="D2483" s="3" t="str">
        <f>VLOOKUP(C2483,Countries!$B$3:$C$140,2,FALSE)</f>
        <v>Europe</v>
      </c>
      <c r="E2483" s="3" t="s">
        <v>55</v>
      </c>
      <c r="F2483" s="3" t="str">
        <f>VLOOKUP(E2483,Countries!$B$3:$C$140,2,FALSE)</f>
        <v>Europe</v>
      </c>
      <c r="G2483" s="4">
        <v>4</v>
      </c>
      <c r="H2483" s="4">
        <v>0</v>
      </c>
    </row>
    <row r="2484" spans="2:8" x14ac:dyDescent="0.2">
      <c r="B2484" s="3" t="s">
        <v>160</v>
      </c>
      <c r="C2484" s="3" t="s">
        <v>75</v>
      </c>
      <c r="D2484" s="3" t="str">
        <f>VLOOKUP(C2484,Countries!$B$3:$C$140,2,FALSE)</f>
        <v>Europe</v>
      </c>
      <c r="E2484" s="3" t="s">
        <v>28</v>
      </c>
      <c r="F2484" s="3" t="str">
        <f>VLOOKUP(E2484,Countries!$B$3:$C$140,2,FALSE)</f>
        <v>Europe</v>
      </c>
      <c r="G2484" s="4">
        <v>2</v>
      </c>
      <c r="H2484" s="4">
        <v>0</v>
      </c>
    </row>
    <row r="2485" spans="2:8" x14ac:dyDescent="0.2">
      <c r="B2485" s="3" t="s">
        <v>160</v>
      </c>
      <c r="C2485" s="3" t="s">
        <v>75</v>
      </c>
      <c r="D2485" s="3" t="str">
        <f>VLOOKUP(C2485,Countries!$B$3:$C$140,2,FALSE)</f>
        <v>Europe</v>
      </c>
      <c r="E2485" s="3" t="s">
        <v>29</v>
      </c>
      <c r="F2485" s="3" t="str">
        <f>VLOOKUP(E2485,Countries!$B$3:$C$140,2,FALSE)</f>
        <v>Europe</v>
      </c>
      <c r="G2485" s="4">
        <v>2</v>
      </c>
      <c r="H2485" s="4">
        <v>0</v>
      </c>
    </row>
    <row r="2486" spans="2:8" x14ac:dyDescent="0.2">
      <c r="B2486" s="3" t="s">
        <v>160</v>
      </c>
      <c r="C2486" s="3" t="s">
        <v>75</v>
      </c>
      <c r="D2486" s="3" t="str">
        <f>VLOOKUP(C2486,Countries!$B$3:$C$140,2,FALSE)</f>
        <v>Europe</v>
      </c>
      <c r="E2486" s="3" t="s">
        <v>30</v>
      </c>
      <c r="F2486" s="3" t="str">
        <f>VLOOKUP(E2486,Countries!$B$3:$C$140,2,FALSE)</f>
        <v>Europe</v>
      </c>
      <c r="G2486" s="4">
        <v>4</v>
      </c>
      <c r="H2486" s="4">
        <v>0</v>
      </c>
    </row>
    <row r="2487" spans="2:8" x14ac:dyDescent="0.2">
      <c r="B2487" s="3" t="s">
        <v>160</v>
      </c>
      <c r="C2487" s="3" t="s">
        <v>75</v>
      </c>
      <c r="D2487" s="3" t="str">
        <f>VLOOKUP(C2487,Countries!$B$3:$C$140,2,FALSE)</f>
        <v>Europe</v>
      </c>
      <c r="E2487" s="3" t="s">
        <v>31</v>
      </c>
      <c r="F2487" s="3" t="str">
        <f>VLOOKUP(E2487,Countries!$B$3:$C$140,2,FALSE)</f>
        <v>Europe</v>
      </c>
      <c r="G2487" s="4">
        <v>12</v>
      </c>
      <c r="H2487" s="4">
        <v>90623.005424999996</v>
      </c>
    </row>
    <row r="2488" spans="2:8" x14ac:dyDescent="0.2">
      <c r="B2488" s="3" t="s">
        <v>160</v>
      </c>
      <c r="C2488" s="3" t="s">
        <v>51</v>
      </c>
      <c r="D2488" s="3" t="str">
        <f>VLOOKUP(C2488,Countries!$B$3:$C$140,2,FALSE)</f>
        <v>Asia</v>
      </c>
      <c r="E2488" s="3" t="s">
        <v>3</v>
      </c>
      <c r="F2488" s="3" t="str">
        <f>VLOOKUP(E2488,Countries!$B$3:$C$140,2,FALSE)</f>
        <v>Europe</v>
      </c>
      <c r="G2488" s="4">
        <v>2</v>
      </c>
      <c r="H2488" s="4">
        <v>0</v>
      </c>
    </row>
    <row r="2489" spans="2:8" x14ac:dyDescent="0.2">
      <c r="B2489" s="3" t="s">
        <v>160</v>
      </c>
      <c r="C2489" s="3" t="s">
        <v>51</v>
      </c>
      <c r="D2489" s="3" t="str">
        <f>VLOOKUP(C2489,Countries!$B$3:$C$140,2,FALSE)</f>
        <v>Asia</v>
      </c>
      <c r="E2489" s="3" t="s">
        <v>4</v>
      </c>
      <c r="F2489" s="3" t="str">
        <f>VLOOKUP(E2489,Countries!$B$3:$C$140,2,FALSE)</f>
        <v>Asia</v>
      </c>
      <c r="G2489" s="4">
        <v>4</v>
      </c>
      <c r="H2489" s="4">
        <v>0</v>
      </c>
    </row>
    <row r="2490" spans="2:8" x14ac:dyDescent="0.2">
      <c r="B2490" s="3" t="s">
        <v>160</v>
      </c>
      <c r="C2490" s="3" t="s">
        <v>51</v>
      </c>
      <c r="D2490" s="3" t="str">
        <f>VLOOKUP(C2490,Countries!$B$3:$C$140,2,FALSE)</f>
        <v>Asia</v>
      </c>
      <c r="E2490" s="3" t="s">
        <v>35</v>
      </c>
      <c r="F2490" s="3" t="str">
        <f>VLOOKUP(E2490,Countries!$B$3:$C$140,2,FALSE)</f>
        <v>Europe</v>
      </c>
      <c r="G2490" s="4">
        <v>10</v>
      </c>
      <c r="H2490" s="4">
        <v>100009.51749</v>
      </c>
    </row>
    <row r="2491" spans="2:8" x14ac:dyDescent="0.2">
      <c r="B2491" s="3" t="s">
        <v>160</v>
      </c>
      <c r="C2491" s="3" t="s">
        <v>51</v>
      </c>
      <c r="D2491" s="3" t="str">
        <f>VLOOKUP(C2491,Countries!$B$3:$C$140,2,FALSE)</f>
        <v>Asia</v>
      </c>
      <c r="E2491" s="3" t="s">
        <v>6</v>
      </c>
      <c r="F2491" s="3" t="str">
        <f>VLOOKUP(E2491,Countries!$B$3:$C$140,2,FALSE)</f>
        <v>Europe</v>
      </c>
      <c r="G2491" s="4">
        <v>4</v>
      </c>
      <c r="H2491" s="4">
        <v>75000</v>
      </c>
    </row>
    <row r="2492" spans="2:8" x14ac:dyDescent="0.2">
      <c r="B2492" s="3" t="s">
        <v>160</v>
      </c>
      <c r="C2492" s="3" t="s">
        <v>51</v>
      </c>
      <c r="D2492" s="3" t="str">
        <f>VLOOKUP(C2492,Countries!$B$3:$C$140,2,FALSE)</f>
        <v>Asia</v>
      </c>
      <c r="E2492" s="3" t="s">
        <v>7</v>
      </c>
      <c r="F2492" s="3" t="str">
        <f>VLOOKUP(E2492,Countries!$B$3:$C$140,2,FALSE)</f>
        <v>South America</v>
      </c>
      <c r="G2492" s="4">
        <v>4</v>
      </c>
      <c r="H2492" s="4">
        <v>0</v>
      </c>
    </row>
    <row r="2493" spans="2:8" x14ac:dyDescent="0.2">
      <c r="B2493" s="3" t="s">
        <v>160</v>
      </c>
      <c r="C2493" s="3" t="s">
        <v>51</v>
      </c>
      <c r="D2493" s="3" t="str">
        <f>VLOOKUP(C2493,Countries!$B$3:$C$140,2,FALSE)</f>
        <v>Asia</v>
      </c>
      <c r="E2493" s="3" t="s">
        <v>36</v>
      </c>
      <c r="F2493" s="3" t="str">
        <f>VLOOKUP(E2493,Countries!$B$3:$C$140,2,FALSE)</f>
        <v>Europe</v>
      </c>
      <c r="G2493" s="4">
        <v>12</v>
      </c>
      <c r="H2493" s="4">
        <v>705732.95121600002</v>
      </c>
    </row>
    <row r="2494" spans="2:8" x14ac:dyDescent="0.2">
      <c r="B2494" s="3" t="s">
        <v>160</v>
      </c>
      <c r="C2494" s="3" t="s">
        <v>51</v>
      </c>
      <c r="D2494" s="3" t="str">
        <f>VLOOKUP(C2494,Countries!$B$3:$C$140,2,FALSE)</f>
        <v>Asia</v>
      </c>
      <c r="E2494" s="3" t="s">
        <v>8</v>
      </c>
      <c r="F2494" s="3" t="str">
        <f>VLOOKUP(E2494,Countries!$B$3:$C$140,2,FALSE)</f>
        <v>North America</v>
      </c>
      <c r="G2494" s="4">
        <v>2</v>
      </c>
      <c r="H2494" s="4">
        <v>0</v>
      </c>
    </row>
    <row r="2495" spans="2:8" x14ac:dyDescent="0.2">
      <c r="B2495" s="3" t="s">
        <v>160</v>
      </c>
      <c r="C2495" s="3" t="s">
        <v>51</v>
      </c>
      <c r="D2495" s="3" t="str">
        <f>VLOOKUP(C2495,Countries!$B$3:$C$140,2,FALSE)</f>
        <v>Asia</v>
      </c>
      <c r="E2495" s="3" t="s">
        <v>71</v>
      </c>
      <c r="F2495" s="3" t="str">
        <f>VLOOKUP(E2495,Countries!$B$3:$C$140,2,FALSE)</f>
        <v>Africa</v>
      </c>
      <c r="G2495" s="4">
        <v>2</v>
      </c>
      <c r="H2495" s="4">
        <v>0</v>
      </c>
    </row>
    <row r="2496" spans="2:8" x14ac:dyDescent="0.2">
      <c r="B2496" s="3" t="s">
        <v>160</v>
      </c>
      <c r="C2496" s="3" t="s">
        <v>51</v>
      </c>
      <c r="D2496" s="3" t="str">
        <f>VLOOKUP(C2496,Countries!$B$3:$C$140,2,FALSE)</f>
        <v>Asia</v>
      </c>
      <c r="E2496" s="3" t="s">
        <v>9</v>
      </c>
      <c r="F2496" s="3" t="str">
        <f>VLOOKUP(E2496,Countries!$B$3:$C$140,2,FALSE)</f>
        <v>Europe</v>
      </c>
      <c r="G2496" s="4">
        <v>4</v>
      </c>
      <c r="H2496" s="4">
        <v>0</v>
      </c>
    </row>
    <row r="2497" spans="2:8" x14ac:dyDescent="0.2">
      <c r="B2497" s="3" t="s">
        <v>160</v>
      </c>
      <c r="C2497" s="3" t="s">
        <v>51</v>
      </c>
      <c r="D2497" s="3" t="str">
        <f>VLOOKUP(C2497,Countries!$B$3:$C$140,2,FALSE)</f>
        <v>Asia</v>
      </c>
      <c r="E2497" s="3" t="s">
        <v>62</v>
      </c>
      <c r="F2497" s="3" t="str">
        <f>VLOOKUP(E2497,Countries!$B$3:$C$140,2,FALSE)</f>
        <v>Asia</v>
      </c>
      <c r="G2497" s="4">
        <v>14</v>
      </c>
      <c r="H2497" s="4">
        <v>842234.26455000008</v>
      </c>
    </row>
    <row r="2498" spans="2:8" x14ac:dyDescent="0.2">
      <c r="B2498" s="3" t="s">
        <v>160</v>
      </c>
      <c r="C2498" s="3" t="s">
        <v>51</v>
      </c>
      <c r="D2498" s="3" t="str">
        <f>VLOOKUP(C2498,Countries!$B$3:$C$140,2,FALSE)</f>
        <v>Asia</v>
      </c>
      <c r="E2498" s="3" t="s">
        <v>10</v>
      </c>
      <c r="F2498" s="3" t="str">
        <f>VLOOKUP(E2498,Countries!$B$3:$C$140,2,FALSE)</f>
        <v>Europe</v>
      </c>
      <c r="G2498" s="4">
        <v>2</v>
      </c>
      <c r="H2498" s="4">
        <v>0</v>
      </c>
    </row>
    <row r="2499" spans="2:8" x14ac:dyDescent="0.2">
      <c r="B2499" s="3" t="s">
        <v>160</v>
      </c>
      <c r="C2499" s="3" t="s">
        <v>51</v>
      </c>
      <c r="D2499" s="3" t="str">
        <f>VLOOKUP(C2499,Countries!$B$3:$C$140,2,FALSE)</f>
        <v>Asia</v>
      </c>
      <c r="E2499" s="3" t="s">
        <v>63</v>
      </c>
      <c r="F2499" s="3" t="str">
        <f>VLOOKUP(E2499,Countries!$B$3:$C$140,2,FALSE)</f>
        <v>Africa</v>
      </c>
      <c r="G2499" s="4">
        <v>2</v>
      </c>
      <c r="H2499" s="4">
        <v>0</v>
      </c>
    </row>
    <row r="2500" spans="2:8" x14ac:dyDescent="0.2">
      <c r="B2500" s="3" t="s">
        <v>160</v>
      </c>
      <c r="C2500" s="3" t="s">
        <v>51</v>
      </c>
      <c r="D2500" s="3" t="str">
        <f>VLOOKUP(C2500,Countries!$B$3:$C$140,2,FALSE)</f>
        <v>Asia</v>
      </c>
      <c r="E2500" s="3" t="s">
        <v>50</v>
      </c>
      <c r="F2500" s="3" t="str">
        <f>VLOOKUP(E2500,Countries!$B$3:$C$140,2,FALSE)</f>
        <v>Europe</v>
      </c>
      <c r="G2500" s="4">
        <v>4</v>
      </c>
      <c r="H2500" s="4">
        <v>0</v>
      </c>
    </row>
    <row r="2501" spans="2:8" x14ac:dyDescent="0.2">
      <c r="B2501" s="3" t="s">
        <v>160</v>
      </c>
      <c r="C2501" s="3" t="s">
        <v>51</v>
      </c>
      <c r="D2501" s="3" t="str">
        <f>VLOOKUP(C2501,Countries!$B$3:$C$140,2,FALSE)</f>
        <v>Asia</v>
      </c>
      <c r="E2501" s="3" t="s">
        <v>11</v>
      </c>
      <c r="F2501" s="3" t="str">
        <f>VLOOKUP(E2501,Countries!$B$3:$C$140,2,FALSE)</f>
        <v>Europe</v>
      </c>
      <c r="G2501" s="4">
        <v>6</v>
      </c>
      <c r="H2501" s="4">
        <v>120193.769331</v>
      </c>
    </row>
    <row r="2502" spans="2:8" x14ac:dyDescent="0.2">
      <c r="B2502" s="3" t="s">
        <v>160</v>
      </c>
      <c r="C2502" s="3" t="s">
        <v>51</v>
      </c>
      <c r="D2502" s="3" t="str">
        <f>VLOOKUP(C2502,Countries!$B$3:$C$140,2,FALSE)</f>
        <v>Asia</v>
      </c>
      <c r="E2502" s="3" t="s">
        <v>12</v>
      </c>
      <c r="F2502" s="3" t="str">
        <f>VLOOKUP(E2502,Countries!$B$3:$C$140,2,FALSE)</f>
        <v>Europe</v>
      </c>
      <c r="G2502" s="4">
        <v>4</v>
      </c>
      <c r="H2502" s="4">
        <v>0</v>
      </c>
    </row>
    <row r="2503" spans="2:8" x14ac:dyDescent="0.2">
      <c r="B2503" s="3" t="s">
        <v>160</v>
      </c>
      <c r="C2503" s="3" t="s">
        <v>51</v>
      </c>
      <c r="D2503" s="3" t="str">
        <f>VLOOKUP(C2503,Countries!$B$3:$C$140,2,FALSE)</f>
        <v>Asia</v>
      </c>
      <c r="E2503" s="3" t="s">
        <v>39</v>
      </c>
      <c r="F2503" s="3" t="str">
        <f>VLOOKUP(E2503,Countries!$B$3:$C$140,2,FALSE)</f>
        <v>Europe/Asia</v>
      </c>
      <c r="G2503" s="4">
        <v>6</v>
      </c>
      <c r="H2503" s="4">
        <v>0</v>
      </c>
    </row>
    <row r="2504" spans="2:8" x14ac:dyDescent="0.2">
      <c r="B2504" s="3" t="s">
        <v>160</v>
      </c>
      <c r="C2504" s="3" t="s">
        <v>51</v>
      </c>
      <c r="D2504" s="3" t="str">
        <f>VLOOKUP(C2504,Countries!$B$3:$C$140,2,FALSE)</f>
        <v>Asia</v>
      </c>
      <c r="E2504" s="3" t="s">
        <v>13</v>
      </c>
      <c r="F2504" s="3" t="str">
        <f>VLOOKUP(E2504,Countries!$B$3:$C$140,2,FALSE)</f>
        <v>Europe</v>
      </c>
      <c r="G2504" s="4">
        <v>4</v>
      </c>
      <c r="H2504" s="4">
        <v>2421498.5670600003</v>
      </c>
    </row>
    <row r="2505" spans="2:8" x14ac:dyDescent="0.2">
      <c r="B2505" s="3" t="s">
        <v>160</v>
      </c>
      <c r="C2505" s="3" t="s">
        <v>51</v>
      </c>
      <c r="D2505" s="3" t="str">
        <f>VLOOKUP(C2505,Countries!$B$3:$C$140,2,FALSE)</f>
        <v>Asia</v>
      </c>
      <c r="E2505" s="3" t="s">
        <v>64</v>
      </c>
      <c r="F2505" s="3" t="str">
        <f>VLOOKUP(E2505,Countries!$B$3:$C$140,2,FALSE)</f>
        <v>Africa</v>
      </c>
      <c r="G2505" s="4">
        <v>6</v>
      </c>
      <c r="H2505" s="4">
        <v>300000</v>
      </c>
    </row>
    <row r="2506" spans="2:8" x14ac:dyDescent="0.2">
      <c r="B2506" s="3" t="s">
        <v>160</v>
      </c>
      <c r="C2506" s="3" t="s">
        <v>51</v>
      </c>
      <c r="D2506" s="3" t="str">
        <f>VLOOKUP(C2506,Countries!$B$3:$C$140,2,FALSE)</f>
        <v>Asia</v>
      </c>
      <c r="E2506" s="3" t="s">
        <v>14</v>
      </c>
      <c r="F2506" s="3" t="str">
        <f>VLOOKUP(E2506,Countries!$B$3:$C$140,2,FALSE)</f>
        <v>Europe</v>
      </c>
      <c r="G2506" s="4">
        <v>4</v>
      </c>
      <c r="H2506" s="4">
        <v>0</v>
      </c>
    </row>
    <row r="2507" spans="2:8" x14ac:dyDescent="0.2">
      <c r="B2507" s="3" t="s">
        <v>160</v>
      </c>
      <c r="C2507" s="3" t="s">
        <v>51</v>
      </c>
      <c r="D2507" s="3" t="str">
        <f>VLOOKUP(C2507,Countries!$B$3:$C$140,2,FALSE)</f>
        <v>Asia</v>
      </c>
      <c r="E2507" s="3" t="s">
        <v>118</v>
      </c>
      <c r="F2507" s="3" t="str">
        <f>VLOOKUP(E2507,Countries!$B$3:$C$140,2,FALSE)</f>
        <v>Africa</v>
      </c>
      <c r="G2507" s="4">
        <v>2</v>
      </c>
      <c r="H2507" s="4">
        <v>0</v>
      </c>
    </row>
    <row r="2508" spans="2:8" x14ac:dyDescent="0.2">
      <c r="B2508" s="3" t="s">
        <v>160</v>
      </c>
      <c r="C2508" s="3" t="s">
        <v>51</v>
      </c>
      <c r="D2508" s="3" t="str">
        <f>VLOOKUP(C2508,Countries!$B$3:$C$140,2,FALSE)</f>
        <v>Asia</v>
      </c>
      <c r="E2508" s="3" t="s">
        <v>15</v>
      </c>
      <c r="F2508" s="3" t="str">
        <f>VLOOKUP(E2508,Countries!$B$3:$C$140,2,FALSE)</f>
        <v>Europe</v>
      </c>
      <c r="G2508" s="4">
        <v>4</v>
      </c>
      <c r="H2508" s="4">
        <v>1049316.0457259999</v>
      </c>
    </row>
    <row r="2509" spans="2:8" x14ac:dyDescent="0.2">
      <c r="B2509" s="3" t="s">
        <v>160</v>
      </c>
      <c r="C2509" s="3" t="s">
        <v>51</v>
      </c>
      <c r="D2509" s="3" t="str">
        <f>VLOOKUP(C2509,Countries!$B$3:$C$140,2,FALSE)</f>
        <v>Asia</v>
      </c>
      <c r="E2509" s="3" t="s">
        <v>17</v>
      </c>
      <c r="F2509" s="3" t="str">
        <f>VLOOKUP(E2509,Countries!$B$3:$C$140,2,FALSE)</f>
        <v>Europe</v>
      </c>
      <c r="G2509" s="4">
        <v>4</v>
      </c>
      <c r="H2509" s="4">
        <v>11290597.665562499</v>
      </c>
    </row>
    <row r="2510" spans="2:8" x14ac:dyDescent="0.2">
      <c r="B2510" s="3" t="s">
        <v>160</v>
      </c>
      <c r="C2510" s="3" t="s">
        <v>51</v>
      </c>
      <c r="D2510" s="3" t="str">
        <f>VLOOKUP(C2510,Countries!$B$3:$C$140,2,FALSE)</f>
        <v>Asia</v>
      </c>
      <c r="E2510" s="3" t="s">
        <v>40</v>
      </c>
      <c r="F2510" s="3" t="str">
        <f>VLOOKUP(E2510,Countries!$B$3:$C$140,2,FALSE)</f>
        <v>Asia</v>
      </c>
      <c r="G2510" s="4">
        <v>2</v>
      </c>
      <c r="H2510" s="4">
        <v>0</v>
      </c>
    </row>
    <row r="2511" spans="2:8" x14ac:dyDescent="0.2">
      <c r="B2511" s="3" t="s">
        <v>160</v>
      </c>
      <c r="C2511" s="3" t="s">
        <v>51</v>
      </c>
      <c r="D2511" s="3" t="str">
        <f>VLOOKUP(C2511,Countries!$B$3:$C$140,2,FALSE)</f>
        <v>Asia</v>
      </c>
      <c r="E2511" s="3" t="s">
        <v>119</v>
      </c>
      <c r="F2511" s="3" t="str">
        <f>VLOOKUP(E2511,Countries!$B$3:$C$140,2,FALSE)</f>
        <v>Africa</v>
      </c>
      <c r="G2511" s="4">
        <v>2</v>
      </c>
      <c r="H2511" s="4">
        <v>0</v>
      </c>
    </row>
    <row r="2512" spans="2:8" x14ac:dyDescent="0.2">
      <c r="B2512" s="3" t="s">
        <v>160</v>
      </c>
      <c r="C2512" s="3" t="s">
        <v>51</v>
      </c>
      <c r="D2512" s="3" t="str">
        <f>VLOOKUP(C2512,Countries!$B$3:$C$140,2,FALSE)</f>
        <v>Asia</v>
      </c>
      <c r="E2512" s="3" t="s">
        <v>66</v>
      </c>
      <c r="F2512" s="3" t="str">
        <f>VLOOKUP(E2512,Countries!$B$3:$C$140,2,FALSE)</f>
        <v>Europe</v>
      </c>
      <c r="G2512" s="4">
        <v>4</v>
      </c>
      <c r="H2512" s="4">
        <v>0</v>
      </c>
    </row>
    <row r="2513" spans="2:8" x14ac:dyDescent="0.2">
      <c r="B2513" s="3" t="s">
        <v>160</v>
      </c>
      <c r="C2513" s="3" t="s">
        <v>51</v>
      </c>
      <c r="D2513" s="3" t="str">
        <f>VLOOKUP(C2513,Countries!$B$3:$C$140,2,FALSE)</f>
        <v>Asia</v>
      </c>
      <c r="E2513" s="3" t="s">
        <v>43</v>
      </c>
      <c r="F2513" s="3" t="str">
        <f>VLOOKUP(E2513,Countries!$B$3:$C$140,2,FALSE)</f>
        <v>Europe</v>
      </c>
      <c r="G2513" s="4">
        <v>2</v>
      </c>
      <c r="H2513" s="4">
        <v>0</v>
      </c>
    </row>
    <row r="2514" spans="2:8" x14ac:dyDescent="0.2">
      <c r="B2514" s="3" t="s">
        <v>160</v>
      </c>
      <c r="C2514" s="3" t="s">
        <v>51</v>
      </c>
      <c r="D2514" s="3" t="str">
        <f>VLOOKUP(C2514,Countries!$B$3:$C$140,2,FALSE)</f>
        <v>Asia</v>
      </c>
      <c r="E2514" s="3" t="s">
        <v>53</v>
      </c>
      <c r="F2514" s="3" t="str">
        <f>VLOOKUP(E2514,Countries!$B$3:$C$140,2,FALSE)</f>
        <v>Europe</v>
      </c>
      <c r="G2514" s="4">
        <v>6</v>
      </c>
      <c r="H2514" s="4">
        <v>0</v>
      </c>
    </row>
    <row r="2515" spans="2:8" x14ac:dyDescent="0.2">
      <c r="B2515" s="3" t="s">
        <v>160</v>
      </c>
      <c r="C2515" s="3" t="s">
        <v>51</v>
      </c>
      <c r="D2515" s="3" t="str">
        <f>VLOOKUP(C2515,Countries!$B$3:$C$140,2,FALSE)</f>
        <v>Asia</v>
      </c>
      <c r="E2515" s="3" t="s">
        <v>24</v>
      </c>
      <c r="F2515" s="3" t="str">
        <f>VLOOKUP(E2515,Countries!$B$3:$C$140,2,FALSE)</f>
        <v>Africa</v>
      </c>
      <c r="G2515" s="4">
        <v>10</v>
      </c>
      <c r="H2515" s="4">
        <v>450000</v>
      </c>
    </row>
    <row r="2516" spans="2:8" x14ac:dyDescent="0.2">
      <c r="B2516" s="3" t="s">
        <v>160</v>
      </c>
      <c r="C2516" s="3" t="s">
        <v>51</v>
      </c>
      <c r="D2516" s="3" t="str">
        <f>VLOOKUP(C2516,Countries!$B$3:$C$140,2,FALSE)</f>
        <v>Asia</v>
      </c>
      <c r="E2516" s="3" t="s">
        <v>44</v>
      </c>
      <c r="F2516" s="3" t="str">
        <f>VLOOKUP(E2516,Countries!$B$3:$C$140,2,FALSE)</f>
        <v>Europe</v>
      </c>
      <c r="G2516" s="4">
        <v>2</v>
      </c>
      <c r="H2516" s="4">
        <v>0</v>
      </c>
    </row>
    <row r="2517" spans="2:8" x14ac:dyDescent="0.2">
      <c r="B2517" s="3" t="s">
        <v>160</v>
      </c>
      <c r="C2517" s="3" t="s">
        <v>51</v>
      </c>
      <c r="D2517" s="3" t="str">
        <f>VLOOKUP(C2517,Countries!$B$3:$C$140,2,FALSE)</f>
        <v>Asia</v>
      </c>
      <c r="E2517" s="3" t="s">
        <v>54</v>
      </c>
      <c r="F2517" s="3" t="str">
        <f>VLOOKUP(E2517,Countries!$B$3:$C$140,2,FALSE)</f>
        <v>Europe</v>
      </c>
      <c r="G2517" s="4">
        <v>12</v>
      </c>
      <c r="H2517" s="4">
        <v>0</v>
      </c>
    </row>
    <row r="2518" spans="2:8" x14ac:dyDescent="0.2">
      <c r="B2518" s="3" t="s">
        <v>160</v>
      </c>
      <c r="C2518" s="3" t="s">
        <v>51</v>
      </c>
      <c r="D2518" s="3" t="str">
        <f>VLOOKUP(C2518,Countries!$B$3:$C$140,2,FALSE)</f>
        <v>Asia</v>
      </c>
      <c r="E2518" s="3" t="s">
        <v>25</v>
      </c>
      <c r="F2518" s="3" t="str">
        <f>VLOOKUP(E2518,Countries!$B$3:$C$140,2,FALSE)</f>
        <v>Europe</v>
      </c>
      <c r="G2518" s="4">
        <v>4</v>
      </c>
      <c r="H2518" s="4">
        <v>0</v>
      </c>
    </row>
    <row r="2519" spans="2:8" x14ac:dyDescent="0.2">
      <c r="B2519" s="3" t="s">
        <v>160</v>
      </c>
      <c r="C2519" s="3" t="s">
        <v>51</v>
      </c>
      <c r="D2519" s="3" t="str">
        <f>VLOOKUP(C2519,Countries!$B$3:$C$140,2,FALSE)</f>
        <v>Asia</v>
      </c>
      <c r="E2519" s="3" t="s">
        <v>26</v>
      </c>
      <c r="F2519" s="3" t="str">
        <f>VLOOKUP(E2519,Countries!$B$3:$C$140,2,FALSE)</f>
        <v>Europe</v>
      </c>
      <c r="G2519" s="4">
        <v>10</v>
      </c>
      <c r="H2519" s="4">
        <v>0</v>
      </c>
    </row>
    <row r="2520" spans="2:8" x14ac:dyDescent="0.2">
      <c r="B2520" s="3" t="s">
        <v>160</v>
      </c>
      <c r="C2520" s="3" t="s">
        <v>51</v>
      </c>
      <c r="D2520" s="3" t="str">
        <f>VLOOKUP(C2520,Countries!$B$3:$C$140,2,FALSE)</f>
        <v>Asia</v>
      </c>
      <c r="E2520" s="3" t="s">
        <v>82</v>
      </c>
      <c r="F2520" s="3" t="e">
        <f>VLOOKUP(E2520,Countries!$B$3:$C$140,2,FALSE)</f>
        <v>#N/A</v>
      </c>
      <c r="G2520" s="4">
        <v>2</v>
      </c>
      <c r="H2520" s="4">
        <v>0</v>
      </c>
    </row>
    <row r="2521" spans="2:8" x14ac:dyDescent="0.2">
      <c r="B2521" s="3" t="s">
        <v>160</v>
      </c>
      <c r="C2521" s="3" t="s">
        <v>51</v>
      </c>
      <c r="D2521" s="3" t="str">
        <f>VLOOKUP(C2521,Countries!$B$3:$C$140,2,FALSE)</f>
        <v>Asia</v>
      </c>
      <c r="E2521" s="3" t="s">
        <v>46</v>
      </c>
      <c r="F2521" s="3" t="str">
        <f>VLOOKUP(E2521,Countries!$B$3:$C$140,2,FALSE)</f>
        <v>Europe/Asia</v>
      </c>
      <c r="G2521" s="4">
        <v>12</v>
      </c>
      <c r="H2521" s="4">
        <v>0</v>
      </c>
    </row>
    <row r="2522" spans="2:8" x14ac:dyDescent="0.2">
      <c r="B2522" s="3" t="s">
        <v>160</v>
      </c>
      <c r="C2522" s="3" t="s">
        <v>51</v>
      </c>
      <c r="D2522" s="3" t="str">
        <f>VLOOKUP(C2522,Countries!$B$3:$C$140,2,FALSE)</f>
        <v>Asia</v>
      </c>
      <c r="E2522" s="3" t="s">
        <v>28</v>
      </c>
      <c r="F2522" s="3" t="str">
        <f>VLOOKUP(E2522,Countries!$B$3:$C$140,2,FALSE)</f>
        <v>Europe</v>
      </c>
      <c r="G2522" s="4">
        <v>12</v>
      </c>
      <c r="H2522" s="4">
        <v>0</v>
      </c>
    </row>
    <row r="2523" spans="2:8" x14ac:dyDescent="0.2">
      <c r="B2523" s="3" t="s">
        <v>160</v>
      </c>
      <c r="C2523" s="3" t="s">
        <v>51</v>
      </c>
      <c r="D2523" s="3" t="str">
        <f>VLOOKUP(C2523,Countries!$B$3:$C$140,2,FALSE)</f>
        <v>Asia</v>
      </c>
      <c r="E2523" s="3" t="s">
        <v>29</v>
      </c>
      <c r="F2523" s="3" t="str">
        <f>VLOOKUP(E2523,Countries!$B$3:$C$140,2,FALSE)</f>
        <v>Europe</v>
      </c>
      <c r="G2523" s="4">
        <v>4</v>
      </c>
      <c r="H2523" s="4">
        <v>0</v>
      </c>
    </row>
    <row r="2524" spans="2:8" x14ac:dyDescent="0.2">
      <c r="B2524" s="3" t="s">
        <v>160</v>
      </c>
      <c r="C2524" s="3" t="s">
        <v>51</v>
      </c>
      <c r="D2524" s="3" t="str">
        <f>VLOOKUP(C2524,Countries!$B$3:$C$140,2,FALSE)</f>
        <v>Asia</v>
      </c>
      <c r="E2524" s="3" t="s">
        <v>30</v>
      </c>
      <c r="F2524" s="3" t="str">
        <f>VLOOKUP(E2524,Countries!$B$3:$C$140,2,FALSE)</f>
        <v>Europe</v>
      </c>
      <c r="G2524" s="4">
        <v>2</v>
      </c>
      <c r="H2524" s="4">
        <v>403583.09450999997</v>
      </c>
    </row>
    <row r="2525" spans="2:8" x14ac:dyDescent="0.2">
      <c r="B2525" s="3" t="s">
        <v>160</v>
      </c>
      <c r="C2525" s="3" t="s">
        <v>51</v>
      </c>
      <c r="D2525" s="3" t="str">
        <f>VLOOKUP(C2525,Countries!$B$3:$C$140,2,FALSE)</f>
        <v>Asia</v>
      </c>
      <c r="E2525" s="3" t="s">
        <v>31</v>
      </c>
      <c r="F2525" s="3" t="str">
        <f>VLOOKUP(E2525,Countries!$B$3:$C$140,2,FALSE)</f>
        <v>Europe</v>
      </c>
      <c r="G2525" s="4">
        <v>2</v>
      </c>
      <c r="H2525" s="4">
        <v>628938.56917214999</v>
      </c>
    </row>
    <row r="2526" spans="2:8" x14ac:dyDescent="0.2">
      <c r="B2526" s="3" t="s">
        <v>160</v>
      </c>
      <c r="C2526" s="3" t="s">
        <v>51</v>
      </c>
      <c r="D2526" s="3" t="str">
        <f>VLOOKUP(C2526,Countries!$B$3:$C$140,2,FALSE)</f>
        <v>Asia</v>
      </c>
      <c r="E2526" s="3" t="s">
        <v>57</v>
      </c>
      <c r="F2526" s="3" t="str">
        <f>VLOOKUP(E2526,Countries!$B$3:$C$140,2,FALSE)</f>
        <v>Europe/Asia</v>
      </c>
      <c r="G2526" s="4">
        <v>4</v>
      </c>
      <c r="H2526" s="4">
        <v>0</v>
      </c>
    </row>
    <row r="2527" spans="2:8" x14ac:dyDescent="0.2">
      <c r="B2527" s="3" t="s">
        <v>160</v>
      </c>
      <c r="C2527" s="3" t="s">
        <v>51</v>
      </c>
      <c r="D2527" s="3" t="str">
        <f>VLOOKUP(C2527,Countries!$B$3:$C$140,2,FALSE)</f>
        <v>Asia</v>
      </c>
      <c r="E2527" s="3" t="s">
        <v>32</v>
      </c>
      <c r="F2527" s="3" t="str">
        <f>VLOOKUP(E2527,Countries!$B$3:$C$140,2,FALSE)</f>
        <v>Europe</v>
      </c>
      <c r="G2527" s="4">
        <v>2</v>
      </c>
      <c r="H2527" s="4">
        <v>0</v>
      </c>
    </row>
    <row r="2528" spans="2:8" x14ac:dyDescent="0.2">
      <c r="B2528" s="3" t="s">
        <v>160</v>
      </c>
      <c r="C2528" s="3" t="s">
        <v>51</v>
      </c>
      <c r="D2528" s="3" t="str">
        <f>VLOOKUP(C2528,Countries!$B$3:$C$140,2,FALSE)</f>
        <v>Asia</v>
      </c>
      <c r="E2528" s="3" t="s">
        <v>33</v>
      </c>
      <c r="F2528" s="3" t="str">
        <f>VLOOKUP(E2528,Countries!$B$3:$C$140,2,FALSE)</f>
        <v>North America</v>
      </c>
      <c r="G2528" s="4">
        <v>4</v>
      </c>
      <c r="H2528" s="4">
        <v>225000</v>
      </c>
    </row>
    <row r="2529" spans="2:8" x14ac:dyDescent="0.2">
      <c r="B2529" s="3" t="s">
        <v>160</v>
      </c>
      <c r="C2529" s="3" t="s">
        <v>51</v>
      </c>
      <c r="D2529" s="3" t="str">
        <f>VLOOKUP(C2529,Countries!$B$3:$C$140,2,FALSE)</f>
        <v>Asia</v>
      </c>
      <c r="E2529" s="3" t="s">
        <v>85</v>
      </c>
      <c r="F2529" s="3" t="str">
        <f>VLOOKUP(E2529,Countries!$B$3:$C$140,2,FALSE)</f>
        <v>Asia</v>
      </c>
      <c r="G2529" s="4">
        <v>4</v>
      </c>
      <c r="H2529" s="4">
        <v>0</v>
      </c>
    </row>
    <row r="2530" spans="2:8" x14ac:dyDescent="0.2">
      <c r="B2530" s="3" t="s">
        <v>160</v>
      </c>
      <c r="C2530" s="3" t="s">
        <v>51</v>
      </c>
      <c r="D2530" s="3" t="str">
        <f>VLOOKUP(C2530,Countries!$B$3:$C$140,2,FALSE)</f>
        <v>Asia</v>
      </c>
      <c r="E2530" s="3" t="s">
        <v>86</v>
      </c>
      <c r="F2530" s="3" t="str">
        <f>VLOOKUP(E2530,Countries!$B$3:$C$140,2,FALSE)</f>
        <v>Europe</v>
      </c>
      <c r="G2530" s="4">
        <v>4</v>
      </c>
      <c r="H2530" s="4">
        <v>0</v>
      </c>
    </row>
    <row r="2531" spans="2:8" x14ac:dyDescent="0.2">
      <c r="B2531" s="3" t="s">
        <v>160</v>
      </c>
      <c r="C2531" s="3" t="s">
        <v>17</v>
      </c>
      <c r="D2531" s="3" t="str">
        <f>VLOOKUP(C2531,Countries!$B$3:$C$140,2,FALSE)</f>
        <v>Europe</v>
      </c>
      <c r="E2531" s="3" t="s">
        <v>69</v>
      </c>
      <c r="F2531" s="3" t="str">
        <f>VLOOKUP(E2531,Countries!$B$3:$C$140,2,FALSE)</f>
        <v>South America</v>
      </c>
      <c r="G2531" s="4">
        <v>26</v>
      </c>
      <c r="H2531" s="4">
        <v>32781687.693498001</v>
      </c>
    </row>
    <row r="2532" spans="2:8" x14ac:dyDescent="0.2">
      <c r="B2532" s="3" t="s">
        <v>160</v>
      </c>
      <c r="C2532" s="3" t="s">
        <v>17</v>
      </c>
      <c r="D2532" s="3" t="str">
        <f>VLOOKUP(C2532,Countries!$B$3:$C$140,2,FALSE)</f>
        <v>Europe</v>
      </c>
      <c r="E2532" s="3" t="s">
        <v>48</v>
      </c>
      <c r="F2532" s="3" t="str">
        <f>VLOOKUP(E2532,Countries!$B$3:$C$140,2,FALSE)</f>
        <v>Oceania</v>
      </c>
      <c r="G2532" s="4">
        <v>2</v>
      </c>
      <c r="H2532" s="4">
        <v>0</v>
      </c>
    </row>
    <row r="2533" spans="2:8" x14ac:dyDescent="0.2">
      <c r="B2533" s="3" t="s">
        <v>160</v>
      </c>
      <c r="C2533" s="3" t="s">
        <v>17</v>
      </c>
      <c r="D2533" s="3" t="str">
        <f>VLOOKUP(C2533,Countries!$B$3:$C$140,2,FALSE)</f>
        <v>Europe</v>
      </c>
      <c r="E2533" s="3" t="s">
        <v>3</v>
      </c>
      <c r="F2533" s="3" t="str">
        <f>VLOOKUP(E2533,Countries!$B$3:$C$140,2,FALSE)</f>
        <v>Europe</v>
      </c>
      <c r="G2533" s="4">
        <v>4</v>
      </c>
      <c r="H2533" s="4">
        <v>0</v>
      </c>
    </row>
    <row r="2534" spans="2:8" x14ac:dyDescent="0.2">
      <c r="B2534" s="3" t="s">
        <v>160</v>
      </c>
      <c r="C2534" s="3" t="s">
        <v>17</v>
      </c>
      <c r="D2534" s="3" t="str">
        <f>VLOOKUP(C2534,Countries!$B$3:$C$140,2,FALSE)</f>
        <v>Europe</v>
      </c>
      <c r="E2534" s="3" t="s">
        <v>35</v>
      </c>
      <c r="F2534" s="3" t="str">
        <f>VLOOKUP(E2534,Countries!$B$3:$C$140,2,FALSE)</f>
        <v>Europe</v>
      </c>
      <c r="G2534" s="4">
        <v>16</v>
      </c>
      <c r="H2534" s="4">
        <v>8112864.2719049994</v>
      </c>
    </row>
    <row r="2535" spans="2:8" x14ac:dyDescent="0.2">
      <c r="B2535" s="3" t="s">
        <v>160</v>
      </c>
      <c r="C2535" s="3" t="s">
        <v>17</v>
      </c>
      <c r="D2535" s="3" t="str">
        <f>VLOOKUP(C2535,Countries!$B$3:$C$140,2,FALSE)</f>
        <v>Europe</v>
      </c>
      <c r="E2535" s="3" t="s">
        <v>7</v>
      </c>
      <c r="F2535" s="3" t="str">
        <f>VLOOKUP(E2535,Countries!$B$3:$C$140,2,FALSE)</f>
        <v>South America</v>
      </c>
      <c r="G2535" s="4">
        <v>48</v>
      </c>
      <c r="H2535" s="4">
        <v>83319501.826252803</v>
      </c>
    </row>
    <row r="2536" spans="2:8" x14ac:dyDescent="0.2">
      <c r="B2536" s="3" t="s">
        <v>160</v>
      </c>
      <c r="C2536" s="3" t="s">
        <v>17</v>
      </c>
      <c r="D2536" s="3" t="str">
        <f>VLOOKUP(C2536,Countries!$B$3:$C$140,2,FALSE)</f>
        <v>Europe</v>
      </c>
      <c r="E2536" s="3" t="s">
        <v>36</v>
      </c>
      <c r="F2536" s="3" t="str">
        <f>VLOOKUP(E2536,Countries!$B$3:$C$140,2,FALSE)</f>
        <v>Europe</v>
      </c>
      <c r="G2536" s="4">
        <v>6</v>
      </c>
      <c r="H2536" s="4">
        <v>160915.29426</v>
      </c>
    </row>
    <row r="2537" spans="2:8" x14ac:dyDescent="0.2">
      <c r="B2537" s="3" t="s">
        <v>160</v>
      </c>
      <c r="C2537" s="3" t="s">
        <v>17</v>
      </c>
      <c r="D2537" s="3" t="str">
        <f>VLOOKUP(C2537,Countries!$B$3:$C$140,2,FALSE)</f>
        <v>Europe</v>
      </c>
      <c r="E2537" s="3" t="s">
        <v>88</v>
      </c>
      <c r="F2537" s="3" t="str">
        <f>VLOOKUP(E2537,Countries!$B$3:$C$140,2,FALSE)</f>
        <v>South America</v>
      </c>
      <c r="G2537" s="4">
        <v>10</v>
      </c>
      <c r="H2537" s="4">
        <v>36515219.091300003</v>
      </c>
    </row>
    <row r="2538" spans="2:8" x14ac:dyDescent="0.2">
      <c r="B2538" s="3" t="s">
        <v>160</v>
      </c>
      <c r="C2538" s="3" t="s">
        <v>17</v>
      </c>
      <c r="D2538" s="3" t="str">
        <f>VLOOKUP(C2538,Countries!$B$3:$C$140,2,FALSE)</f>
        <v>Europe</v>
      </c>
      <c r="E2538" s="3" t="s">
        <v>89</v>
      </c>
      <c r="F2538" s="3" t="str">
        <f>VLOOKUP(E2538,Countries!$B$3:$C$140,2,FALSE)</f>
        <v>Asia</v>
      </c>
      <c r="G2538" s="4">
        <v>2</v>
      </c>
      <c r="H2538" s="4">
        <v>0</v>
      </c>
    </row>
    <row r="2539" spans="2:8" x14ac:dyDescent="0.2">
      <c r="B2539" s="3" t="s">
        <v>160</v>
      </c>
      <c r="C2539" s="3" t="s">
        <v>17</v>
      </c>
      <c r="D2539" s="3" t="str">
        <f>VLOOKUP(C2539,Countries!$B$3:$C$140,2,FALSE)</f>
        <v>Europe</v>
      </c>
      <c r="E2539" s="3" t="s">
        <v>72</v>
      </c>
      <c r="F2539" s="3" t="str">
        <f>VLOOKUP(E2539,Countries!$B$3:$C$140,2,FALSE)</f>
        <v>South America</v>
      </c>
      <c r="G2539" s="4">
        <v>4</v>
      </c>
      <c r="H2539" s="4">
        <v>30300000</v>
      </c>
    </row>
    <row r="2540" spans="2:8" x14ac:dyDescent="0.2">
      <c r="B2540" s="3" t="s">
        <v>160</v>
      </c>
      <c r="C2540" s="3" t="s">
        <v>17</v>
      </c>
      <c r="D2540" s="3" t="str">
        <f>VLOOKUP(C2540,Countries!$B$3:$C$140,2,FALSE)</f>
        <v>Europe</v>
      </c>
      <c r="E2540" s="3" t="s">
        <v>61</v>
      </c>
      <c r="F2540" s="3" t="str">
        <f>VLOOKUP(E2540,Countries!$B$3:$C$140,2,FALSE)</f>
        <v>North America</v>
      </c>
      <c r="G2540" s="4">
        <v>2</v>
      </c>
      <c r="H2540" s="4">
        <v>330000</v>
      </c>
    </row>
    <row r="2541" spans="2:8" x14ac:dyDescent="0.2">
      <c r="B2541" s="3" t="s">
        <v>160</v>
      </c>
      <c r="C2541" s="3" t="s">
        <v>17</v>
      </c>
      <c r="D2541" s="3" t="str">
        <f>VLOOKUP(C2541,Countries!$B$3:$C$140,2,FALSE)</f>
        <v>Europe</v>
      </c>
      <c r="E2541" s="3" t="s">
        <v>9</v>
      </c>
      <c r="F2541" s="3" t="str">
        <f>VLOOKUP(E2541,Countries!$B$3:$C$140,2,FALSE)</f>
        <v>Europe</v>
      </c>
      <c r="G2541" s="4">
        <v>14</v>
      </c>
      <c r="H2541" s="4">
        <v>87240054.537870005</v>
      </c>
    </row>
    <row r="2542" spans="2:8" x14ac:dyDescent="0.2">
      <c r="B2542" s="3" t="s">
        <v>160</v>
      </c>
      <c r="C2542" s="3" t="s">
        <v>17</v>
      </c>
      <c r="D2542" s="3" t="str">
        <f>VLOOKUP(C2542,Countries!$B$3:$C$140,2,FALSE)</f>
        <v>Europe</v>
      </c>
      <c r="E2542" s="3" t="s">
        <v>62</v>
      </c>
      <c r="F2542" s="3" t="str">
        <f>VLOOKUP(E2542,Countries!$B$3:$C$140,2,FALSE)</f>
        <v>Asia</v>
      </c>
      <c r="G2542" s="4">
        <v>2</v>
      </c>
      <c r="H2542" s="4">
        <v>0</v>
      </c>
    </row>
    <row r="2543" spans="2:8" x14ac:dyDescent="0.2">
      <c r="B2543" s="3" t="s">
        <v>160</v>
      </c>
      <c r="C2543" s="3" t="s">
        <v>17</v>
      </c>
      <c r="D2543" s="3" t="str">
        <f>VLOOKUP(C2543,Countries!$B$3:$C$140,2,FALSE)</f>
        <v>Europe</v>
      </c>
      <c r="E2543" s="3" t="s">
        <v>49</v>
      </c>
      <c r="F2543" s="3" t="str">
        <f>VLOOKUP(E2543,Countries!$B$3:$C$140,2,FALSE)</f>
        <v>Europe</v>
      </c>
      <c r="G2543" s="4">
        <v>2</v>
      </c>
      <c r="H2543" s="4">
        <v>0</v>
      </c>
    </row>
    <row r="2544" spans="2:8" x14ac:dyDescent="0.2">
      <c r="B2544" s="3" t="s">
        <v>160</v>
      </c>
      <c r="C2544" s="3" t="s">
        <v>17</v>
      </c>
      <c r="D2544" s="3" t="str">
        <f>VLOOKUP(C2544,Countries!$B$3:$C$140,2,FALSE)</f>
        <v>Europe</v>
      </c>
      <c r="E2544" s="3" t="s">
        <v>10</v>
      </c>
      <c r="F2544" s="3" t="str">
        <f>VLOOKUP(E2544,Countries!$B$3:$C$140,2,FALSE)</f>
        <v>Europe</v>
      </c>
      <c r="G2544" s="4">
        <v>6</v>
      </c>
      <c r="H2544" s="4">
        <v>13767361.879305001</v>
      </c>
    </row>
    <row r="2545" spans="2:8" x14ac:dyDescent="0.2">
      <c r="B2545" s="3" t="s">
        <v>160</v>
      </c>
      <c r="C2545" s="3" t="s">
        <v>17</v>
      </c>
      <c r="D2545" s="3" t="str">
        <f>VLOOKUP(C2545,Countries!$B$3:$C$140,2,FALSE)</f>
        <v>Europe</v>
      </c>
      <c r="E2545" s="3" t="s">
        <v>107</v>
      </c>
      <c r="F2545" s="3" t="str">
        <f>VLOOKUP(E2545,Countries!$B$3:$C$140,2,FALSE)</f>
        <v>South America</v>
      </c>
      <c r="G2545" s="4">
        <v>4</v>
      </c>
      <c r="H2545" s="4">
        <v>878290.93235399993</v>
      </c>
    </row>
    <row r="2546" spans="2:8" x14ac:dyDescent="0.2">
      <c r="B2546" s="3" t="s">
        <v>160</v>
      </c>
      <c r="C2546" s="3" t="s">
        <v>17</v>
      </c>
      <c r="D2546" s="3" t="str">
        <f>VLOOKUP(C2546,Countries!$B$3:$C$140,2,FALSE)</f>
        <v>Europe</v>
      </c>
      <c r="E2546" s="3" t="s">
        <v>63</v>
      </c>
      <c r="F2546" s="3" t="str">
        <f>VLOOKUP(E2546,Countries!$B$3:$C$140,2,FALSE)</f>
        <v>Africa</v>
      </c>
      <c r="G2546" s="4">
        <v>2</v>
      </c>
      <c r="H2546" s="4">
        <v>6174821.3460029997</v>
      </c>
    </row>
    <row r="2547" spans="2:8" x14ac:dyDescent="0.2">
      <c r="B2547" s="3" t="s">
        <v>160</v>
      </c>
      <c r="C2547" s="3" t="s">
        <v>17</v>
      </c>
      <c r="D2547" s="3" t="str">
        <f>VLOOKUP(C2547,Countries!$B$3:$C$140,2,FALSE)</f>
        <v>Europe</v>
      </c>
      <c r="E2547" s="3" t="s">
        <v>50</v>
      </c>
      <c r="F2547" s="3" t="str">
        <f>VLOOKUP(E2547,Countries!$B$3:$C$140,2,FALSE)</f>
        <v>Europe</v>
      </c>
      <c r="G2547" s="4">
        <v>44</v>
      </c>
      <c r="H2547" s="4">
        <v>164027552.08362719</v>
      </c>
    </row>
    <row r="2548" spans="2:8" x14ac:dyDescent="0.2">
      <c r="B2548" s="3" t="s">
        <v>160</v>
      </c>
      <c r="C2548" s="3" t="s">
        <v>17</v>
      </c>
      <c r="D2548" s="3" t="str">
        <f>VLOOKUP(C2548,Countries!$B$3:$C$140,2,FALSE)</f>
        <v>Europe</v>
      </c>
      <c r="E2548" s="3" t="s">
        <v>11</v>
      </c>
      <c r="F2548" s="3" t="str">
        <f>VLOOKUP(E2548,Countries!$B$3:$C$140,2,FALSE)</f>
        <v>Europe</v>
      </c>
      <c r="G2548" s="4">
        <v>70</v>
      </c>
      <c r="H2548" s="4">
        <v>183801053.40485549</v>
      </c>
    </row>
    <row r="2549" spans="2:8" x14ac:dyDescent="0.2">
      <c r="B2549" s="3" t="s">
        <v>160</v>
      </c>
      <c r="C2549" s="3" t="s">
        <v>17</v>
      </c>
      <c r="D2549" s="3" t="str">
        <f>VLOOKUP(C2549,Countries!$B$3:$C$140,2,FALSE)</f>
        <v>Europe</v>
      </c>
      <c r="E2549" s="3" t="s">
        <v>73</v>
      </c>
      <c r="F2549" s="3" t="str">
        <f>VLOOKUP(E2549,Countries!$B$3:$C$140,2,FALSE)</f>
        <v>Europe</v>
      </c>
      <c r="G2549" s="4">
        <v>4</v>
      </c>
      <c r="H2549" s="4">
        <v>1049316.0457259999</v>
      </c>
    </row>
    <row r="2550" spans="2:8" x14ac:dyDescent="0.2">
      <c r="B2550" s="3" t="s">
        <v>160</v>
      </c>
      <c r="C2550" s="3" t="s">
        <v>17</v>
      </c>
      <c r="D2550" s="3" t="str">
        <f>VLOOKUP(C2550,Countries!$B$3:$C$140,2,FALSE)</f>
        <v>Europe</v>
      </c>
      <c r="E2550" s="3" t="s">
        <v>12</v>
      </c>
      <c r="F2550" s="3" t="str">
        <f>VLOOKUP(E2550,Countries!$B$3:$C$140,2,FALSE)</f>
        <v>Europe</v>
      </c>
      <c r="G2550" s="4">
        <v>24</v>
      </c>
      <c r="H2550" s="4">
        <v>39820894.265959501</v>
      </c>
    </row>
    <row r="2551" spans="2:8" x14ac:dyDescent="0.2">
      <c r="B2551" s="3" t="s">
        <v>160</v>
      </c>
      <c r="C2551" s="3" t="s">
        <v>17</v>
      </c>
      <c r="D2551" s="3" t="str">
        <f>VLOOKUP(C2551,Countries!$B$3:$C$140,2,FALSE)</f>
        <v>Europe</v>
      </c>
      <c r="E2551" s="3" t="s">
        <v>13</v>
      </c>
      <c r="F2551" s="3" t="str">
        <f>VLOOKUP(E2551,Countries!$B$3:$C$140,2,FALSE)</f>
        <v>Europe</v>
      </c>
      <c r="G2551" s="4">
        <v>8</v>
      </c>
      <c r="H2551" s="4">
        <v>5749294.1370675005</v>
      </c>
    </row>
    <row r="2552" spans="2:8" x14ac:dyDescent="0.2">
      <c r="B2552" s="3" t="s">
        <v>160</v>
      </c>
      <c r="C2552" s="3" t="s">
        <v>17</v>
      </c>
      <c r="D2552" s="3" t="str">
        <f>VLOOKUP(C2552,Countries!$B$3:$C$140,2,FALSE)</f>
        <v>Europe</v>
      </c>
      <c r="E2552" s="3" t="s">
        <v>14</v>
      </c>
      <c r="F2552" s="3" t="str">
        <f>VLOOKUP(E2552,Countries!$B$3:$C$140,2,FALSE)</f>
        <v>Europe</v>
      </c>
      <c r="G2552" s="4">
        <v>24</v>
      </c>
      <c r="H2552" s="4">
        <v>5305042.9181369999</v>
      </c>
    </row>
    <row r="2553" spans="2:8" x14ac:dyDescent="0.2">
      <c r="B2553" s="3" t="s">
        <v>160</v>
      </c>
      <c r="C2553" s="3" t="s">
        <v>17</v>
      </c>
      <c r="D2553" s="3" t="str">
        <f>VLOOKUP(C2553,Countries!$B$3:$C$140,2,FALSE)</f>
        <v>Europe</v>
      </c>
      <c r="E2553" s="3" t="s">
        <v>15</v>
      </c>
      <c r="F2553" s="3" t="str">
        <f>VLOOKUP(E2553,Countries!$B$3:$C$140,2,FALSE)</f>
        <v>Europe</v>
      </c>
      <c r="G2553" s="4">
        <v>8</v>
      </c>
      <c r="H2553" s="4">
        <v>443941.40396100003</v>
      </c>
    </row>
    <row r="2554" spans="2:8" x14ac:dyDescent="0.2">
      <c r="B2554" s="3" t="s">
        <v>160</v>
      </c>
      <c r="C2554" s="3" t="s">
        <v>17</v>
      </c>
      <c r="D2554" s="3" t="str">
        <f>VLOOKUP(C2554,Countries!$B$3:$C$140,2,FALSE)</f>
        <v>Europe</v>
      </c>
      <c r="E2554" s="3" t="s">
        <v>92</v>
      </c>
      <c r="F2554" s="3" t="str">
        <f>VLOOKUP(E2554,Countries!$B$3:$C$140,2,FALSE)</f>
        <v>Asia</v>
      </c>
      <c r="G2554" s="4">
        <v>2</v>
      </c>
      <c r="H2554" s="4">
        <v>0</v>
      </c>
    </row>
    <row r="2555" spans="2:8" x14ac:dyDescent="0.2">
      <c r="B2555" s="3" t="s">
        <v>160</v>
      </c>
      <c r="C2555" s="3" t="s">
        <v>17</v>
      </c>
      <c r="D2555" s="3" t="str">
        <f>VLOOKUP(C2555,Countries!$B$3:$C$140,2,FALSE)</f>
        <v>Europe</v>
      </c>
      <c r="E2555" s="3" t="s">
        <v>66</v>
      </c>
      <c r="F2555" s="3" t="str">
        <f>VLOOKUP(E2555,Countries!$B$3:$C$140,2,FALSE)</f>
        <v>Europe</v>
      </c>
      <c r="G2555" s="4">
        <v>8</v>
      </c>
      <c r="H2555" s="4">
        <v>1368928.6393050002</v>
      </c>
    </row>
    <row r="2556" spans="2:8" x14ac:dyDescent="0.2">
      <c r="B2556" s="3" t="s">
        <v>160</v>
      </c>
      <c r="C2556" s="3" t="s">
        <v>17</v>
      </c>
      <c r="D2556" s="3" t="str">
        <f>VLOOKUP(C2556,Countries!$B$3:$C$140,2,FALSE)</f>
        <v>Europe</v>
      </c>
      <c r="E2556" s="3" t="s">
        <v>43</v>
      </c>
      <c r="F2556" s="3" t="str">
        <f>VLOOKUP(E2556,Countries!$B$3:$C$140,2,FALSE)</f>
        <v>Europe</v>
      </c>
      <c r="G2556" s="4">
        <v>2</v>
      </c>
      <c r="H2556" s="4">
        <v>0</v>
      </c>
    </row>
    <row r="2557" spans="2:8" x14ac:dyDescent="0.2">
      <c r="B2557" s="3" t="s">
        <v>160</v>
      </c>
      <c r="C2557" s="3" t="s">
        <v>17</v>
      </c>
      <c r="D2557" s="3" t="str">
        <f>VLOOKUP(C2557,Countries!$B$3:$C$140,2,FALSE)</f>
        <v>Europe</v>
      </c>
      <c r="E2557" s="3" t="s">
        <v>94</v>
      </c>
      <c r="F2557" s="3" t="str">
        <f>VLOOKUP(E2557,Countries!$B$3:$C$140,2,FALSE)</f>
        <v>North America</v>
      </c>
      <c r="G2557" s="4">
        <v>2</v>
      </c>
      <c r="H2557" s="4">
        <v>9000000</v>
      </c>
    </row>
    <row r="2558" spans="2:8" x14ac:dyDescent="0.2">
      <c r="B2558" s="3" t="s">
        <v>160</v>
      </c>
      <c r="C2558" s="3" t="s">
        <v>17</v>
      </c>
      <c r="D2558" s="3" t="str">
        <f>VLOOKUP(C2558,Countries!$B$3:$C$140,2,FALSE)</f>
        <v>Europe</v>
      </c>
      <c r="E2558" s="3" t="s">
        <v>22</v>
      </c>
      <c r="F2558" s="3" t="str">
        <f>VLOOKUP(E2558,Countries!$B$3:$C$140,2,FALSE)</f>
        <v>Europe</v>
      </c>
      <c r="G2558" s="4">
        <v>2</v>
      </c>
      <c r="H2558" s="4">
        <v>0</v>
      </c>
    </row>
    <row r="2559" spans="2:8" x14ac:dyDescent="0.2">
      <c r="B2559" s="3" t="s">
        <v>160</v>
      </c>
      <c r="C2559" s="3" t="s">
        <v>17</v>
      </c>
      <c r="D2559" s="3" t="str">
        <f>VLOOKUP(C2559,Countries!$B$3:$C$140,2,FALSE)</f>
        <v>Europe</v>
      </c>
      <c r="E2559" s="3" t="s">
        <v>23</v>
      </c>
      <c r="F2559" s="3" t="str">
        <f>VLOOKUP(E2559,Countries!$B$3:$C$140,2,FALSE)</f>
        <v>Europe</v>
      </c>
      <c r="G2559" s="4">
        <v>2</v>
      </c>
      <c r="H2559" s="4">
        <v>4886869.3161599999</v>
      </c>
    </row>
    <row r="2560" spans="2:8" x14ac:dyDescent="0.2">
      <c r="B2560" s="3" t="s">
        <v>160</v>
      </c>
      <c r="C2560" s="3" t="s">
        <v>17</v>
      </c>
      <c r="D2560" s="3" t="str">
        <f>VLOOKUP(C2560,Countries!$B$3:$C$140,2,FALSE)</f>
        <v>Europe</v>
      </c>
      <c r="E2560" s="3" t="s">
        <v>53</v>
      </c>
      <c r="F2560" s="3" t="str">
        <f>VLOOKUP(E2560,Countries!$B$3:$C$140,2,FALSE)</f>
        <v>Europe</v>
      </c>
      <c r="G2560" s="4">
        <v>6</v>
      </c>
      <c r="H2560" s="4">
        <v>3384744.8108099997</v>
      </c>
    </row>
    <row r="2561" spans="2:8" x14ac:dyDescent="0.2">
      <c r="B2561" s="3" t="s">
        <v>160</v>
      </c>
      <c r="C2561" s="3" t="s">
        <v>17</v>
      </c>
      <c r="D2561" s="3" t="str">
        <f>VLOOKUP(C2561,Countries!$B$3:$C$140,2,FALSE)</f>
        <v>Europe</v>
      </c>
      <c r="E2561" s="3" t="s">
        <v>44</v>
      </c>
      <c r="F2561" s="3" t="str">
        <f>VLOOKUP(E2561,Countries!$B$3:$C$140,2,FALSE)</f>
        <v>Europe</v>
      </c>
      <c r="G2561" s="4">
        <v>4</v>
      </c>
      <c r="H2561" s="4">
        <v>1092645.6260939999</v>
      </c>
    </row>
    <row r="2562" spans="2:8" x14ac:dyDescent="0.2">
      <c r="B2562" s="3" t="s">
        <v>160</v>
      </c>
      <c r="C2562" s="3" t="s">
        <v>17</v>
      </c>
      <c r="D2562" s="3" t="str">
        <f>VLOOKUP(C2562,Countries!$B$3:$C$140,2,FALSE)</f>
        <v>Europe</v>
      </c>
      <c r="E2562" s="3" t="s">
        <v>79</v>
      </c>
      <c r="F2562" s="3" t="str">
        <f>VLOOKUP(E2562,Countries!$B$3:$C$140,2,FALSE)</f>
        <v>South America</v>
      </c>
      <c r="G2562" s="4">
        <v>2</v>
      </c>
      <c r="H2562" s="4">
        <v>0</v>
      </c>
    </row>
    <row r="2563" spans="2:8" x14ac:dyDescent="0.2">
      <c r="B2563" s="3" t="s">
        <v>160</v>
      </c>
      <c r="C2563" s="3" t="s">
        <v>17</v>
      </c>
      <c r="D2563" s="3" t="str">
        <f>VLOOKUP(C2563,Countries!$B$3:$C$140,2,FALSE)</f>
        <v>Europe</v>
      </c>
      <c r="E2563" s="3" t="s">
        <v>80</v>
      </c>
      <c r="F2563" s="3" t="str">
        <f>VLOOKUP(E2563,Countries!$B$3:$C$140,2,FALSE)</f>
        <v>South America</v>
      </c>
      <c r="G2563" s="4">
        <v>4</v>
      </c>
      <c r="H2563" s="4">
        <v>0</v>
      </c>
    </row>
    <row r="2564" spans="2:8" x14ac:dyDescent="0.2">
      <c r="B2564" s="3" t="s">
        <v>160</v>
      </c>
      <c r="C2564" s="3" t="s">
        <v>17</v>
      </c>
      <c r="D2564" s="3" t="str">
        <f>VLOOKUP(C2564,Countries!$B$3:$C$140,2,FALSE)</f>
        <v>Europe</v>
      </c>
      <c r="E2564" s="3" t="s">
        <v>54</v>
      </c>
      <c r="F2564" s="3" t="str">
        <f>VLOOKUP(E2564,Countries!$B$3:$C$140,2,FALSE)</f>
        <v>Europe</v>
      </c>
      <c r="G2564" s="4">
        <v>10</v>
      </c>
      <c r="H2564" s="4">
        <v>12073073.426232301</v>
      </c>
    </row>
    <row r="2565" spans="2:8" x14ac:dyDescent="0.2">
      <c r="B2565" s="3" t="s">
        <v>160</v>
      </c>
      <c r="C2565" s="3" t="s">
        <v>17</v>
      </c>
      <c r="D2565" s="3" t="str">
        <f>VLOOKUP(C2565,Countries!$B$3:$C$140,2,FALSE)</f>
        <v>Europe</v>
      </c>
      <c r="E2565" s="3" t="s">
        <v>25</v>
      </c>
      <c r="F2565" s="3" t="str">
        <f>VLOOKUP(E2565,Countries!$B$3:$C$140,2,FALSE)</f>
        <v>Europe</v>
      </c>
      <c r="G2565" s="4">
        <v>24</v>
      </c>
      <c r="H2565" s="4">
        <v>84879005.249837399</v>
      </c>
    </row>
    <row r="2566" spans="2:8" x14ac:dyDescent="0.2">
      <c r="B2566" s="3" t="s">
        <v>160</v>
      </c>
      <c r="C2566" s="3" t="s">
        <v>17</v>
      </c>
      <c r="D2566" s="3" t="str">
        <f>VLOOKUP(C2566,Countries!$B$3:$C$140,2,FALSE)</f>
        <v>Europe</v>
      </c>
      <c r="E2566" s="3" t="s">
        <v>26</v>
      </c>
      <c r="F2566" s="3" t="str">
        <f>VLOOKUP(E2566,Countries!$B$3:$C$140,2,FALSE)</f>
        <v>Europe</v>
      </c>
      <c r="G2566" s="4">
        <v>22</v>
      </c>
      <c r="H2566" s="4">
        <v>7232759.0081684999</v>
      </c>
    </row>
    <row r="2567" spans="2:8" x14ac:dyDescent="0.2">
      <c r="B2567" s="3" t="s">
        <v>160</v>
      </c>
      <c r="C2567" s="3" t="s">
        <v>17</v>
      </c>
      <c r="D2567" s="3" t="str">
        <f>VLOOKUP(C2567,Countries!$B$3:$C$140,2,FALSE)</f>
        <v>Europe</v>
      </c>
      <c r="E2567" s="3" t="s">
        <v>46</v>
      </c>
      <c r="F2567" s="3" t="str">
        <f>VLOOKUP(E2567,Countries!$B$3:$C$140,2,FALSE)</f>
        <v>Europe/Asia</v>
      </c>
      <c r="G2567" s="4">
        <v>6</v>
      </c>
      <c r="H2567" s="4">
        <v>4268198.0444400003</v>
      </c>
    </row>
    <row r="2568" spans="2:8" x14ac:dyDescent="0.2">
      <c r="B2568" s="3" t="s">
        <v>160</v>
      </c>
      <c r="C2568" s="3" t="s">
        <v>17</v>
      </c>
      <c r="D2568" s="3" t="str">
        <f>VLOOKUP(C2568,Countries!$B$3:$C$140,2,FALSE)</f>
        <v>Europe</v>
      </c>
      <c r="E2568" s="3" t="s">
        <v>55</v>
      </c>
      <c r="F2568" s="3" t="str">
        <f>VLOOKUP(E2568,Countries!$B$3:$C$140,2,FALSE)</f>
        <v>Europe</v>
      </c>
      <c r="G2568" s="4">
        <v>2</v>
      </c>
      <c r="H2568" s="4">
        <v>0</v>
      </c>
    </row>
    <row r="2569" spans="2:8" x14ac:dyDescent="0.2">
      <c r="B2569" s="3" t="s">
        <v>160</v>
      </c>
      <c r="C2569" s="3" t="s">
        <v>17</v>
      </c>
      <c r="D2569" s="3" t="str">
        <f>VLOOKUP(C2569,Countries!$B$3:$C$140,2,FALSE)</f>
        <v>Europe</v>
      </c>
      <c r="E2569" s="3" t="s">
        <v>47</v>
      </c>
      <c r="F2569" s="3" t="str">
        <f>VLOOKUP(E2569,Countries!$B$3:$C$140,2,FALSE)</f>
        <v>Africa</v>
      </c>
      <c r="G2569" s="4">
        <v>2</v>
      </c>
      <c r="H2569" s="4">
        <v>0</v>
      </c>
    </row>
    <row r="2570" spans="2:8" x14ac:dyDescent="0.2">
      <c r="B2570" s="3" t="s">
        <v>160</v>
      </c>
      <c r="C2570" s="3" t="s">
        <v>17</v>
      </c>
      <c r="D2570" s="3" t="str">
        <f>VLOOKUP(C2570,Countries!$B$3:$C$140,2,FALSE)</f>
        <v>Europe</v>
      </c>
      <c r="E2570" s="3" t="s">
        <v>28</v>
      </c>
      <c r="F2570" s="3" t="str">
        <f>VLOOKUP(E2570,Countries!$B$3:$C$140,2,FALSE)</f>
        <v>Europe</v>
      </c>
      <c r="G2570" s="4">
        <v>2</v>
      </c>
      <c r="H2570" s="4">
        <v>106206.07962675299</v>
      </c>
    </row>
    <row r="2571" spans="2:8" x14ac:dyDescent="0.2">
      <c r="B2571" s="3" t="s">
        <v>160</v>
      </c>
      <c r="C2571" s="3" t="s">
        <v>17</v>
      </c>
      <c r="D2571" s="3" t="str">
        <f>VLOOKUP(C2571,Countries!$B$3:$C$140,2,FALSE)</f>
        <v>Europe</v>
      </c>
      <c r="E2571" s="3" t="s">
        <v>29</v>
      </c>
      <c r="F2571" s="3" t="str">
        <f>VLOOKUP(E2571,Countries!$B$3:$C$140,2,FALSE)</f>
        <v>Europe</v>
      </c>
      <c r="G2571" s="4">
        <v>20</v>
      </c>
      <c r="H2571" s="4">
        <v>7331367.576444</v>
      </c>
    </row>
    <row r="2572" spans="2:8" x14ac:dyDescent="0.2">
      <c r="B2572" s="3" t="s">
        <v>160</v>
      </c>
      <c r="C2572" s="3" t="s">
        <v>17</v>
      </c>
      <c r="D2572" s="3" t="str">
        <f>VLOOKUP(C2572,Countries!$B$3:$C$140,2,FALSE)</f>
        <v>Europe</v>
      </c>
      <c r="E2572" s="3" t="s">
        <v>56</v>
      </c>
      <c r="F2572" s="3" t="str">
        <f>VLOOKUP(E2572,Countries!$B$3:$C$140,2,FALSE)</f>
        <v>Europe</v>
      </c>
      <c r="G2572" s="4">
        <v>12</v>
      </c>
      <c r="H2572" s="4">
        <v>5850775.815126</v>
      </c>
    </row>
    <row r="2573" spans="2:8" x14ac:dyDescent="0.2">
      <c r="B2573" s="3" t="s">
        <v>160</v>
      </c>
      <c r="C2573" s="3" t="s">
        <v>17</v>
      </c>
      <c r="D2573" s="3" t="str">
        <f>VLOOKUP(C2573,Countries!$B$3:$C$140,2,FALSE)</f>
        <v>Europe</v>
      </c>
      <c r="E2573" s="3" t="s">
        <v>30</v>
      </c>
      <c r="F2573" s="3" t="str">
        <f>VLOOKUP(E2573,Countries!$B$3:$C$140,2,FALSE)</f>
        <v>Europe</v>
      </c>
      <c r="G2573" s="4">
        <v>16</v>
      </c>
      <c r="H2573" s="4">
        <v>1861154.8229951998</v>
      </c>
    </row>
    <row r="2574" spans="2:8" x14ac:dyDescent="0.2">
      <c r="B2574" s="3" t="s">
        <v>160</v>
      </c>
      <c r="C2574" s="3" t="s">
        <v>17</v>
      </c>
      <c r="D2574" s="3" t="str">
        <f>VLOOKUP(C2574,Countries!$B$3:$C$140,2,FALSE)</f>
        <v>Europe</v>
      </c>
      <c r="E2574" s="3" t="s">
        <v>31</v>
      </c>
      <c r="F2574" s="3" t="str">
        <f>VLOOKUP(E2574,Countries!$B$3:$C$140,2,FALSE)</f>
        <v>Europe</v>
      </c>
      <c r="G2574" s="4">
        <v>10</v>
      </c>
      <c r="H2574" s="4">
        <v>9020082.1622985005</v>
      </c>
    </row>
    <row r="2575" spans="2:8" x14ac:dyDescent="0.2">
      <c r="B2575" s="3" t="s">
        <v>160</v>
      </c>
      <c r="C2575" s="3" t="s">
        <v>17</v>
      </c>
      <c r="D2575" s="3" t="str">
        <f>VLOOKUP(C2575,Countries!$B$3:$C$140,2,FALSE)</f>
        <v>Europe</v>
      </c>
      <c r="E2575" s="3" t="s">
        <v>104</v>
      </c>
      <c r="F2575" s="3" t="str">
        <f>VLOOKUP(E2575,Countries!$B$3:$C$140,2,FALSE)</f>
        <v>Africa</v>
      </c>
      <c r="G2575" s="4">
        <v>2</v>
      </c>
      <c r="H2575" s="4">
        <v>0</v>
      </c>
    </row>
    <row r="2576" spans="2:8" x14ac:dyDescent="0.2">
      <c r="B2576" s="3" t="s">
        <v>160</v>
      </c>
      <c r="C2576" s="3" t="s">
        <v>17</v>
      </c>
      <c r="D2576" s="3" t="str">
        <f>VLOOKUP(C2576,Countries!$B$3:$C$140,2,FALSE)</f>
        <v>Europe</v>
      </c>
      <c r="E2576" s="3" t="s">
        <v>57</v>
      </c>
      <c r="F2576" s="3" t="str">
        <f>VLOOKUP(E2576,Countries!$B$3:$C$140,2,FALSE)</f>
        <v>Europe/Asia</v>
      </c>
      <c r="G2576" s="4">
        <v>8</v>
      </c>
      <c r="H2576" s="4">
        <v>0</v>
      </c>
    </row>
    <row r="2577" spans="2:8" x14ac:dyDescent="0.2">
      <c r="B2577" s="3" t="s">
        <v>160</v>
      </c>
      <c r="C2577" s="3" t="s">
        <v>17</v>
      </c>
      <c r="D2577" s="3" t="str">
        <f>VLOOKUP(C2577,Countries!$B$3:$C$140,2,FALSE)</f>
        <v>Europe</v>
      </c>
      <c r="E2577" s="3" t="s">
        <v>105</v>
      </c>
      <c r="F2577" s="3" t="str">
        <f>VLOOKUP(E2577,Countries!$B$3:$C$140,2,FALSE)</f>
        <v>Asia</v>
      </c>
      <c r="G2577" s="4">
        <v>2</v>
      </c>
      <c r="H2577" s="4">
        <v>0</v>
      </c>
    </row>
    <row r="2578" spans="2:8" x14ac:dyDescent="0.2">
      <c r="B2578" s="3" t="s">
        <v>160</v>
      </c>
      <c r="C2578" s="3" t="s">
        <v>17</v>
      </c>
      <c r="D2578" s="3" t="str">
        <f>VLOOKUP(C2578,Countries!$B$3:$C$140,2,FALSE)</f>
        <v>Europe</v>
      </c>
      <c r="E2578" s="3" t="s">
        <v>32</v>
      </c>
      <c r="F2578" s="3" t="str">
        <f>VLOOKUP(E2578,Countries!$B$3:$C$140,2,FALSE)</f>
        <v>Europe</v>
      </c>
      <c r="G2578" s="4">
        <v>4</v>
      </c>
      <c r="H2578" s="4">
        <v>3920234.5035000006</v>
      </c>
    </row>
    <row r="2579" spans="2:8" x14ac:dyDescent="0.2">
      <c r="B2579" s="3" t="s">
        <v>160</v>
      </c>
      <c r="C2579" s="3" t="s">
        <v>17</v>
      </c>
      <c r="D2579" s="3" t="str">
        <f>VLOOKUP(C2579,Countries!$B$3:$C$140,2,FALSE)</f>
        <v>Europe</v>
      </c>
      <c r="E2579" s="3" t="s">
        <v>58</v>
      </c>
      <c r="F2579" s="3" t="str">
        <f>VLOOKUP(E2579,Countries!$B$3:$C$140,2,FALSE)</f>
        <v>South America</v>
      </c>
      <c r="G2579" s="4">
        <v>32</v>
      </c>
      <c r="H2579" s="4">
        <v>49063034.143198803</v>
      </c>
    </row>
    <row r="2580" spans="2:8" x14ac:dyDescent="0.2">
      <c r="B2580" s="3" t="s">
        <v>160</v>
      </c>
      <c r="C2580" s="3" t="s">
        <v>17</v>
      </c>
      <c r="D2580" s="3" t="str">
        <f>VLOOKUP(C2580,Countries!$B$3:$C$140,2,FALSE)</f>
        <v>Europe</v>
      </c>
      <c r="E2580" s="3" t="s">
        <v>91</v>
      </c>
      <c r="F2580" s="3" t="str">
        <f>VLOOKUP(E2580,Countries!$B$3:$C$140,2,FALSE)</f>
        <v>South America</v>
      </c>
      <c r="G2580" s="4">
        <v>2</v>
      </c>
      <c r="H2580" s="4">
        <v>398304.11874000006</v>
      </c>
    </row>
    <row r="2581" spans="2:8" x14ac:dyDescent="0.2">
      <c r="B2581" s="3" t="s">
        <v>160</v>
      </c>
      <c r="C2581" s="3" t="s">
        <v>40</v>
      </c>
      <c r="D2581" s="3" t="str">
        <f>VLOOKUP(C2581,Countries!$B$3:$C$140,2,FALSE)</f>
        <v>Asia</v>
      </c>
      <c r="E2581" s="3" t="s">
        <v>3</v>
      </c>
      <c r="F2581" s="3" t="str">
        <f>VLOOKUP(E2581,Countries!$B$3:$C$140,2,FALSE)</f>
        <v>Europe</v>
      </c>
      <c r="G2581" s="4">
        <v>4</v>
      </c>
      <c r="H2581" s="4">
        <v>0</v>
      </c>
    </row>
    <row r="2582" spans="2:8" x14ac:dyDescent="0.2">
      <c r="B2582" s="3" t="s">
        <v>160</v>
      </c>
      <c r="C2582" s="3" t="s">
        <v>40</v>
      </c>
      <c r="D2582" s="3" t="str">
        <f>VLOOKUP(C2582,Countries!$B$3:$C$140,2,FALSE)</f>
        <v>Asia</v>
      </c>
      <c r="E2582" s="3" t="s">
        <v>4</v>
      </c>
      <c r="F2582" s="3" t="str">
        <f>VLOOKUP(E2582,Countries!$B$3:$C$140,2,FALSE)</f>
        <v>Asia</v>
      </c>
      <c r="G2582" s="4">
        <v>2</v>
      </c>
      <c r="H2582" s="4">
        <v>0</v>
      </c>
    </row>
    <row r="2583" spans="2:8" x14ac:dyDescent="0.2">
      <c r="B2583" s="3" t="s">
        <v>160</v>
      </c>
      <c r="C2583" s="3" t="s">
        <v>40</v>
      </c>
      <c r="D2583" s="3" t="str">
        <f>VLOOKUP(C2583,Countries!$B$3:$C$140,2,FALSE)</f>
        <v>Asia</v>
      </c>
      <c r="E2583" s="3" t="s">
        <v>6</v>
      </c>
      <c r="F2583" s="3" t="str">
        <f>VLOOKUP(E2583,Countries!$B$3:$C$140,2,FALSE)</f>
        <v>Europe</v>
      </c>
      <c r="G2583" s="4">
        <v>4</v>
      </c>
      <c r="H2583" s="4">
        <v>0</v>
      </c>
    </row>
    <row r="2584" spans="2:8" x14ac:dyDescent="0.2">
      <c r="B2584" s="3" t="s">
        <v>160</v>
      </c>
      <c r="C2584" s="3" t="s">
        <v>40</v>
      </c>
      <c r="D2584" s="3" t="str">
        <f>VLOOKUP(C2584,Countries!$B$3:$C$140,2,FALSE)</f>
        <v>Asia</v>
      </c>
      <c r="E2584" s="3" t="s">
        <v>59</v>
      </c>
      <c r="F2584" s="3" t="str">
        <f>VLOOKUP(E2584,Countries!$B$3:$C$140,2,FALSE)</f>
        <v>Europe</v>
      </c>
      <c r="G2584" s="4">
        <v>12</v>
      </c>
      <c r="H2584" s="4">
        <v>210000</v>
      </c>
    </row>
    <row r="2585" spans="2:8" x14ac:dyDescent="0.2">
      <c r="B2585" s="3" t="s">
        <v>160</v>
      </c>
      <c r="C2585" s="3" t="s">
        <v>40</v>
      </c>
      <c r="D2585" s="3" t="str">
        <f>VLOOKUP(C2585,Countries!$B$3:$C$140,2,FALSE)</f>
        <v>Asia</v>
      </c>
      <c r="E2585" s="3" t="s">
        <v>36</v>
      </c>
      <c r="F2585" s="3" t="str">
        <f>VLOOKUP(E2585,Countries!$B$3:$C$140,2,FALSE)</f>
        <v>Europe</v>
      </c>
      <c r="G2585" s="4">
        <v>12</v>
      </c>
      <c r="H2585" s="4">
        <v>0</v>
      </c>
    </row>
    <row r="2586" spans="2:8" x14ac:dyDescent="0.2">
      <c r="B2586" s="3" t="s">
        <v>160</v>
      </c>
      <c r="C2586" s="3" t="s">
        <v>40</v>
      </c>
      <c r="D2586" s="3" t="str">
        <f>VLOOKUP(C2586,Countries!$B$3:$C$140,2,FALSE)</f>
        <v>Asia</v>
      </c>
      <c r="E2586" s="3" t="s">
        <v>62</v>
      </c>
      <c r="F2586" s="3" t="str">
        <f>VLOOKUP(E2586,Countries!$B$3:$C$140,2,FALSE)</f>
        <v>Asia</v>
      </c>
      <c r="G2586" s="4">
        <v>2</v>
      </c>
      <c r="H2586" s="4">
        <v>0</v>
      </c>
    </row>
    <row r="2587" spans="2:8" x14ac:dyDescent="0.2">
      <c r="B2587" s="3" t="s">
        <v>160</v>
      </c>
      <c r="C2587" s="3" t="s">
        <v>40</v>
      </c>
      <c r="D2587" s="3" t="str">
        <f>VLOOKUP(C2587,Countries!$B$3:$C$140,2,FALSE)</f>
        <v>Asia</v>
      </c>
      <c r="E2587" s="3" t="s">
        <v>49</v>
      </c>
      <c r="F2587" s="3" t="str">
        <f>VLOOKUP(E2587,Countries!$B$3:$C$140,2,FALSE)</f>
        <v>Europe</v>
      </c>
      <c r="G2587" s="4">
        <v>8</v>
      </c>
      <c r="H2587" s="4">
        <v>19665.102613499999</v>
      </c>
    </row>
    <row r="2588" spans="2:8" x14ac:dyDescent="0.2">
      <c r="B2588" s="3" t="s">
        <v>160</v>
      </c>
      <c r="C2588" s="3" t="s">
        <v>40</v>
      </c>
      <c r="D2588" s="3" t="str">
        <f>VLOOKUP(C2588,Countries!$B$3:$C$140,2,FALSE)</f>
        <v>Asia</v>
      </c>
      <c r="E2588" s="3" t="s">
        <v>10</v>
      </c>
      <c r="F2588" s="3" t="str">
        <f>VLOOKUP(E2588,Countries!$B$3:$C$140,2,FALSE)</f>
        <v>Europe</v>
      </c>
      <c r="G2588" s="4">
        <v>2</v>
      </c>
      <c r="H2588" s="4">
        <v>0</v>
      </c>
    </row>
    <row r="2589" spans="2:8" x14ac:dyDescent="0.2">
      <c r="B2589" s="3" t="s">
        <v>160</v>
      </c>
      <c r="C2589" s="3" t="s">
        <v>40</v>
      </c>
      <c r="D2589" s="3" t="str">
        <f>VLOOKUP(C2589,Countries!$B$3:$C$140,2,FALSE)</f>
        <v>Asia</v>
      </c>
      <c r="E2589" s="3" t="s">
        <v>50</v>
      </c>
      <c r="F2589" s="3" t="str">
        <f>VLOOKUP(E2589,Countries!$B$3:$C$140,2,FALSE)</f>
        <v>Europe</v>
      </c>
      <c r="G2589" s="4">
        <v>2</v>
      </c>
      <c r="H2589" s="4">
        <v>0</v>
      </c>
    </row>
    <row r="2590" spans="2:8" x14ac:dyDescent="0.2">
      <c r="B2590" s="3" t="s">
        <v>160</v>
      </c>
      <c r="C2590" s="3" t="s">
        <v>40</v>
      </c>
      <c r="D2590" s="3" t="str">
        <f>VLOOKUP(C2590,Countries!$B$3:$C$140,2,FALSE)</f>
        <v>Asia</v>
      </c>
      <c r="E2590" s="3" t="s">
        <v>11</v>
      </c>
      <c r="F2590" s="3" t="str">
        <f>VLOOKUP(E2590,Countries!$B$3:$C$140,2,FALSE)</f>
        <v>Europe</v>
      </c>
      <c r="G2590" s="4">
        <v>4</v>
      </c>
      <c r="H2590" s="4">
        <v>0</v>
      </c>
    </row>
    <row r="2591" spans="2:8" x14ac:dyDescent="0.2">
      <c r="B2591" s="3" t="s">
        <v>160</v>
      </c>
      <c r="C2591" s="3" t="s">
        <v>40</v>
      </c>
      <c r="D2591" s="3" t="str">
        <f>VLOOKUP(C2591,Countries!$B$3:$C$140,2,FALSE)</f>
        <v>Asia</v>
      </c>
      <c r="E2591" s="3" t="s">
        <v>73</v>
      </c>
      <c r="F2591" s="3" t="str">
        <f>VLOOKUP(E2591,Countries!$B$3:$C$140,2,FALSE)</f>
        <v>Europe</v>
      </c>
      <c r="G2591" s="4">
        <v>4</v>
      </c>
      <c r="H2591" s="4">
        <v>0</v>
      </c>
    </row>
    <row r="2592" spans="2:8" x14ac:dyDescent="0.2">
      <c r="B2592" s="3" t="s">
        <v>160</v>
      </c>
      <c r="C2592" s="3" t="s">
        <v>40</v>
      </c>
      <c r="D2592" s="3" t="str">
        <f>VLOOKUP(C2592,Countries!$B$3:$C$140,2,FALSE)</f>
        <v>Asia</v>
      </c>
      <c r="E2592" s="3" t="s">
        <v>39</v>
      </c>
      <c r="F2592" s="3" t="str">
        <f>VLOOKUP(E2592,Countries!$B$3:$C$140,2,FALSE)</f>
        <v>Europe/Asia</v>
      </c>
      <c r="G2592" s="4">
        <v>2</v>
      </c>
      <c r="H2592" s="4">
        <v>0</v>
      </c>
    </row>
    <row r="2593" spans="2:8" x14ac:dyDescent="0.2">
      <c r="B2593" s="3" t="s">
        <v>160</v>
      </c>
      <c r="C2593" s="3" t="s">
        <v>40</v>
      </c>
      <c r="D2593" s="3" t="str">
        <f>VLOOKUP(C2593,Countries!$B$3:$C$140,2,FALSE)</f>
        <v>Asia</v>
      </c>
      <c r="E2593" s="3" t="s">
        <v>121</v>
      </c>
      <c r="F2593" s="3" t="str">
        <f>VLOOKUP(E2593,Countries!$B$3:$C$140,2,FALSE)</f>
        <v>Asia</v>
      </c>
      <c r="G2593" s="4">
        <v>10</v>
      </c>
      <c r="H2593" s="4">
        <v>0</v>
      </c>
    </row>
    <row r="2594" spans="2:8" x14ac:dyDescent="0.2">
      <c r="B2594" s="3" t="s">
        <v>160</v>
      </c>
      <c r="C2594" s="3" t="s">
        <v>40</v>
      </c>
      <c r="D2594" s="3" t="str">
        <f>VLOOKUP(C2594,Countries!$B$3:$C$140,2,FALSE)</f>
        <v>Asia</v>
      </c>
      <c r="E2594" s="3" t="s">
        <v>66</v>
      </c>
      <c r="F2594" s="3" t="str">
        <f>VLOOKUP(E2594,Countries!$B$3:$C$140,2,FALSE)</f>
        <v>Europe</v>
      </c>
      <c r="G2594" s="4">
        <v>2</v>
      </c>
      <c r="H2594" s="4">
        <v>60000</v>
      </c>
    </row>
    <row r="2595" spans="2:8" x14ac:dyDescent="0.2">
      <c r="B2595" s="3" t="s">
        <v>160</v>
      </c>
      <c r="C2595" s="3" t="s">
        <v>40</v>
      </c>
      <c r="D2595" s="3" t="str">
        <f>VLOOKUP(C2595,Countries!$B$3:$C$140,2,FALSE)</f>
        <v>Asia</v>
      </c>
      <c r="E2595" s="3" t="s">
        <v>52</v>
      </c>
      <c r="F2595" s="3" t="str">
        <f>VLOOKUP(E2595,Countries!$B$3:$C$140,2,FALSE)</f>
        <v>Europe</v>
      </c>
      <c r="G2595" s="4">
        <v>2</v>
      </c>
      <c r="H2595" s="4">
        <v>0</v>
      </c>
    </row>
    <row r="2596" spans="2:8" x14ac:dyDescent="0.2">
      <c r="B2596" s="3" t="s">
        <v>160</v>
      </c>
      <c r="C2596" s="3" t="s">
        <v>40</v>
      </c>
      <c r="D2596" s="3" t="str">
        <f>VLOOKUP(C2596,Countries!$B$3:$C$140,2,FALSE)</f>
        <v>Asia</v>
      </c>
      <c r="E2596" s="3" t="s">
        <v>131</v>
      </c>
      <c r="F2596" s="3" t="str">
        <f>VLOOKUP(E2596,Countries!$B$3:$C$140,2,FALSE)</f>
        <v>Asia</v>
      </c>
      <c r="G2596" s="4">
        <v>2</v>
      </c>
      <c r="H2596" s="4">
        <v>0</v>
      </c>
    </row>
    <row r="2597" spans="2:8" x14ac:dyDescent="0.2">
      <c r="B2597" s="3" t="s">
        <v>160</v>
      </c>
      <c r="C2597" s="3" t="s">
        <v>40</v>
      </c>
      <c r="D2597" s="3" t="str">
        <f>VLOOKUP(C2597,Countries!$B$3:$C$140,2,FALSE)</f>
        <v>Asia</v>
      </c>
      <c r="E2597" s="3" t="s">
        <v>43</v>
      </c>
      <c r="F2597" s="3" t="str">
        <f>VLOOKUP(E2597,Countries!$B$3:$C$140,2,FALSE)</f>
        <v>Europe</v>
      </c>
      <c r="G2597" s="4">
        <v>6</v>
      </c>
      <c r="H2597" s="4">
        <v>0</v>
      </c>
    </row>
    <row r="2598" spans="2:8" x14ac:dyDescent="0.2">
      <c r="B2598" s="3" t="s">
        <v>160</v>
      </c>
      <c r="C2598" s="3" t="s">
        <v>40</v>
      </c>
      <c r="D2598" s="3" t="str">
        <f>VLOOKUP(C2598,Countries!$B$3:$C$140,2,FALSE)</f>
        <v>Asia</v>
      </c>
      <c r="E2598" s="3" t="s">
        <v>21</v>
      </c>
      <c r="F2598" s="3" t="str">
        <f>VLOOKUP(E2598,Countries!$B$3:$C$140,2,FALSE)</f>
        <v>Europe</v>
      </c>
      <c r="G2598" s="4">
        <v>2</v>
      </c>
      <c r="H2598" s="4">
        <v>0</v>
      </c>
    </row>
    <row r="2599" spans="2:8" x14ac:dyDescent="0.2">
      <c r="B2599" s="3" t="s">
        <v>160</v>
      </c>
      <c r="C2599" s="3" t="s">
        <v>40</v>
      </c>
      <c r="D2599" s="3" t="str">
        <f>VLOOKUP(C2599,Countries!$B$3:$C$140,2,FALSE)</f>
        <v>Asia</v>
      </c>
      <c r="E2599" s="3" t="s">
        <v>22</v>
      </c>
      <c r="F2599" s="3" t="str">
        <f>VLOOKUP(E2599,Countries!$B$3:$C$140,2,FALSE)</f>
        <v>Europe</v>
      </c>
      <c r="G2599" s="4">
        <v>2</v>
      </c>
      <c r="H2599" s="4">
        <v>0</v>
      </c>
    </row>
    <row r="2600" spans="2:8" x14ac:dyDescent="0.2">
      <c r="B2600" s="3" t="s">
        <v>160</v>
      </c>
      <c r="C2600" s="3" t="s">
        <v>40</v>
      </c>
      <c r="D2600" s="3" t="str">
        <f>VLOOKUP(C2600,Countries!$B$3:$C$140,2,FALSE)</f>
        <v>Asia</v>
      </c>
      <c r="E2600" s="3" t="s">
        <v>23</v>
      </c>
      <c r="F2600" s="3" t="str">
        <f>VLOOKUP(E2600,Countries!$B$3:$C$140,2,FALSE)</f>
        <v>Europe</v>
      </c>
      <c r="G2600" s="4">
        <v>2</v>
      </c>
      <c r="H2600" s="4">
        <v>75000</v>
      </c>
    </row>
    <row r="2601" spans="2:8" x14ac:dyDescent="0.2">
      <c r="B2601" s="3" t="s">
        <v>160</v>
      </c>
      <c r="C2601" s="3" t="s">
        <v>40</v>
      </c>
      <c r="D2601" s="3" t="str">
        <f>VLOOKUP(C2601,Countries!$B$3:$C$140,2,FALSE)</f>
        <v>Asia</v>
      </c>
      <c r="E2601" s="3" t="s">
        <v>53</v>
      </c>
      <c r="F2601" s="3" t="str">
        <f>VLOOKUP(E2601,Countries!$B$3:$C$140,2,FALSE)</f>
        <v>Europe</v>
      </c>
      <c r="G2601" s="4">
        <v>2</v>
      </c>
      <c r="H2601" s="4">
        <v>0</v>
      </c>
    </row>
    <row r="2602" spans="2:8" x14ac:dyDescent="0.2">
      <c r="B2602" s="3" t="s">
        <v>160</v>
      </c>
      <c r="C2602" s="3" t="s">
        <v>40</v>
      </c>
      <c r="D2602" s="3" t="str">
        <f>VLOOKUP(C2602,Countries!$B$3:$C$140,2,FALSE)</f>
        <v>Asia</v>
      </c>
      <c r="E2602" s="3" t="s">
        <v>80</v>
      </c>
      <c r="F2602" s="3" t="str">
        <f>VLOOKUP(E2602,Countries!$B$3:$C$140,2,FALSE)</f>
        <v>South America</v>
      </c>
      <c r="G2602" s="4">
        <v>2</v>
      </c>
      <c r="H2602" s="4">
        <v>0</v>
      </c>
    </row>
    <row r="2603" spans="2:8" x14ac:dyDescent="0.2">
      <c r="B2603" s="3" t="s">
        <v>160</v>
      </c>
      <c r="C2603" s="3" t="s">
        <v>40</v>
      </c>
      <c r="D2603" s="3" t="str">
        <f>VLOOKUP(C2603,Countries!$B$3:$C$140,2,FALSE)</f>
        <v>Asia</v>
      </c>
      <c r="E2603" s="3" t="s">
        <v>54</v>
      </c>
      <c r="F2603" s="3" t="str">
        <f>VLOOKUP(E2603,Countries!$B$3:$C$140,2,FALSE)</f>
        <v>Europe</v>
      </c>
      <c r="G2603" s="4">
        <v>4</v>
      </c>
      <c r="H2603" s="4">
        <v>0</v>
      </c>
    </row>
    <row r="2604" spans="2:8" x14ac:dyDescent="0.2">
      <c r="B2604" s="3" t="s">
        <v>160</v>
      </c>
      <c r="C2604" s="3" t="s">
        <v>40</v>
      </c>
      <c r="D2604" s="3" t="str">
        <f>VLOOKUP(C2604,Countries!$B$3:$C$140,2,FALSE)</f>
        <v>Asia</v>
      </c>
      <c r="E2604" s="3" t="s">
        <v>25</v>
      </c>
      <c r="F2604" s="3" t="str">
        <f>VLOOKUP(E2604,Countries!$B$3:$C$140,2,FALSE)</f>
        <v>Europe</v>
      </c>
      <c r="G2604" s="4">
        <v>6</v>
      </c>
      <c r="H2604" s="4">
        <v>0</v>
      </c>
    </row>
    <row r="2605" spans="2:8" x14ac:dyDescent="0.2">
      <c r="B2605" s="3" t="s">
        <v>160</v>
      </c>
      <c r="C2605" s="3" t="s">
        <v>40</v>
      </c>
      <c r="D2605" s="3" t="str">
        <f>VLOOKUP(C2605,Countries!$B$3:$C$140,2,FALSE)</f>
        <v>Asia</v>
      </c>
      <c r="E2605" s="3" t="s">
        <v>26</v>
      </c>
      <c r="F2605" s="3" t="str">
        <f>VLOOKUP(E2605,Countries!$B$3:$C$140,2,FALSE)</f>
        <v>Europe</v>
      </c>
      <c r="G2605" s="4">
        <v>2</v>
      </c>
      <c r="H2605" s="4">
        <v>0</v>
      </c>
    </row>
    <row r="2606" spans="2:8" x14ac:dyDescent="0.2">
      <c r="B2606" s="3" t="s">
        <v>160</v>
      </c>
      <c r="C2606" s="3" t="s">
        <v>40</v>
      </c>
      <c r="D2606" s="3" t="str">
        <f>VLOOKUP(C2606,Countries!$B$3:$C$140,2,FALSE)</f>
        <v>Asia</v>
      </c>
      <c r="E2606" s="3" t="s">
        <v>46</v>
      </c>
      <c r="F2606" s="3" t="str">
        <f>VLOOKUP(E2606,Countries!$B$3:$C$140,2,FALSE)</f>
        <v>Europe/Asia</v>
      </c>
      <c r="G2606" s="4">
        <v>34</v>
      </c>
      <c r="H2606" s="4">
        <v>4314520.7518499997</v>
      </c>
    </row>
    <row r="2607" spans="2:8" x14ac:dyDescent="0.2">
      <c r="B2607" s="3" t="s">
        <v>160</v>
      </c>
      <c r="C2607" s="3" t="s">
        <v>40</v>
      </c>
      <c r="D2607" s="3" t="str">
        <f>VLOOKUP(C2607,Countries!$B$3:$C$140,2,FALSE)</f>
        <v>Asia</v>
      </c>
      <c r="E2607" s="3" t="s">
        <v>98</v>
      </c>
      <c r="F2607" s="3" t="str">
        <f>VLOOKUP(E2607,Countries!$B$3:$C$140,2,FALSE)</f>
        <v>North America</v>
      </c>
      <c r="G2607" s="4">
        <v>2</v>
      </c>
      <c r="H2607" s="4">
        <v>0</v>
      </c>
    </row>
    <row r="2608" spans="2:8" x14ac:dyDescent="0.2">
      <c r="B2608" s="3" t="s">
        <v>160</v>
      </c>
      <c r="C2608" s="3" t="s">
        <v>40</v>
      </c>
      <c r="D2608" s="3" t="str">
        <f>VLOOKUP(C2608,Countries!$B$3:$C$140,2,FALSE)</f>
        <v>Asia</v>
      </c>
      <c r="E2608" s="3" t="s">
        <v>28</v>
      </c>
      <c r="F2608" s="3" t="str">
        <f>VLOOKUP(E2608,Countries!$B$3:$C$140,2,FALSE)</f>
        <v>Europe</v>
      </c>
      <c r="G2608" s="4">
        <v>12</v>
      </c>
      <c r="H2608" s="4">
        <v>450000</v>
      </c>
    </row>
    <row r="2609" spans="2:8" x14ac:dyDescent="0.2">
      <c r="B2609" s="3" t="s">
        <v>160</v>
      </c>
      <c r="C2609" s="3" t="s">
        <v>40</v>
      </c>
      <c r="D2609" s="3" t="str">
        <f>VLOOKUP(C2609,Countries!$B$3:$C$140,2,FALSE)</f>
        <v>Asia</v>
      </c>
      <c r="E2609" s="3" t="s">
        <v>56</v>
      </c>
      <c r="F2609" s="3" t="str">
        <f>VLOOKUP(E2609,Countries!$B$3:$C$140,2,FALSE)</f>
        <v>Europe</v>
      </c>
      <c r="G2609" s="4">
        <v>4</v>
      </c>
      <c r="H2609" s="4">
        <v>0</v>
      </c>
    </row>
    <row r="2610" spans="2:8" x14ac:dyDescent="0.2">
      <c r="B2610" s="3" t="s">
        <v>160</v>
      </c>
      <c r="C2610" s="3" t="s">
        <v>40</v>
      </c>
      <c r="D2610" s="3" t="str">
        <f>VLOOKUP(C2610,Countries!$B$3:$C$140,2,FALSE)</f>
        <v>Asia</v>
      </c>
      <c r="E2610" s="3" t="s">
        <v>31</v>
      </c>
      <c r="F2610" s="3" t="str">
        <f>VLOOKUP(E2610,Countries!$B$3:$C$140,2,FALSE)</f>
        <v>Europe</v>
      </c>
      <c r="G2610" s="4">
        <v>2</v>
      </c>
      <c r="H2610" s="4">
        <v>0</v>
      </c>
    </row>
    <row r="2611" spans="2:8" x14ac:dyDescent="0.2">
      <c r="B2611" s="3" t="s">
        <v>160</v>
      </c>
      <c r="C2611" s="3" t="s">
        <v>40</v>
      </c>
      <c r="D2611" s="3" t="str">
        <f>VLOOKUP(C2611,Countries!$B$3:$C$140,2,FALSE)</f>
        <v>Asia</v>
      </c>
      <c r="E2611" s="3" t="s">
        <v>122</v>
      </c>
      <c r="F2611" s="3" t="str">
        <f>VLOOKUP(E2611,Countries!$B$3:$C$140,2,FALSE)</f>
        <v>Asia</v>
      </c>
      <c r="G2611" s="4">
        <v>2</v>
      </c>
      <c r="H2611" s="4">
        <v>0</v>
      </c>
    </row>
    <row r="2612" spans="2:8" x14ac:dyDescent="0.2">
      <c r="B2612" s="3" t="s">
        <v>160</v>
      </c>
      <c r="C2612" s="3" t="s">
        <v>40</v>
      </c>
      <c r="D2612" s="3" t="str">
        <f>VLOOKUP(C2612,Countries!$B$3:$C$140,2,FALSE)</f>
        <v>Asia</v>
      </c>
      <c r="E2612" s="3" t="s">
        <v>135</v>
      </c>
      <c r="F2612" s="3" t="str">
        <f>VLOOKUP(E2612,Countries!$B$3:$C$140,2,FALSE)</f>
        <v>Asia</v>
      </c>
      <c r="G2612" s="4">
        <v>2</v>
      </c>
      <c r="H2612" s="4">
        <v>0</v>
      </c>
    </row>
    <row r="2613" spans="2:8" x14ac:dyDescent="0.2">
      <c r="B2613" s="3" t="s">
        <v>160</v>
      </c>
      <c r="C2613" s="3" t="s">
        <v>40</v>
      </c>
      <c r="D2613" s="3" t="str">
        <f>VLOOKUP(C2613,Countries!$B$3:$C$140,2,FALSE)</f>
        <v>Asia</v>
      </c>
      <c r="E2613" s="3" t="s">
        <v>84</v>
      </c>
      <c r="F2613" s="3" t="str">
        <f>VLOOKUP(E2613,Countries!$B$3:$C$140,2,FALSE)</f>
        <v>North America</v>
      </c>
      <c r="G2613" s="4">
        <v>4</v>
      </c>
      <c r="H2613" s="4">
        <v>0</v>
      </c>
    </row>
    <row r="2614" spans="2:8" x14ac:dyDescent="0.2">
      <c r="B2614" s="3" t="s">
        <v>160</v>
      </c>
      <c r="C2614" s="3" t="s">
        <v>40</v>
      </c>
      <c r="D2614" s="3" t="str">
        <f>VLOOKUP(C2614,Countries!$B$3:$C$140,2,FALSE)</f>
        <v>Asia</v>
      </c>
      <c r="E2614" s="3" t="s">
        <v>105</v>
      </c>
      <c r="F2614" s="3" t="str">
        <f>VLOOKUP(E2614,Countries!$B$3:$C$140,2,FALSE)</f>
        <v>Asia</v>
      </c>
      <c r="G2614" s="4">
        <v>4</v>
      </c>
      <c r="H2614" s="4">
        <v>0</v>
      </c>
    </row>
    <row r="2615" spans="2:8" x14ac:dyDescent="0.2">
      <c r="B2615" s="3" t="s">
        <v>160</v>
      </c>
      <c r="C2615" s="3" t="s">
        <v>40</v>
      </c>
      <c r="D2615" s="3" t="str">
        <f>VLOOKUP(C2615,Countries!$B$3:$C$140,2,FALSE)</f>
        <v>Asia</v>
      </c>
      <c r="E2615" s="3" t="s">
        <v>32</v>
      </c>
      <c r="F2615" s="3" t="str">
        <f>VLOOKUP(E2615,Countries!$B$3:$C$140,2,FALSE)</f>
        <v>Europe</v>
      </c>
      <c r="G2615" s="4">
        <v>14</v>
      </c>
      <c r="H2615" s="4">
        <v>210000</v>
      </c>
    </row>
    <row r="2616" spans="2:8" x14ac:dyDescent="0.2">
      <c r="B2616" s="3" t="s">
        <v>160</v>
      </c>
      <c r="C2616" s="3" t="s">
        <v>40</v>
      </c>
      <c r="D2616" s="3" t="str">
        <f>VLOOKUP(C2616,Countries!$B$3:$C$140,2,FALSE)</f>
        <v>Asia</v>
      </c>
      <c r="E2616" s="3" t="s">
        <v>87</v>
      </c>
      <c r="F2616" s="3" t="str">
        <f>VLOOKUP(E2616,Countries!$B$3:$C$140,2,FALSE)</f>
        <v>Asia</v>
      </c>
      <c r="G2616" s="4">
        <v>20</v>
      </c>
      <c r="H2616" s="4">
        <v>990000</v>
      </c>
    </row>
    <row r="2617" spans="2:8" x14ac:dyDescent="0.2">
      <c r="B2617" s="3" t="s">
        <v>160</v>
      </c>
      <c r="C2617" s="3" t="s">
        <v>40</v>
      </c>
      <c r="D2617" s="3" t="str">
        <f>VLOOKUP(C2617,Countries!$B$3:$C$140,2,FALSE)</f>
        <v>Asia</v>
      </c>
      <c r="E2617" s="3" t="s">
        <v>85</v>
      </c>
      <c r="F2617" s="3" t="str">
        <f>VLOOKUP(E2617,Countries!$B$3:$C$140,2,FALSE)</f>
        <v>Asia</v>
      </c>
      <c r="G2617" s="4">
        <v>2</v>
      </c>
      <c r="H2617" s="4">
        <v>0</v>
      </c>
    </row>
    <row r="2618" spans="2:8" x14ac:dyDescent="0.2">
      <c r="B2618" s="3" t="s">
        <v>160</v>
      </c>
      <c r="C2618" s="3" t="s">
        <v>20</v>
      </c>
      <c r="D2618" s="3" t="str">
        <f>VLOOKUP(C2618,Countries!$B$3:$C$140,2,FALSE)</f>
        <v>Europe</v>
      </c>
      <c r="E2618" s="3" t="s">
        <v>13</v>
      </c>
      <c r="F2618" s="3" t="str">
        <f>VLOOKUP(E2618,Countries!$B$3:$C$140,2,FALSE)</f>
        <v>Europe</v>
      </c>
      <c r="G2618" s="4">
        <v>2</v>
      </c>
      <c r="H2618" s="4">
        <v>0</v>
      </c>
    </row>
    <row r="2619" spans="2:8" x14ac:dyDescent="0.2">
      <c r="B2619" s="3" t="s">
        <v>160</v>
      </c>
      <c r="C2619" s="3" t="s">
        <v>20</v>
      </c>
      <c r="D2619" s="3" t="str">
        <f>VLOOKUP(C2619,Countries!$B$3:$C$140,2,FALSE)</f>
        <v>Europe</v>
      </c>
      <c r="E2619" s="3" t="s">
        <v>29</v>
      </c>
      <c r="F2619" s="3" t="str">
        <f>VLOOKUP(E2619,Countries!$B$3:$C$140,2,FALSE)</f>
        <v>Europe</v>
      </c>
      <c r="G2619" s="4">
        <v>2</v>
      </c>
      <c r="H2619" s="4">
        <v>0</v>
      </c>
    </row>
    <row r="2620" spans="2:8" x14ac:dyDescent="0.2">
      <c r="B2620" s="3" t="s">
        <v>160</v>
      </c>
      <c r="C2620" s="3" t="s">
        <v>66</v>
      </c>
      <c r="D2620" s="3" t="str">
        <f>VLOOKUP(C2620,Countries!$B$3:$C$140,2,FALSE)</f>
        <v>Europe</v>
      </c>
      <c r="E2620" s="3" t="s">
        <v>4</v>
      </c>
      <c r="F2620" s="3" t="str">
        <f>VLOOKUP(E2620,Countries!$B$3:$C$140,2,FALSE)</f>
        <v>Asia</v>
      </c>
      <c r="G2620" s="4">
        <v>2</v>
      </c>
      <c r="H2620" s="4">
        <v>0</v>
      </c>
    </row>
    <row r="2621" spans="2:8" x14ac:dyDescent="0.2">
      <c r="B2621" s="3" t="s">
        <v>160</v>
      </c>
      <c r="C2621" s="3" t="s">
        <v>66</v>
      </c>
      <c r="D2621" s="3" t="str">
        <f>VLOOKUP(C2621,Countries!$B$3:$C$140,2,FALSE)</f>
        <v>Europe</v>
      </c>
      <c r="E2621" s="3" t="s">
        <v>6</v>
      </c>
      <c r="F2621" s="3" t="str">
        <f>VLOOKUP(E2621,Countries!$B$3:$C$140,2,FALSE)</f>
        <v>Europe</v>
      </c>
      <c r="G2621" s="4">
        <v>2</v>
      </c>
      <c r="H2621" s="4">
        <v>0</v>
      </c>
    </row>
    <row r="2622" spans="2:8" x14ac:dyDescent="0.2">
      <c r="B2622" s="3" t="s">
        <v>160</v>
      </c>
      <c r="C2622" s="3" t="s">
        <v>66</v>
      </c>
      <c r="D2622" s="3" t="str">
        <f>VLOOKUP(C2622,Countries!$B$3:$C$140,2,FALSE)</f>
        <v>Europe</v>
      </c>
      <c r="E2622" s="3" t="s">
        <v>59</v>
      </c>
      <c r="F2622" s="3" t="str">
        <f>VLOOKUP(E2622,Countries!$B$3:$C$140,2,FALSE)</f>
        <v>Europe</v>
      </c>
      <c r="G2622" s="4">
        <v>6</v>
      </c>
      <c r="H2622" s="4">
        <v>0</v>
      </c>
    </row>
    <row r="2623" spans="2:8" x14ac:dyDescent="0.2">
      <c r="B2623" s="3" t="s">
        <v>160</v>
      </c>
      <c r="C2623" s="3" t="s">
        <v>66</v>
      </c>
      <c r="D2623" s="3" t="str">
        <f>VLOOKUP(C2623,Countries!$B$3:$C$140,2,FALSE)</f>
        <v>Europe</v>
      </c>
      <c r="E2623" s="3" t="s">
        <v>7</v>
      </c>
      <c r="F2623" s="3" t="str">
        <f>VLOOKUP(E2623,Countries!$B$3:$C$140,2,FALSE)</f>
        <v>South America</v>
      </c>
      <c r="G2623" s="4">
        <v>2</v>
      </c>
      <c r="H2623" s="4">
        <v>0</v>
      </c>
    </row>
    <row r="2624" spans="2:8" x14ac:dyDescent="0.2">
      <c r="B2624" s="3" t="s">
        <v>160</v>
      </c>
      <c r="C2624" s="3" t="s">
        <v>66</v>
      </c>
      <c r="D2624" s="3" t="str">
        <f>VLOOKUP(C2624,Countries!$B$3:$C$140,2,FALSE)</f>
        <v>Europe</v>
      </c>
      <c r="E2624" s="3" t="s">
        <v>89</v>
      </c>
      <c r="F2624" s="3" t="str">
        <f>VLOOKUP(E2624,Countries!$B$3:$C$140,2,FALSE)</f>
        <v>Asia</v>
      </c>
      <c r="G2624" s="4">
        <v>2</v>
      </c>
      <c r="H2624" s="4">
        <v>0</v>
      </c>
    </row>
    <row r="2625" spans="2:8" x14ac:dyDescent="0.2">
      <c r="B2625" s="3" t="s">
        <v>160</v>
      </c>
      <c r="C2625" s="3" t="s">
        <v>66</v>
      </c>
      <c r="D2625" s="3" t="str">
        <f>VLOOKUP(C2625,Countries!$B$3:$C$140,2,FALSE)</f>
        <v>Europe</v>
      </c>
      <c r="E2625" s="3" t="s">
        <v>9</v>
      </c>
      <c r="F2625" s="3" t="str">
        <f>VLOOKUP(E2625,Countries!$B$3:$C$140,2,FALSE)</f>
        <v>Europe</v>
      </c>
      <c r="G2625" s="4">
        <v>6</v>
      </c>
      <c r="H2625" s="4">
        <v>0</v>
      </c>
    </row>
    <row r="2626" spans="2:8" x14ac:dyDescent="0.2">
      <c r="B2626" s="3" t="s">
        <v>160</v>
      </c>
      <c r="C2626" s="3" t="s">
        <v>66</v>
      </c>
      <c r="D2626" s="3" t="str">
        <f>VLOOKUP(C2626,Countries!$B$3:$C$140,2,FALSE)</f>
        <v>Europe</v>
      </c>
      <c r="E2626" s="3" t="s">
        <v>49</v>
      </c>
      <c r="F2626" s="3" t="str">
        <f>VLOOKUP(E2626,Countries!$B$3:$C$140,2,FALSE)</f>
        <v>Europe</v>
      </c>
      <c r="G2626" s="4">
        <v>2</v>
      </c>
      <c r="H2626" s="4">
        <v>0</v>
      </c>
    </row>
    <row r="2627" spans="2:8" x14ac:dyDescent="0.2">
      <c r="B2627" s="3" t="s">
        <v>160</v>
      </c>
      <c r="C2627" s="3" t="s">
        <v>66</v>
      </c>
      <c r="D2627" s="3" t="str">
        <f>VLOOKUP(C2627,Countries!$B$3:$C$140,2,FALSE)</f>
        <v>Europe</v>
      </c>
      <c r="E2627" s="3" t="s">
        <v>10</v>
      </c>
      <c r="F2627" s="3" t="str">
        <f>VLOOKUP(E2627,Countries!$B$3:$C$140,2,FALSE)</f>
        <v>Europe</v>
      </c>
      <c r="G2627" s="4">
        <v>2</v>
      </c>
      <c r="H2627" s="4">
        <v>0</v>
      </c>
    </row>
    <row r="2628" spans="2:8" x14ac:dyDescent="0.2">
      <c r="B2628" s="3" t="s">
        <v>160</v>
      </c>
      <c r="C2628" s="3" t="s">
        <v>66</v>
      </c>
      <c r="D2628" s="3" t="str">
        <f>VLOOKUP(C2628,Countries!$B$3:$C$140,2,FALSE)</f>
        <v>Europe</v>
      </c>
      <c r="E2628" s="3" t="s">
        <v>11</v>
      </c>
      <c r="F2628" s="3" t="str">
        <f>VLOOKUP(E2628,Countries!$B$3:$C$140,2,FALSE)</f>
        <v>Europe</v>
      </c>
      <c r="G2628" s="4">
        <v>2</v>
      </c>
      <c r="H2628" s="4">
        <v>0</v>
      </c>
    </row>
    <row r="2629" spans="2:8" x14ac:dyDescent="0.2">
      <c r="B2629" s="3" t="s">
        <v>160</v>
      </c>
      <c r="C2629" s="3" t="s">
        <v>66</v>
      </c>
      <c r="D2629" s="3" t="str">
        <f>VLOOKUP(C2629,Countries!$B$3:$C$140,2,FALSE)</f>
        <v>Europe</v>
      </c>
      <c r="E2629" s="3" t="s">
        <v>38</v>
      </c>
      <c r="F2629" s="3" t="str">
        <f>VLOOKUP(E2629,Countries!$B$3:$C$140,2,FALSE)</f>
        <v>Europe</v>
      </c>
      <c r="G2629" s="4">
        <v>2</v>
      </c>
      <c r="H2629" s="4">
        <v>0</v>
      </c>
    </row>
    <row r="2630" spans="2:8" x14ac:dyDescent="0.2">
      <c r="B2630" s="3" t="s">
        <v>160</v>
      </c>
      <c r="C2630" s="3" t="s">
        <v>66</v>
      </c>
      <c r="D2630" s="3" t="str">
        <f>VLOOKUP(C2630,Countries!$B$3:$C$140,2,FALSE)</f>
        <v>Europe</v>
      </c>
      <c r="E2630" s="3" t="s">
        <v>12</v>
      </c>
      <c r="F2630" s="3" t="str">
        <f>VLOOKUP(E2630,Countries!$B$3:$C$140,2,FALSE)</f>
        <v>Europe</v>
      </c>
      <c r="G2630" s="4">
        <v>8</v>
      </c>
      <c r="H2630" s="4">
        <v>0</v>
      </c>
    </row>
    <row r="2631" spans="2:8" x14ac:dyDescent="0.2">
      <c r="B2631" s="3" t="s">
        <v>160</v>
      </c>
      <c r="C2631" s="3" t="s">
        <v>66</v>
      </c>
      <c r="D2631" s="3" t="str">
        <f>VLOOKUP(C2631,Countries!$B$3:$C$140,2,FALSE)</f>
        <v>Europe</v>
      </c>
      <c r="E2631" s="3" t="s">
        <v>39</v>
      </c>
      <c r="F2631" s="3" t="str">
        <f>VLOOKUP(E2631,Countries!$B$3:$C$140,2,FALSE)</f>
        <v>Europe/Asia</v>
      </c>
      <c r="G2631" s="4">
        <v>10</v>
      </c>
      <c r="H2631" s="4">
        <v>0</v>
      </c>
    </row>
    <row r="2632" spans="2:8" x14ac:dyDescent="0.2">
      <c r="B2632" s="3" t="s">
        <v>160</v>
      </c>
      <c r="C2632" s="3" t="s">
        <v>66</v>
      </c>
      <c r="D2632" s="3" t="str">
        <f>VLOOKUP(C2632,Countries!$B$3:$C$140,2,FALSE)</f>
        <v>Europe</v>
      </c>
      <c r="E2632" s="3" t="s">
        <v>14</v>
      </c>
      <c r="F2632" s="3" t="str">
        <f>VLOOKUP(E2632,Countries!$B$3:$C$140,2,FALSE)</f>
        <v>Europe</v>
      </c>
      <c r="G2632" s="4">
        <v>2</v>
      </c>
      <c r="H2632" s="4">
        <v>0</v>
      </c>
    </row>
    <row r="2633" spans="2:8" x14ac:dyDescent="0.2">
      <c r="B2633" s="3" t="s">
        <v>160</v>
      </c>
      <c r="C2633" s="3" t="s">
        <v>66</v>
      </c>
      <c r="D2633" s="3" t="str">
        <f>VLOOKUP(C2633,Countries!$B$3:$C$140,2,FALSE)</f>
        <v>Europe</v>
      </c>
      <c r="E2633" s="3" t="s">
        <v>15</v>
      </c>
      <c r="F2633" s="3" t="str">
        <f>VLOOKUP(E2633,Countries!$B$3:$C$140,2,FALSE)</f>
        <v>Europe</v>
      </c>
      <c r="G2633" s="4">
        <v>2</v>
      </c>
      <c r="H2633" s="4">
        <v>0</v>
      </c>
    </row>
    <row r="2634" spans="2:8" x14ac:dyDescent="0.2">
      <c r="B2634" s="3" t="s">
        <v>160</v>
      </c>
      <c r="C2634" s="3" t="s">
        <v>66</v>
      </c>
      <c r="D2634" s="3" t="str">
        <f>VLOOKUP(C2634,Countries!$B$3:$C$140,2,FALSE)</f>
        <v>Europe</v>
      </c>
      <c r="E2634" s="3" t="s">
        <v>17</v>
      </c>
      <c r="F2634" s="3" t="str">
        <f>VLOOKUP(E2634,Countries!$B$3:$C$140,2,FALSE)</f>
        <v>Europe</v>
      </c>
      <c r="G2634" s="4">
        <v>14</v>
      </c>
      <c r="H2634" s="4">
        <v>0</v>
      </c>
    </row>
    <row r="2635" spans="2:8" x14ac:dyDescent="0.2">
      <c r="B2635" s="3" t="s">
        <v>160</v>
      </c>
      <c r="C2635" s="3" t="s">
        <v>66</v>
      </c>
      <c r="D2635" s="3" t="str">
        <f>VLOOKUP(C2635,Countries!$B$3:$C$140,2,FALSE)</f>
        <v>Europe</v>
      </c>
      <c r="E2635" s="3" t="s">
        <v>121</v>
      </c>
      <c r="F2635" s="3" t="str">
        <f>VLOOKUP(E2635,Countries!$B$3:$C$140,2,FALSE)</f>
        <v>Asia</v>
      </c>
      <c r="G2635" s="4">
        <v>2</v>
      </c>
      <c r="H2635" s="4">
        <v>0</v>
      </c>
    </row>
    <row r="2636" spans="2:8" x14ac:dyDescent="0.2">
      <c r="B2636" s="3" t="s">
        <v>160</v>
      </c>
      <c r="C2636" s="3" t="s">
        <v>66</v>
      </c>
      <c r="D2636" s="3" t="str">
        <f>VLOOKUP(C2636,Countries!$B$3:$C$140,2,FALSE)</f>
        <v>Europe</v>
      </c>
      <c r="E2636" s="3" t="s">
        <v>41</v>
      </c>
      <c r="F2636" s="3" t="str">
        <f>VLOOKUP(E2636,Countries!$B$3:$C$140,2,FALSE)</f>
        <v>Asia</v>
      </c>
      <c r="G2636" s="4">
        <v>2</v>
      </c>
      <c r="H2636" s="4">
        <v>39045.311538000002</v>
      </c>
    </row>
    <row r="2637" spans="2:8" x14ac:dyDescent="0.2">
      <c r="B2637" s="3" t="s">
        <v>160</v>
      </c>
      <c r="C2637" s="3" t="s">
        <v>66</v>
      </c>
      <c r="D2637" s="3" t="str">
        <f>VLOOKUP(C2637,Countries!$B$3:$C$140,2,FALSE)</f>
        <v>Europe</v>
      </c>
      <c r="E2637" s="3" t="s">
        <v>52</v>
      </c>
      <c r="F2637" s="3" t="str">
        <f>VLOOKUP(E2637,Countries!$B$3:$C$140,2,FALSE)</f>
        <v>Europe</v>
      </c>
      <c r="G2637" s="4">
        <v>14</v>
      </c>
      <c r="H2637" s="4">
        <v>0</v>
      </c>
    </row>
    <row r="2638" spans="2:8" x14ac:dyDescent="0.2">
      <c r="B2638" s="3" t="s">
        <v>160</v>
      </c>
      <c r="C2638" s="3" t="s">
        <v>66</v>
      </c>
      <c r="D2638" s="3" t="str">
        <f>VLOOKUP(C2638,Countries!$B$3:$C$140,2,FALSE)</f>
        <v>Europe</v>
      </c>
      <c r="E2638" s="3" t="s">
        <v>131</v>
      </c>
      <c r="F2638" s="3" t="str">
        <f>VLOOKUP(E2638,Countries!$B$3:$C$140,2,FALSE)</f>
        <v>Asia</v>
      </c>
      <c r="G2638" s="4">
        <v>4</v>
      </c>
      <c r="H2638" s="4">
        <v>0</v>
      </c>
    </row>
    <row r="2639" spans="2:8" x14ac:dyDescent="0.2">
      <c r="B2639" s="3" t="s">
        <v>160</v>
      </c>
      <c r="C2639" s="3" t="s">
        <v>66</v>
      </c>
      <c r="D2639" s="3" t="str">
        <f>VLOOKUP(C2639,Countries!$B$3:$C$140,2,FALSE)</f>
        <v>Europe</v>
      </c>
      <c r="E2639" s="3" t="s">
        <v>43</v>
      </c>
      <c r="F2639" s="3" t="str">
        <f>VLOOKUP(E2639,Countries!$B$3:$C$140,2,FALSE)</f>
        <v>Europe</v>
      </c>
      <c r="G2639" s="4">
        <v>2</v>
      </c>
      <c r="H2639" s="4">
        <v>0</v>
      </c>
    </row>
    <row r="2640" spans="2:8" x14ac:dyDescent="0.2">
      <c r="B2640" s="3" t="s">
        <v>160</v>
      </c>
      <c r="C2640" s="3" t="s">
        <v>66</v>
      </c>
      <c r="D2640" s="3" t="str">
        <f>VLOOKUP(C2640,Countries!$B$3:$C$140,2,FALSE)</f>
        <v>Europe</v>
      </c>
      <c r="E2640" s="3" t="s">
        <v>22</v>
      </c>
      <c r="F2640" s="3" t="str">
        <f>VLOOKUP(E2640,Countries!$B$3:$C$140,2,FALSE)</f>
        <v>Europe</v>
      </c>
      <c r="G2640" s="4">
        <v>2</v>
      </c>
      <c r="H2640" s="4">
        <v>0</v>
      </c>
    </row>
    <row r="2641" spans="2:8" x14ac:dyDescent="0.2">
      <c r="B2641" s="3" t="s">
        <v>160</v>
      </c>
      <c r="C2641" s="3" t="s">
        <v>66</v>
      </c>
      <c r="D2641" s="3" t="str">
        <f>VLOOKUP(C2641,Countries!$B$3:$C$140,2,FALSE)</f>
        <v>Europe</v>
      </c>
      <c r="E2641" s="3" t="s">
        <v>53</v>
      </c>
      <c r="F2641" s="3" t="str">
        <f>VLOOKUP(E2641,Countries!$B$3:$C$140,2,FALSE)</f>
        <v>Europe</v>
      </c>
      <c r="G2641" s="4">
        <v>2</v>
      </c>
      <c r="H2641" s="4">
        <v>0</v>
      </c>
    </row>
    <row r="2642" spans="2:8" x14ac:dyDescent="0.2">
      <c r="B2642" s="3" t="s">
        <v>160</v>
      </c>
      <c r="C2642" s="3" t="s">
        <v>66</v>
      </c>
      <c r="D2642" s="3" t="str">
        <f>VLOOKUP(C2642,Countries!$B$3:$C$140,2,FALSE)</f>
        <v>Europe</v>
      </c>
      <c r="E2642" s="3" t="s">
        <v>54</v>
      </c>
      <c r="F2642" s="3" t="str">
        <f>VLOOKUP(E2642,Countries!$B$3:$C$140,2,FALSE)</f>
        <v>Europe</v>
      </c>
      <c r="G2642" s="4">
        <v>8</v>
      </c>
      <c r="H2642" s="4">
        <v>0</v>
      </c>
    </row>
    <row r="2643" spans="2:8" x14ac:dyDescent="0.2">
      <c r="B2643" s="3" t="s">
        <v>160</v>
      </c>
      <c r="C2643" s="3" t="s">
        <v>66</v>
      </c>
      <c r="D2643" s="3" t="str">
        <f>VLOOKUP(C2643,Countries!$B$3:$C$140,2,FALSE)</f>
        <v>Europe</v>
      </c>
      <c r="E2643" s="3" t="s">
        <v>26</v>
      </c>
      <c r="F2643" s="3" t="str">
        <f>VLOOKUP(E2643,Countries!$B$3:$C$140,2,FALSE)</f>
        <v>Europe</v>
      </c>
      <c r="G2643" s="4">
        <v>2</v>
      </c>
      <c r="H2643" s="4">
        <v>0</v>
      </c>
    </row>
    <row r="2644" spans="2:8" x14ac:dyDescent="0.2">
      <c r="B2644" s="3" t="s">
        <v>160</v>
      </c>
      <c r="C2644" s="3" t="s">
        <v>66</v>
      </c>
      <c r="D2644" s="3" t="str">
        <f>VLOOKUP(C2644,Countries!$B$3:$C$140,2,FALSE)</f>
        <v>Europe</v>
      </c>
      <c r="E2644" s="3" t="s">
        <v>46</v>
      </c>
      <c r="F2644" s="3" t="str">
        <f>VLOOKUP(E2644,Countries!$B$3:$C$140,2,FALSE)</f>
        <v>Europe/Asia</v>
      </c>
      <c r="G2644" s="4">
        <v>8</v>
      </c>
      <c r="H2644" s="4">
        <v>0</v>
      </c>
    </row>
    <row r="2645" spans="2:8" x14ac:dyDescent="0.2">
      <c r="B2645" s="3" t="s">
        <v>160</v>
      </c>
      <c r="C2645" s="3" t="s">
        <v>77</v>
      </c>
      <c r="D2645" s="3" t="str">
        <f>VLOOKUP(C2645,Countries!$B$3:$C$140,2,FALSE)</f>
        <v>Europe</v>
      </c>
      <c r="E2645" s="3" t="s">
        <v>35</v>
      </c>
      <c r="F2645" s="3" t="str">
        <f>VLOOKUP(E2645,Countries!$B$3:$C$140,2,FALSE)</f>
        <v>Europe</v>
      </c>
      <c r="G2645" s="4">
        <v>28</v>
      </c>
      <c r="H2645" s="4">
        <v>0</v>
      </c>
    </row>
    <row r="2646" spans="2:8" x14ac:dyDescent="0.2">
      <c r="B2646" s="3" t="s">
        <v>160</v>
      </c>
      <c r="C2646" s="3" t="s">
        <v>77</v>
      </c>
      <c r="D2646" s="3" t="str">
        <f>VLOOKUP(C2646,Countries!$B$3:$C$140,2,FALSE)</f>
        <v>Europe</v>
      </c>
      <c r="E2646" s="3" t="s">
        <v>110</v>
      </c>
      <c r="F2646" s="3" t="str">
        <f>VLOOKUP(E2646,Countries!$B$3:$C$140,2,FALSE)</f>
        <v>Africa</v>
      </c>
      <c r="G2646" s="4">
        <v>2</v>
      </c>
      <c r="H2646" s="4">
        <v>12107.4928353</v>
      </c>
    </row>
    <row r="2647" spans="2:8" x14ac:dyDescent="0.2">
      <c r="B2647" s="3" t="s">
        <v>160</v>
      </c>
      <c r="C2647" s="3" t="s">
        <v>77</v>
      </c>
      <c r="D2647" s="3" t="str">
        <f>VLOOKUP(C2647,Countries!$B$3:$C$140,2,FALSE)</f>
        <v>Europe</v>
      </c>
      <c r="E2647" s="3" t="s">
        <v>36</v>
      </c>
      <c r="F2647" s="3" t="str">
        <f>VLOOKUP(E2647,Countries!$B$3:$C$140,2,FALSE)</f>
        <v>Europe</v>
      </c>
      <c r="G2647" s="4">
        <v>2</v>
      </c>
      <c r="H2647" s="4">
        <v>0</v>
      </c>
    </row>
    <row r="2648" spans="2:8" x14ac:dyDescent="0.2">
      <c r="B2648" s="3" t="s">
        <v>160</v>
      </c>
      <c r="C2648" s="3" t="s">
        <v>77</v>
      </c>
      <c r="D2648" s="3" t="str">
        <f>VLOOKUP(C2648,Countries!$B$3:$C$140,2,FALSE)</f>
        <v>Europe</v>
      </c>
      <c r="E2648" s="3" t="s">
        <v>11</v>
      </c>
      <c r="F2648" s="3" t="str">
        <f>VLOOKUP(E2648,Countries!$B$3:$C$140,2,FALSE)</f>
        <v>Europe</v>
      </c>
      <c r="G2648" s="4">
        <v>2</v>
      </c>
      <c r="H2648" s="4">
        <v>0</v>
      </c>
    </row>
    <row r="2649" spans="2:8" x14ac:dyDescent="0.2">
      <c r="B2649" s="3" t="s">
        <v>160</v>
      </c>
      <c r="C2649" s="3" t="s">
        <v>77</v>
      </c>
      <c r="D2649" s="3" t="str">
        <f>VLOOKUP(C2649,Countries!$B$3:$C$140,2,FALSE)</f>
        <v>Europe</v>
      </c>
      <c r="E2649" s="3" t="s">
        <v>12</v>
      </c>
      <c r="F2649" s="3" t="str">
        <f>VLOOKUP(E2649,Countries!$B$3:$C$140,2,FALSE)</f>
        <v>Europe</v>
      </c>
      <c r="G2649" s="4">
        <v>40</v>
      </c>
      <c r="H2649" s="4">
        <v>0</v>
      </c>
    </row>
    <row r="2650" spans="2:8" x14ac:dyDescent="0.2">
      <c r="B2650" s="3" t="s">
        <v>160</v>
      </c>
      <c r="C2650" s="3" t="s">
        <v>77</v>
      </c>
      <c r="D2650" s="3" t="str">
        <f>VLOOKUP(C2650,Countries!$B$3:$C$140,2,FALSE)</f>
        <v>Europe</v>
      </c>
      <c r="E2650" s="3" t="s">
        <v>13</v>
      </c>
      <c r="F2650" s="3" t="str">
        <f>VLOOKUP(E2650,Countries!$B$3:$C$140,2,FALSE)</f>
        <v>Europe</v>
      </c>
      <c r="G2650" s="4">
        <v>10</v>
      </c>
      <c r="H2650" s="4">
        <v>0</v>
      </c>
    </row>
    <row r="2651" spans="2:8" x14ac:dyDescent="0.2">
      <c r="B2651" s="3" t="s">
        <v>160</v>
      </c>
      <c r="C2651" s="3" t="s">
        <v>77</v>
      </c>
      <c r="D2651" s="3" t="str">
        <f>VLOOKUP(C2651,Countries!$B$3:$C$140,2,FALSE)</f>
        <v>Europe</v>
      </c>
      <c r="E2651" s="3" t="s">
        <v>14</v>
      </c>
      <c r="F2651" s="3" t="str">
        <f>VLOOKUP(E2651,Countries!$B$3:$C$140,2,FALSE)</f>
        <v>Europe</v>
      </c>
      <c r="G2651" s="4">
        <v>2</v>
      </c>
      <c r="H2651" s="4">
        <v>0</v>
      </c>
    </row>
    <row r="2652" spans="2:8" x14ac:dyDescent="0.2">
      <c r="B2652" s="3" t="s">
        <v>160</v>
      </c>
      <c r="C2652" s="3" t="s">
        <v>77</v>
      </c>
      <c r="D2652" s="3" t="str">
        <f>VLOOKUP(C2652,Countries!$B$3:$C$140,2,FALSE)</f>
        <v>Europe</v>
      </c>
      <c r="E2652" s="3" t="s">
        <v>17</v>
      </c>
      <c r="F2652" s="3" t="str">
        <f>VLOOKUP(E2652,Countries!$B$3:$C$140,2,FALSE)</f>
        <v>Europe</v>
      </c>
      <c r="G2652" s="4">
        <v>2</v>
      </c>
      <c r="H2652" s="4">
        <v>0</v>
      </c>
    </row>
    <row r="2653" spans="2:8" x14ac:dyDescent="0.2">
      <c r="B2653" s="3" t="s">
        <v>160</v>
      </c>
      <c r="C2653" s="3" t="s">
        <v>77</v>
      </c>
      <c r="D2653" s="3" t="str">
        <f>VLOOKUP(C2653,Countries!$B$3:$C$140,2,FALSE)</f>
        <v>Europe</v>
      </c>
      <c r="E2653" s="3" t="s">
        <v>42</v>
      </c>
      <c r="F2653" s="3" t="str">
        <f>VLOOKUP(E2653,Countries!$B$3:$C$140,2,FALSE)</f>
        <v>Africa</v>
      </c>
      <c r="G2653" s="4">
        <v>4</v>
      </c>
      <c r="H2653" s="4">
        <v>0</v>
      </c>
    </row>
    <row r="2654" spans="2:8" x14ac:dyDescent="0.2">
      <c r="B2654" s="3" t="s">
        <v>160</v>
      </c>
      <c r="C2654" s="3" t="s">
        <v>77</v>
      </c>
      <c r="D2654" s="3" t="str">
        <f>VLOOKUP(C2654,Countries!$B$3:$C$140,2,FALSE)</f>
        <v>Europe</v>
      </c>
      <c r="E2654" s="3" t="s">
        <v>25</v>
      </c>
      <c r="F2654" s="3" t="str">
        <f>VLOOKUP(E2654,Countries!$B$3:$C$140,2,FALSE)</f>
        <v>Europe</v>
      </c>
      <c r="G2654" s="4">
        <v>6</v>
      </c>
      <c r="H2654" s="4">
        <v>0</v>
      </c>
    </row>
    <row r="2655" spans="2:8" x14ac:dyDescent="0.2">
      <c r="B2655" s="3" t="s">
        <v>160</v>
      </c>
      <c r="C2655" s="3" t="s">
        <v>77</v>
      </c>
      <c r="D2655" s="3" t="str">
        <f>VLOOKUP(C2655,Countries!$B$3:$C$140,2,FALSE)</f>
        <v>Europe</v>
      </c>
      <c r="E2655" s="3" t="s">
        <v>29</v>
      </c>
      <c r="F2655" s="3" t="str">
        <f>VLOOKUP(E2655,Countries!$B$3:$C$140,2,FALSE)</f>
        <v>Europe</v>
      </c>
      <c r="G2655" s="4">
        <v>2</v>
      </c>
      <c r="H2655" s="4">
        <v>0</v>
      </c>
    </row>
    <row r="2656" spans="2:8" x14ac:dyDescent="0.2">
      <c r="B2656" s="3" t="s">
        <v>160</v>
      </c>
      <c r="C2656" s="3" t="s">
        <v>77</v>
      </c>
      <c r="D2656" s="3" t="str">
        <f>VLOOKUP(C2656,Countries!$B$3:$C$140,2,FALSE)</f>
        <v>Europe</v>
      </c>
      <c r="E2656" s="3" t="s">
        <v>57</v>
      </c>
      <c r="F2656" s="3" t="str">
        <f>VLOOKUP(E2656,Countries!$B$3:$C$140,2,FALSE)</f>
        <v>Europe/Asia</v>
      </c>
      <c r="G2656" s="4">
        <v>2</v>
      </c>
      <c r="H2656" s="4">
        <v>0</v>
      </c>
    </row>
    <row r="2657" spans="2:8" x14ac:dyDescent="0.2">
      <c r="B2657" s="3" t="s">
        <v>160</v>
      </c>
      <c r="C2657" s="3" t="s">
        <v>52</v>
      </c>
      <c r="D2657" s="3" t="str">
        <f>VLOOKUP(C2657,Countries!$B$3:$C$140,2,FALSE)</f>
        <v>Europe</v>
      </c>
      <c r="E2657" s="3" t="s">
        <v>4</v>
      </c>
      <c r="F2657" s="3" t="str">
        <f>VLOOKUP(E2657,Countries!$B$3:$C$140,2,FALSE)</f>
        <v>Asia</v>
      </c>
      <c r="G2657" s="4">
        <v>6</v>
      </c>
      <c r="H2657" s="4">
        <v>0</v>
      </c>
    </row>
    <row r="2658" spans="2:8" x14ac:dyDescent="0.2">
      <c r="B2658" s="3" t="s">
        <v>160</v>
      </c>
      <c r="C2658" s="3" t="s">
        <v>52</v>
      </c>
      <c r="D2658" s="3" t="str">
        <f>VLOOKUP(C2658,Countries!$B$3:$C$140,2,FALSE)</f>
        <v>Europe</v>
      </c>
      <c r="E2658" s="3" t="s">
        <v>59</v>
      </c>
      <c r="F2658" s="3" t="str">
        <f>VLOOKUP(E2658,Countries!$B$3:$C$140,2,FALSE)</f>
        <v>Europe</v>
      </c>
      <c r="G2658" s="4">
        <v>4</v>
      </c>
      <c r="H2658" s="4">
        <v>0</v>
      </c>
    </row>
    <row r="2659" spans="2:8" x14ac:dyDescent="0.2">
      <c r="B2659" s="3" t="s">
        <v>160</v>
      </c>
      <c r="C2659" s="3" t="s">
        <v>52</v>
      </c>
      <c r="D2659" s="3" t="str">
        <f>VLOOKUP(C2659,Countries!$B$3:$C$140,2,FALSE)</f>
        <v>Europe</v>
      </c>
      <c r="E2659" s="3" t="s">
        <v>7</v>
      </c>
      <c r="F2659" s="3" t="str">
        <f>VLOOKUP(E2659,Countries!$B$3:$C$140,2,FALSE)</f>
        <v>South America</v>
      </c>
      <c r="G2659" s="4">
        <v>4</v>
      </c>
      <c r="H2659" s="4">
        <v>0</v>
      </c>
    </row>
    <row r="2660" spans="2:8" x14ac:dyDescent="0.2">
      <c r="B2660" s="3" t="s">
        <v>160</v>
      </c>
      <c r="C2660" s="3" t="s">
        <v>52</v>
      </c>
      <c r="D2660" s="3" t="str">
        <f>VLOOKUP(C2660,Countries!$B$3:$C$140,2,FALSE)</f>
        <v>Europe</v>
      </c>
      <c r="E2660" s="3" t="s">
        <v>72</v>
      </c>
      <c r="F2660" s="3" t="str">
        <f>VLOOKUP(E2660,Countries!$B$3:$C$140,2,FALSE)</f>
        <v>South America</v>
      </c>
      <c r="G2660" s="4">
        <v>2</v>
      </c>
      <c r="H2660" s="4">
        <v>0</v>
      </c>
    </row>
    <row r="2661" spans="2:8" x14ac:dyDescent="0.2">
      <c r="B2661" s="3" t="s">
        <v>160</v>
      </c>
      <c r="C2661" s="3" t="s">
        <v>52</v>
      </c>
      <c r="D2661" s="3" t="str">
        <f>VLOOKUP(C2661,Countries!$B$3:$C$140,2,FALSE)</f>
        <v>Europe</v>
      </c>
      <c r="E2661" s="3" t="s">
        <v>9</v>
      </c>
      <c r="F2661" s="3" t="str">
        <f>VLOOKUP(E2661,Countries!$B$3:$C$140,2,FALSE)</f>
        <v>Europe</v>
      </c>
      <c r="G2661" s="4">
        <v>2</v>
      </c>
      <c r="H2661" s="4">
        <v>0</v>
      </c>
    </row>
    <row r="2662" spans="2:8" x14ac:dyDescent="0.2">
      <c r="B2662" s="3" t="s">
        <v>160</v>
      </c>
      <c r="C2662" s="3" t="s">
        <v>52</v>
      </c>
      <c r="D2662" s="3" t="str">
        <f>VLOOKUP(C2662,Countries!$B$3:$C$140,2,FALSE)</f>
        <v>Europe</v>
      </c>
      <c r="E2662" s="3" t="s">
        <v>62</v>
      </c>
      <c r="F2662" s="3" t="str">
        <f>VLOOKUP(E2662,Countries!$B$3:$C$140,2,FALSE)</f>
        <v>Asia</v>
      </c>
      <c r="G2662" s="4">
        <v>2</v>
      </c>
      <c r="H2662" s="4">
        <v>0</v>
      </c>
    </row>
    <row r="2663" spans="2:8" x14ac:dyDescent="0.2">
      <c r="B2663" s="3" t="s">
        <v>160</v>
      </c>
      <c r="C2663" s="3" t="s">
        <v>52</v>
      </c>
      <c r="D2663" s="3" t="str">
        <f>VLOOKUP(C2663,Countries!$B$3:$C$140,2,FALSE)</f>
        <v>Europe</v>
      </c>
      <c r="E2663" s="3" t="s">
        <v>49</v>
      </c>
      <c r="F2663" s="3" t="str">
        <f>VLOOKUP(E2663,Countries!$B$3:$C$140,2,FALSE)</f>
        <v>Europe</v>
      </c>
      <c r="G2663" s="4">
        <v>6</v>
      </c>
      <c r="H2663" s="4">
        <v>0</v>
      </c>
    </row>
    <row r="2664" spans="2:8" x14ac:dyDescent="0.2">
      <c r="B2664" s="3" t="s">
        <v>160</v>
      </c>
      <c r="C2664" s="3" t="s">
        <v>52</v>
      </c>
      <c r="D2664" s="3" t="str">
        <f>VLOOKUP(C2664,Countries!$B$3:$C$140,2,FALSE)</f>
        <v>Europe</v>
      </c>
      <c r="E2664" s="3" t="s">
        <v>38</v>
      </c>
      <c r="F2664" s="3" t="str">
        <f>VLOOKUP(E2664,Countries!$B$3:$C$140,2,FALSE)</f>
        <v>Europe</v>
      </c>
      <c r="G2664" s="4">
        <v>4</v>
      </c>
      <c r="H2664" s="4">
        <v>0</v>
      </c>
    </row>
    <row r="2665" spans="2:8" x14ac:dyDescent="0.2">
      <c r="B2665" s="3" t="s">
        <v>160</v>
      </c>
      <c r="C2665" s="3" t="s">
        <v>52</v>
      </c>
      <c r="D2665" s="3" t="str">
        <f>VLOOKUP(C2665,Countries!$B$3:$C$140,2,FALSE)</f>
        <v>Europe</v>
      </c>
      <c r="E2665" s="3" t="s">
        <v>73</v>
      </c>
      <c r="F2665" s="3" t="str">
        <f>VLOOKUP(E2665,Countries!$B$3:$C$140,2,FALSE)</f>
        <v>Europe</v>
      </c>
      <c r="G2665" s="4">
        <v>2</v>
      </c>
      <c r="H2665" s="4">
        <v>0</v>
      </c>
    </row>
    <row r="2666" spans="2:8" x14ac:dyDescent="0.2">
      <c r="B2666" s="3" t="s">
        <v>160</v>
      </c>
      <c r="C2666" s="3" t="s">
        <v>52</v>
      </c>
      <c r="D2666" s="3" t="str">
        <f>VLOOKUP(C2666,Countries!$B$3:$C$140,2,FALSE)</f>
        <v>Europe</v>
      </c>
      <c r="E2666" s="3" t="s">
        <v>39</v>
      </c>
      <c r="F2666" s="3" t="str">
        <f>VLOOKUP(E2666,Countries!$B$3:$C$140,2,FALSE)</f>
        <v>Europe/Asia</v>
      </c>
      <c r="G2666" s="4">
        <v>12</v>
      </c>
      <c r="H2666" s="4">
        <v>0</v>
      </c>
    </row>
    <row r="2667" spans="2:8" x14ac:dyDescent="0.2">
      <c r="B2667" s="3" t="s">
        <v>160</v>
      </c>
      <c r="C2667" s="3" t="s">
        <v>52</v>
      </c>
      <c r="D2667" s="3" t="str">
        <f>VLOOKUP(C2667,Countries!$B$3:$C$140,2,FALSE)</f>
        <v>Europe</v>
      </c>
      <c r="E2667" s="3" t="s">
        <v>13</v>
      </c>
      <c r="F2667" s="3" t="str">
        <f>VLOOKUP(E2667,Countries!$B$3:$C$140,2,FALSE)</f>
        <v>Europe</v>
      </c>
      <c r="G2667" s="4">
        <v>6</v>
      </c>
      <c r="H2667" s="4">
        <v>0</v>
      </c>
    </row>
    <row r="2668" spans="2:8" x14ac:dyDescent="0.2">
      <c r="B2668" s="3" t="s">
        <v>160</v>
      </c>
      <c r="C2668" s="3" t="s">
        <v>52</v>
      </c>
      <c r="D2668" s="3" t="str">
        <f>VLOOKUP(C2668,Countries!$B$3:$C$140,2,FALSE)</f>
        <v>Europe</v>
      </c>
      <c r="E2668" s="3" t="s">
        <v>100</v>
      </c>
      <c r="F2668" s="3" t="str">
        <f>VLOOKUP(E2668,Countries!$B$3:$C$140,2,FALSE)</f>
        <v>Asia</v>
      </c>
      <c r="G2668" s="4">
        <v>2</v>
      </c>
      <c r="H2668" s="4">
        <v>0</v>
      </c>
    </row>
    <row r="2669" spans="2:8" x14ac:dyDescent="0.2">
      <c r="B2669" s="3" t="s">
        <v>160</v>
      </c>
      <c r="C2669" s="3" t="s">
        <v>52</v>
      </c>
      <c r="D2669" s="3" t="str">
        <f>VLOOKUP(C2669,Countries!$B$3:$C$140,2,FALSE)</f>
        <v>Europe</v>
      </c>
      <c r="E2669" s="3" t="s">
        <v>51</v>
      </c>
      <c r="F2669" s="3" t="str">
        <f>VLOOKUP(E2669,Countries!$B$3:$C$140,2,FALSE)</f>
        <v>Asia</v>
      </c>
      <c r="G2669" s="4">
        <v>2</v>
      </c>
      <c r="H2669" s="4">
        <v>0</v>
      </c>
    </row>
    <row r="2670" spans="2:8" x14ac:dyDescent="0.2">
      <c r="B2670" s="3" t="s">
        <v>160</v>
      </c>
      <c r="C2670" s="3" t="s">
        <v>52</v>
      </c>
      <c r="D2670" s="3" t="str">
        <f>VLOOKUP(C2670,Countries!$B$3:$C$140,2,FALSE)</f>
        <v>Europe</v>
      </c>
      <c r="E2670" s="3" t="s">
        <v>40</v>
      </c>
      <c r="F2670" s="3" t="str">
        <f>VLOOKUP(E2670,Countries!$B$3:$C$140,2,FALSE)</f>
        <v>Asia</v>
      </c>
      <c r="G2670" s="4">
        <v>2</v>
      </c>
      <c r="H2670" s="4">
        <v>0</v>
      </c>
    </row>
    <row r="2671" spans="2:8" x14ac:dyDescent="0.2">
      <c r="B2671" s="3" t="s">
        <v>160</v>
      </c>
      <c r="C2671" s="3" t="s">
        <v>52</v>
      </c>
      <c r="D2671" s="3" t="str">
        <f>VLOOKUP(C2671,Countries!$B$3:$C$140,2,FALSE)</f>
        <v>Europe</v>
      </c>
      <c r="E2671" s="3" t="s">
        <v>66</v>
      </c>
      <c r="F2671" s="3" t="str">
        <f>VLOOKUP(E2671,Countries!$B$3:$C$140,2,FALSE)</f>
        <v>Europe</v>
      </c>
      <c r="G2671" s="4">
        <v>18</v>
      </c>
      <c r="H2671" s="4">
        <v>0</v>
      </c>
    </row>
    <row r="2672" spans="2:8" x14ac:dyDescent="0.2">
      <c r="B2672" s="3" t="s">
        <v>160</v>
      </c>
      <c r="C2672" s="3" t="s">
        <v>52</v>
      </c>
      <c r="D2672" s="3" t="str">
        <f>VLOOKUP(C2672,Countries!$B$3:$C$140,2,FALSE)</f>
        <v>Europe</v>
      </c>
      <c r="E2672" s="3" t="s">
        <v>43</v>
      </c>
      <c r="F2672" s="3" t="str">
        <f>VLOOKUP(E2672,Countries!$B$3:$C$140,2,FALSE)</f>
        <v>Europe</v>
      </c>
      <c r="G2672" s="4">
        <v>4</v>
      </c>
      <c r="H2672" s="4">
        <v>0</v>
      </c>
    </row>
    <row r="2673" spans="2:8" x14ac:dyDescent="0.2">
      <c r="B2673" s="3" t="s">
        <v>160</v>
      </c>
      <c r="C2673" s="3" t="s">
        <v>52</v>
      </c>
      <c r="D2673" s="3" t="str">
        <f>VLOOKUP(C2673,Countries!$B$3:$C$140,2,FALSE)</f>
        <v>Europe</v>
      </c>
      <c r="E2673" s="3" t="s">
        <v>44</v>
      </c>
      <c r="F2673" s="3" t="str">
        <f>VLOOKUP(E2673,Countries!$B$3:$C$140,2,FALSE)</f>
        <v>Europe</v>
      </c>
      <c r="G2673" s="4">
        <v>2</v>
      </c>
      <c r="H2673" s="4">
        <v>0</v>
      </c>
    </row>
    <row r="2674" spans="2:8" x14ac:dyDescent="0.2">
      <c r="B2674" s="3" t="s">
        <v>160</v>
      </c>
      <c r="C2674" s="3" t="s">
        <v>52</v>
      </c>
      <c r="D2674" s="3" t="str">
        <f>VLOOKUP(C2674,Countries!$B$3:$C$140,2,FALSE)</f>
        <v>Europe</v>
      </c>
      <c r="E2674" s="3" t="s">
        <v>54</v>
      </c>
      <c r="F2674" s="3" t="str">
        <f>VLOOKUP(E2674,Countries!$B$3:$C$140,2,FALSE)</f>
        <v>Europe</v>
      </c>
      <c r="G2674" s="4">
        <v>8</v>
      </c>
      <c r="H2674" s="4">
        <v>0</v>
      </c>
    </row>
    <row r="2675" spans="2:8" x14ac:dyDescent="0.2">
      <c r="B2675" s="3" t="s">
        <v>160</v>
      </c>
      <c r="C2675" s="3" t="s">
        <v>52</v>
      </c>
      <c r="D2675" s="3" t="str">
        <f>VLOOKUP(C2675,Countries!$B$3:$C$140,2,FALSE)</f>
        <v>Europe</v>
      </c>
      <c r="E2675" s="3" t="s">
        <v>82</v>
      </c>
      <c r="F2675" s="3" t="e">
        <f>VLOOKUP(E2675,Countries!$B$3:$C$140,2,FALSE)</f>
        <v>#N/A</v>
      </c>
      <c r="G2675" s="4">
        <v>2</v>
      </c>
      <c r="H2675" s="4">
        <v>0</v>
      </c>
    </row>
    <row r="2676" spans="2:8" x14ac:dyDescent="0.2">
      <c r="B2676" s="3" t="s">
        <v>160</v>
      </c>
      <c r="C2676" s="3" t="s">
        <v>52</v>
      </c>
      <c r="D2676" s="3" t="str">
        <f>VLOOKUP(C2676,Countries!$B$3:$C$140,2,FALSE)</f>
        <v>Europe</v>
      </c>
      <c r="E2676" s="3" t="s">
        <v>46</v>
      </c>
      <c r="F2676" s="3" t="str">
        <f>VLOOKUP(E2676,Countries!$B$3:$C$140,2,FALSE)</f>
        <v>Europe/Asia</v>
      </c>
      <c r="G2676" s="4">
        <v>20</v>
      </c>
      <c r="H2676" s="4">
        <v>0</v>
      </c>
    </row>
    <row r="2677" spans="2:8" x14ac:dyDescent="0.2">
      <c r="B2677" s="3" t="s">
        <v>160</v>
      </c>
      <c r="C2677" s="3" t="s">
        <v>52</v>
      </c>
      <c r="D2677" s="3" t="str">
        <f>VLOOKUP(C2677,Countries!$B$3:$C$140,2,FALSE)</f>
        <v>Europe</v>
      </c>
      <c r="E2677" s="3" t="s">
        <v>90</v>
      </c>
      <c r="F2677" s="3" t="str">
        <f>VLOOKUP(E2677,Countries!$B$3:$C$140,2,FALSE)</f>
        <v>Asia</v>
      </c>
      <c r="G2677" s="4">
        <v>2</v>
      </c>
      <c r="H2677" s="4">
        <v>0</v>
      </c>
    </row>
    <row r="2678" spans="2:8" x14ac:dyDescent="0.2">
      <c r="B2678" s="3" t="s">
        <v>160</v>
      </c>
      <c r="C2678" s="3" t="s">
        <v>52</v>
      </c>
      <c r="D2678" s="3" t="str">
        <f>VLOOKUP(C2678,Countries!$B$3:$C$140,2,FALSE)</f>
        <v>Europe</v>
      </c>
      <c r="E2678" s="3" t="s">
        <v>29</v>
      </c>
      <c r="F2678" s="3" t="str">
        <f>VLOOKUP(E2678,Countries!$B$3:$C$140,2,FALSE)</f>
        <v>Europe</v>
      </c>
      <c r="G2678" s="4">
        <v>2</v>
      </c>
      <c r="H2678" s="4">
        <v>0</v>
      </c>
    </row>
    <row r="2679" spans="2:8" x14ac:dyDescent="0.2">
      <c r="B2679" s="3" t="s">
        <v>160</v>
      </c>
      <c r="C2679" s="3" t="s">
        <v>52</v>
      </c>
      <c r="D2679" s="3" t="str">
        <f>VLOOKUP(C2679,Countries!$B$3:$C$140,2,FALSE)</f>
        <v>Europe</v>
      </c>
      <c r="E2679" s="3" t="s">
        <v>31</v>
      </c>
      <c r="F2679" s="3" t="str">
        <f>VLOOKUP(E2679,Countries!$B$3:$C$140,2,FALSE)</f>
        <v>Europe</v>
      </c>
      <c r="G2679" s="4">
        <v>4</v>
      </c>
      <c r="H2679" s="4">
        <v>0</v>
      </c>
    </row>
    <row r="2680" spans="2:8" x14ac:dyDescent="0.2">
      <c r="B2680" s="3" t="s">
        <v>160</v>
      </c>
      <c r="C2680" s="3" t="s">
        <v>52</v>
      </c>
      <c r="D2680" s="3" t="str">
        <f>VLOOKUP(C2680,Countries!$B$3:$C$140,2,FALSE)</f>
        <v>Europe</v>
      </c>
      <c r="E2680" s="3" t="s">
        <v>112</v>
      </c>
      <c r="F2680" s="3" t="str">
        <f>VLOOKUP(E2680,Countries!$B$3:$C$140,2,FALSE)</f>
        <v>Asia</v>
      </c>
      <c r="G2680" s="4">
        <v>2</v>
      </c>
      <c r="H2680" s="4">
        <v>0</v>
      </c>
    </row>
    <row r="2681" spans="2:8" x14ac:dyDescent="0.2">
      <c r="B2681" s="3" t="s">
        <v>160</v>
      </c>
      <c r="C2681" s="3" t="s">
        <v>52</v>
      </c>
      <c r="D2681" s="3" t="str">
        <f>VLOOKUP(C2681,Countries!$B$3:$C$140,2,FALSE)</f>
        <v>Europe</v>
      </c>
      <c r="E2681" s="3" t="s">
        <v>32</v>
      </c>
      <c r="F2681" s="3" t="str">
        <f>VLOOKUP(E2681,Countries!$B$3:$C$140,2,FALSE)</f>
        <v>Europe</v>
      </c>
      <c r="G2681" s="4">
        <v>8</v>
      </c>
      <c r="H2681" s="4">
        <v>0</v>
      </c>
    </row>
    <row r="2682" spans="2:8" x14ac:dyDescent="0.2">
      <c r="B2682" s="3" t="s">
        <v>160</v>
      </c>
      <c r="C2682" s="3" t="s">
        <v>52</v>
      </c>
      <c r="D2682" s="3" t="str">
        <f>VLOOKUP(C2682,Countries!$B$3:$C$140,2,FALSE)</f>
        <v>Europe</v>
      </c>
      <c r="E2682" s="3" t="s">
        <v>87</v>
      </c>
      <c r="F2682" s="3" t="str">
        <f>VLOOKUP(E2682,Countries!$B$3:$C$140,2,FALSE)</f>
        <v>Asia</v>
      </c>
      <c r="G2682" s="4">
        <v>2</v>
      </c>
      <c r="H2682" s="4">
        <v>0</v>
      </c>
    </row>
    <row r="2683" spans="2:8" x14ac:dyDescent="0.2">
      <c r="B2683" s="3" t="s">
        <v>160</v>
      </c>
      <c r="C2683" s="3" t="s">
        <v>43</v>
      </c>
      <c r="D2683" s="3" t="str">
        <f>VLOOKUP(C2683,Countries!$B$3:$C$140,2,FALSE)</f>
        <v>Europe</v>
      </c>
      <c r="E2683" s="3" t="s">
        <v>34</v>
      </c>
      <c r="F2683" s="3" t="str">
        <f>VLOOKUP(E2683,Countries!$B$3:$C$140,2,FALSE)</f>
        <v>Asia</v>
      </c>
      <c r="G2683" s="4">
        <v>4</v>
      </c>
      <c r="H2683" s="4">
        <v>0</v>
      </c>
    </row>
    <row r="2684" spans="2:8" x14ac:dyDescent="0.2">
      <c r="B2684" s="3" t="s">
        <v>160</v>
      </c>
      <c r="C2684" s="3" t="s">
        <v>43</v>
      </c>
      <c r="D2684" s="3" t="str">
        <f>VLOOKUP(C2684,Countries!$B$3:$C$140,2,FALSE)</f>
        <v>Europe</v>
      </c>
      <c r="E2684" s="3" t="s">
        <v>4</v>
      </c>
      <c r="F2684" s="3" t="str">
        <f>VLOOKUP(E2684,Countries!$B$3:$C$140,2,FALSE)</f>
        <v>Asia</v>
      </c>
      <c r="G2684" s="4">
        <v>16</v>
      </c>
      <c r="H2684" s="4">
        <v>0</v>
      </c>
    </row>
    <row r="2685" spans="2:8" x14ac:dyDescent="0.2">
      <c r="B2685" s="3" t="s">
        <v>160</v>
      </c>
      <c r="C2685" s="3" t="s">
        <v>43</v>
      </c>
      <c r="D2685" s="3" t="str">
        <f>VLOOKUP(C2685,Countries!$B$3:$C$140,2,FALSE)</f>
        <v>Europe</v>
      </c>
      <c r="E2685" s="3" t="s">
        <v>70</v>
      </c>
      <c r="F2685" s="3" t="str">
        <f>VLOOKUP(E2685,Countries!$B$3:$C$140,2,FALSE)</f>
        <v>Africa</v>
      </c>
      <c r="G2685" s="4">
        <v>2</v>
      </c>
      <c r="H2685" s="4">
        <v>0</v>
      </c>
    </row>
    <row r="2686" spans="2:8" x14ac:dyDescent="0.2">
      <c r="B2686" s="3" t="s">
        <v>160</v>
      </c>
      <c r="C2686" s="3" t="s">
        <v>43</v>
      </c>
      <c r="D2686" s="3" t="str">
        <f>VLOOKUP(C2686,Countries!$B$3:$C$140,2,FALSE)</f>
        <v>Europe</v>
      </c>
      <c r="E2686" s="3" t="s">
        <v>59</v>
      </c>
      <c r="F2686" s="3" t="str">
        <f>VLOOKUP(E2686,Countries!$B$3:$C$140,2,FALSE)</f>
        <v>Europe</v>
      </c>
      <c r="G2686" s="4">
        <v>2</v>
      </c>
      <c r="H2686" s="4">
        <v>0</v>
      </c>
    </row>
    <row r="2687" spans="2:8" x14ac:dyDescent="0.2">
      <c r="B2687" s="3" t="s">
        <v>160</v>
      </c>
      <c r="C2687" s="3" t="s">
        <v>43</v>
      </c>
      <c r="D2687" s="3" t="str">
        <f>VLOOKUP(C2687,Countries!$B$3:$C$140,2,FALSE)</f>
        <v>Europe</v>
      </c>
      <c r="E2687" s="3" t="s">
        <v>7</v>
      </c>
      <c r="F2687" s="3" t="str">
        <f>VLOOKUP(E2687,Countries!$B$3:$C$140,2,FALSE)</f>
        <v>South America</v>
      </c>
      <c r="G2687" s="4">
        <v>4</v>
      </c>
      <c r="H2687" s="4">
        <v>0</v>
      </c>
    </row>
    <row r="2688" spans="2:8" x14ac:dyDescent="0.2">
      <c r="B2688" s="3" t="s">
        <v>160</v>
      </c>
      <c r="C2688" s="3" t="s">
        <v>43</v>
      </c>
      <c r="D2688" s="3" t="str">
        <f>VLOOKUP(C2688,Countries!$B$3:$C$140,2,FALSE)</f>
        <v>Europe</v>
      </c>
      <c r="E2688" s="3" t="s">
        <v>36</v>
      </c>
      <c r="F2688" s="3" t="str">
        <f>VLOOKUP(E2688,Countries!$B$3:$C$140,2,FALSE)</f>
        <v>Europe</v>
      </c>
      <c r="G2688" s="4">
        <v>2</v>
      </c>
      <c r="H2688" s="4">
        <v>0</v>
      </c>
    </row>
    <row r="2689" spans="2:8" x14ac:dyDescent="0.2">
      <c r="B2689" s="3" t="s">
        <v>160</v>
      </c>
      <c r="C2689" s="3" t="s">
        <v>43</v>
      </c>
      <c r="D2689" s="3" t="str">
        <f>VLOOKUP(C2689,Countries!$B$3:$C$140,2,FALSE)</f>
        <v>Europe</v>
      </c>
      <c r="E2689" s="3" t="s">
        <v>62</v>
      </c>
      <c r="F2689" s="3" t="str">
        <f>VLOOKUP(E2689,Countries!$B$3:$C$140,2,FALSE)</f>
        <v>Asia</v>
      </c>
      <c r="G2689" s="4">
        <v>4</v>
      </c>
      <c r="H2689" s="4">
        <v>0</v>
      </c>
    </row>
    <row r="2690" spans="2:8" x14ac:dyDescent="0.2">
      <c r="B2690" s="3" t="s">
        <v>160</v>
      </c>
      <c r="C2690" s="3" t="s">
        <v>43</v>
      </c>
      <c r="D2690" s="3" t="str">
        <f>VLOOKUP(C2690,Countries!$B$3:$C$140,2,FALSE)</f>
        <v>Europe</v>
      </c>
      <c r="E2690" s="3" t="s">
        <v>49</v>
      </c>
      <c r="F2690" s="3" t="str">
        <f>VLOOKUP(E2690,Countries!$B$3:$C$140,2,FALSE)</f>
        <v>Europe</v>
      </c>
      <c r="G2690" s="4">
        <v>2</v>
      </c>
      <c r="H2690" s="4">
        <v>0</v>
      </c>
    </row>
    <row r="2691" spans="2:8" x14ac:dyDescent="0.2">
      <c r="B2691" s="3" t="s">
        <v>160</v>
      </c>
      <c r="C2691" s="3" t="s">
        <v>43</v>
      </c>
      <c r="D2691" s="3" t="str">
        <f>VLOOKUP(C2691,Countries!$B$3:$C$140,2,FALSE)</f>
        <v>Europe</v>
      </c>
      <c r="E2691" s="3" t="s">
        <v>11</v>
      </c>
      <c r="F2691" s="3" t="str">
        <f>VLOOKUP(E2691,Countries!$B$3:$C$140,2,FALSE)</f>
        <v>Europe</v>
      </c>
      <c r="G2691" s="4">
        <v>4</v>
      </c>
      <c r="H2691" s="4">
        <v>0</v>
      </c>
    </row>
    <row r="2692" spans="2:8" x14ac:dyDescent="0.2">
      <c r="B2692" s="3" t="s">
        <v>160</v>
      </c>
      <c r="C2692" s="3" t="s">
        <v>43</v>
      </c>
      <c r="D2692" s="3" t="str">
        <f>VLOOKUP(C2692,Countries!$B$3:$C$140,2,FALSE)</f>
        <v>Europe</v>
      </c>
      <c r="E2692" s="3" t="s">
        <v>39</v>
      </c>
      <c r="F2692" s="3" t="str">
        <f>VLOOKUP(E2692,Countries!$B$3:$C$140,2,FALSE)</f>
        <v>Europe/Asia</v>
      </c>
      <c r="G2692" s="4">
        <v>14</v>
      </c>
      <c r="H2692" s="4">
        <v>0</v>
      </c>
    </row>
    <row r="2693" spans="2:8" x14ac:dyDescent="0.2">
      <c r="B2693" s="3" t="s">
        <v>160</v>
      </c>
      <c r="C2693" s="3" t="s">
        <v>43</v>
      </c>
      <c r="D2693" s="3" t="str">
        <f>VLOOKUP(C2693,Countries!$B$3:$C$140,2,FALSE)</f>
        <v>Europe</v>
      </c>
      <c r="E2693" s="3" t="s">
        <v>13</v>
      </c>
      <c r="F2693" s="3" t="str">
        <f>VLOOKUP(E2693,Countries!$B$3:$C$140,2,FALSE)</f>
        <v>Europe</v>
      </c>
      <c r="G2693" s="4">
        <v>2</v>
      </c>
      <c r="H2693" s="4">
        <v>0</v>
      </c>
    </row>
    <row r="2694" spans="2:8" x14ac:dyDescent="0.2">
      <c r="B2694" s="3" t="s">
        <v>160</v>
      </c>
      <c r="C2694" s="3" t="s">
        <v>43</v>
      </c>
      <c r="D2694" s="3" t="str">
        <f>VLOOKUP(C2694,Countries!$B$3:$C$140,2,FALSE)</f>
        <v>Europe</v>
      </c>
      <c r="E2694" s="3" t="s">
        <v>14</v>
      </c>
      <c r="F2694" s="3" t="str">
        <f>VLOOKUP(E2694,Countries!$B$3:$C$140,2,FALSE)</f>
        <v>Europe</v>
      </c>
      <c r="G2694" s="4">
        <v>2</v>
      </c>
      <c r="H2694" s="4">
        <v>671006.43313500006</v>
      </c>
    </row>
    <row r="2695" spans="2:8" x14ac:dyDescent="0.2">
      <c r="B2695" s="3" t="s">
        <v>160</v>
      </c>
      <c r="C2695" s="3" t="s">
        <v>43</v>
      </c>
      <c r="D2695" s="3" t="str">
        <f>VLOOKUP(C2695,Countries!$B$3:$C$140,2,FALSE)</f>
        <v>Europe</v>
      </c>
      <c r="E2695" s="3" t="s">
        <v>65</v>
      </c>
      <c r="F2695" s="3" t="str">
        <f>VLOOKUP(E2695,Countries!$B$3:$C$140,2,FALSE)</f>
        <v>Asia</v>
      </c>
      <c r="G2695" s="4">
        <v>2</v>
      </c>
      <c r="H2695" s="4">
        <v>0</v>
      </c>
    </row>
    <row r="2696" spans="2:8" x14ac:dyDescent="0.2">
      <c r="B2696" s="3" t="s">
        <v>160</v>
      </c>
      <c r="C2696" s="3" t="s">
        <v>43</v>
      </c>
      <c r="D2696" s="3" t="str">
        <f>VLOOKUP(C2696,Countries!$B$3:$C$140,2,FALSE)</f>
        <v>Europe</v>
      </c>
      <c r="E2696" s="3" t="s">
        <v>51</v>
      </c>
      <c r="F2696" s="3" t="str">
        <f>VLOOKUP(E2696,Countries!$B$3:$C$140,2,FALSE)</f>
        <v>Asia</v>
      </c>
      <c r="G2696" s="4">
        <v>2</v>
      </c>
      <c r="H2696" s="4">
        <v>0</v>
      </c>
    </row>
    <row r="2697" spans="2:8" x14ac:dyDescent="0.2">
      <c r="B2697" s="3" t="s">
        <v>160</v>
      </c>
      <c r="C2697" s="3" t="s">
        <v>43</v>
      </c>
      <c r="D2697" s="3" t="str">
        <f>VLOOKUP(C2697,Countries!$B$3:$C$140,2,FALSE)</f>
        <v>Europe</v>
      </c>
      <c r="E2697" s="3" t="s">
        <v>17</v>
      </c>
      <c r="F2697" s="3" t="str">
        <f>VLOOKUP(E2697,Countries!$B$3:$C$140,2,FALSE)</f>
        <v>Europe</v>
      </c>
      <c r="G2697" s="4">
        <v>4</v>
      </c>
      <c r="H2697" s="4">
        <v>0</v>
      </c>
    </row>
    <row r="2698" spans="2:8" x14ac:dyDescent="0.2">
      <c r="B2698" s="3" t="s">
        <v>160</v>
      </c>
      <c r="C2698" s="3" t="s">
        <v>43</v>
      </c>
      <c r="D2698" s="3" t="str">
        <f>VLOOKUP(C2698,Countries!$B$3:$C$140,2,FALSE)</f>
        <v>Europe</v>
      </c>
      <c r="E2698" s="3" t="s">
        <v>92</v>
      </c>
      <c r="F2698" s="3" t="str">
        <f>VLOOKUP(E2698,Countries!$B$3:$C$140,2,FALSE)</f>
        <v>Asia</v>
      </c>
      <c r="G2698" s="4">
        <v>2</v>
      </c>
      <c r="H2698" s="4">
        <v>0</v>
      </c>
    </row>
    <row r="2699" spans="2:8" x14ac:dyDescent="0.2">
      <c r="B2699" s="3" t="s">
        <v>160</v>
      </c>
      <c r="C2699" s="3" t="s">
        <v>43</v>
      </c>
      <c r="D2699" s="3" t="str">
        <f>VLOOKUP(C2699,Countries!$B$3:$C$140,2,FALSE)</f>
        <v>Europe</v>
      </c>
      <c r="E2699" s="3" t="s">
        <v>40</v>
      </c>
      <c r="F2699" s="3" t="str">
        <f>VLOOKUP(E2699,Countries!$B$3:$C$140,2,FALSE)</f>
        <v>Asia</v>
      </c>
      <c r="G2699" s="4">
        <v>10</v>
      </c>
      <c r="H2699" s="4">
        <v>0</v>
      </c>
    </row>
    <row r="2700" spans="2:8" x14ac:dyDescent="0.2">
      <c r="B2700" s="3" t="s">
        <v>160</v>
      </c>
      <c r="C2700" s="3" t="s">
        <v>43</v>
      </c>
      <c r="D2700" s="3" t="str">
        <f>VLOOKUP(C2700,Countries!$B$3:$C$140,2,FALSE)</f>
        <v>Europe</v>
      </c>
      <c r="E2700" s="3" t="s">
        <v>66</v>
      </c>
      <c r="F2700" s="3" t="str">
        <f>VLOOKUP(E2700,Countries!$B$3:$C$140,2,FALSE)</f>
        <v>Europe</v>
      </c>
      <c r="G2700" s="4">
        <v>2</v>
      </c>
      <c r="H2700" s="4">
        <v>0</v>
      </c>
    </row>
    <row r="2701" spans="2:8" x14ac:dyDescent="0.2">
      <c r="B2701" s="3" t="s">
        <v>160</v>
      </c>
      <c r="C2701" s="3" t="s">
        <v>43</v>
      </c>
      <c r="D2701" s="3" t="str">
        <f>VLOOKUP(C2701,Countries!$B$3:$C$140,2,FALSE)</f>
        <v>Europe</v>
      </c>
      <c r="E2701" s="3" t="s">
        <v>52</v>
      </c>
      <c r="F2701" s="3" t="str">
        <f>VLOOKUP(E2701,Countries!$B$3:$C$140,2,FALSE)</f>
        <v>Europe</v>
      </c>
      <c r="G2701" s="4">
        <v>2</v>
      </c>
      <c r="H2701" s="4">
        <v>0</v>
      </c>
    </row>
    <row r="2702" spans="2:8" x14ac:dyDescent="0.2">
      <c r="B2702" s="3" t="s">
        <v>160</v>
      </c>
      <c r="C2702" s="3" t="s">
        <v>43</v>
      </c>
      <c r="D2702" s="3" t="str">
        <f>VLOOKUP(C2702,Countries!$B$3:$C$140,2,FALSE)</f>
        <v>Europe</v>
      </c>
      <c r="E2702" s="3" t="s">
        <v>42</v>
      </c>
      <c r="F2702" s="3" t="str">
        <f>VLOOKUP(E2702,Countries!$B$3:$C$140,2,FALSE)</f>
        <v>Africa</v>
      </c>
      <c r="G2702" s="4">
        <v>2</v>
      </c>
      <c r="H2702" s="4">
        <v>0</v>
      </c>
    </row>
    <row r="2703" spans="2:8" x14ac:dyDescent="0.2">
      <c r="B2703" s="3" t="s">
        <v>160</v>
      </c>
      <c r="C2703" s="3" t="s">
        <v>43</v>
      </c>
      <c r="D2703" s="3" t="str">
        <f>VLOOKUP(C2703,Countries!$B$3:$C$140,2,FALSE)</f>
        <v>Europe</v>
      </c>
      <c r="E2703" s="3" t="s">
        <v>21</v>
      </c>
      <c r="F2703" s="3" t="str">
        <f>VLOOKUP(E2703,Countries!$B$3:$C$140,2,FALSE)</f>
        <v>Europe</v>
      </c>
      <c r="G2703" s="4">
        <v>2</v>
      </c>
      <c r="H2703" s="4">
        <v>0</v>
      </c>
    </row>
    <row r="2704" spans="2:8" x14ac:dyDescent="0.2">
      <c r="B2704" s="3" t="s">
        <v>160</v>
      </c>
      <c r="C2704" s="3" t="s">
        <v>43</v>
      </c>
      <c r="D2704" s="3" t="str">
        <f>VLOOKUP(C2704,Countries!$B$3:$C$140,2,FALSE)</f>
        <v>Europe</v>
      </c>
      <c r="E2704" s="3" t="s">
        <v>23</v>
      </c>
      <c r="F2704" s="3" t="str">
        <f>VLOOKUP(E2704,Countries!$B$3:$C$140,2,FALSE)</f>
        <v>Europe</v>
      </c>
      <c r="G2704" s="4">
        <v>4</v>
      </c>
      <c r="H2704" s="4">
        <v>0</v>
      </c>
    </row>
    <row r="2705" spans="2:8" x14ac:dyDescent="0.2">
      <c r="B2705" s="3" t="s">
        <v>160</v>
      </c>
      <c r="C2705" s="3" t="s">
        <v>43</v>
      </c>
      <c r="D2705" s="3" t="str">
        <f>VLOOKUP(C2705,Countries!$B$3:$C$140,2,FALSE)</f>
        <v>Europe</v>
      </c>
      <c r="E2705" s="3" t="s">
        <v>123</v>
      </c>
      <c r="F2705" s="3" t="str">
        <f>VLOOKUP(E2705,Countries!$B$3:$C$140,2,FALSE)</f>
        <v>Asia</v>
      </c>
      <c r="G2705" s="4">
        <v>2</v>
      </c>
      <c r="H2705" s="4">
        <v>0</v>
      </c>
    </row>
    <row r="2706" spans="2:8" x14ac:dyDescent="0.2">
      <c r="B2706" s="3" t="s">
        <v>160</v>
      </c>
      <c r="C2706" s="3" t="s">
        <v>43</v>
      </c>
      <c r="D2706" s="3" t="str">
        <f>VLOOKUP(C2706,Countries!$B$3:$C$140,2,FALSE)</f>
        <v>Europe</v>
      </c>
      <c r="E2706" s="3" t="s">
        <v>24</v>
      </c>
      <c r="F2706" s="3" t="str">
        <f>VLOOKUP(E2706,Countries!$B$3:$C$140,2,FALSE)</f>
        <v>Africa</v>
      </c>
      <c r="G2706" s="4">
        <v>2</v>
      </c>
      <c r="H2706" s="4">
        <v>0</v>
      </c>
    </row>
    <row r="2707" spans="2:8" x14ac:dyDescent="0.2">
      <c r="B2707" s="3" t="s">
        <v>160</v>
      </c>
      <c r="C2707" s="3" t="s">
        <v>43</v>
      </c>
      <c r="D2707" s="3" t="str">
        <f>VLOOKUP(C2707,Countries!$B$3:$C$140,2,FALSE)</f>
        <v>Europe</v>
      </c>
      <c r="E2707" s="3" t="s">
        <v>132</v>
      </c>
      <c r="F2707" s="3" t="str">
        <f>VLOOKUP(E2707,Countries!$B$3:$C$140,2,FALSE)</f>
        <v>North America</v>
      </c>
      <c r="G2707" s="4">
        <v>2</v>
      </c>
      <c r="H2707" s="4">
        <v>165000</v>
      </c>
    </row>
    <row r="2708" spans="2:8" x14ac:dyDescent="0.2">
      <c r="B2708" s="3" t="s">
        <v>160</v>
      </c>
      <c r="C2708" s="3" t="s">
        <v>43</v>
      </c>
      <c r="D2708" s="3" t="str">
        <f>VLOOKUP(C2708,Countries!$B$3:$C$140,2,FALSE)</f>
        <v>Europe</v>
      </c>
      <c r="E2708" s="3" t="s">
        <v>54</v>
      </c>
      <c r="F2708" s="3" t="str">
        <f>VLOOKUP(E2708,Countries!$B$3:$C$140,2,FALSE)</f>
        <v>Europe</v>
      </c>
      <c r="G2708" s="4">
        <v>4</v>
      </c>
      <c r="H2708" s="4">
        <v>0</v>
      </c>
    </row>
    <row r="2709" spans="2:8" x14ac:dyDescent="0.2">
      <c r="B2709" s="3" t="s">
        <v>160</v>
      </c>
      <c r="C2709" s="3" t="s">
        <v>43</v>
      </c>
      <c r="D2709" s="3" t="str">
        <f>VLOOKUP(C2709,Countries!$B$3:$C$140,2,FALSE)</f>
        <v>Europe</v>
      </c>
      <c r="E2709" s="3" t="s">
        <v>25</v>
      </c>
      <c r="F2709" s="3" t="str">
        <f>VLOOKUP(E2709,Countries!$B$3:$C$140,2,FALSE)</f>
        <v>Europe</v>
      </c>
      <c r="G2709" s="4">
        <v>6</v>
      </c>
      <c r="H2709" s="4">
        <v>0</v>
      </c>
    </row>
    <row r="2710" spans="2:8" x14ac:dyDescent="0.2">
      <c r="B2710" s="3" t="s">
        <v>160</v>
      </c>
      <c r="C2710" s="3" t="s">
        <v>43</v>
      </c>
      <c r="D2710" s="3" t="str">
        <f>VLOOKUP(C2710,Countries!$B$3:$C$140,2,FALSE)</f>
        <v>Europe</v>
      </c>
      <c r="E2710" s="3" t="s">
        <v>26</v>
      </c>
      <c r="F2710" s="3" t="str">
        <f>VLOOKUP(E2710,Countries!$B$3:$C$140,2,FALSE)</f>
        <v>Europe</v>
      </c>
      <c r="G2710" s="4">
        <v>12</v>
      </c>
      <c r="H2710" s="4">
        <v>0</v>
      </c>
    </row>
    <row r="2711" spans="2:8" x14ac:dyDescent="0.2">
      <c r="B2711" s="3" t="s">
        <v>160</v>
      </c>
      <c r="C2711" s="3" t="s">
        <v>43</v>
      </c>
      <c r="D2711" s="3" t="str">
        <f>VLOOKUP(C2711,Countries!$B$3:$C$140,2,FALSE)</f>
        <v>Europe</v>
      </c>
      <c r="E2711" s="3" t="s">
        <v>46</v>
      </c>
      <c r="F2711" s="3" t="str">
        <f>VLOOKUP(E2711,Countries!$B$3:$C$140,2,FALSE)</f>
        <v>Europe/Asia</v>
      </c>
      <c r="G2711" s="4">
        <v>34</v>
      </c>
      <c r="H2711" s="4">
        <v>38668.501956</v>
      </c>
    </row>
    <row r="2712" spans="2:8" x14ac:dyDescent="0.2">
      <c r="B2712" s="3" t="s">
        <v>160</v>
      </c>
      <c r="C2712" s="3" t="s">
        <v>43</v>
      </c>
      <c r="D2712" s="3" t="str">
        <f>VLOOKUP(C2712,Countries!$B$3:$C$140,2,FALSE)</f>
        <v>Europe</v>
      </c>
      <c r="E2712" s="3" t="s">
        <v>28</v>
      </c>
      <c r="F2712" s="3" t="str">
        <f>VLOOKUP(E2712,Countries!$B$3:$C$140,2,FALSE)</f>
        <v>Europe</v>
      </c>
      <c r="G2712" s="4">
        <v>6</v>
      </c>
      <c r="H2712" s="4">
        <v>1672182.5213340002</v>
      </c>
    </row>
    <row r="2713" spans="2:8" x14ac:dyDescent="0.2">
      <c r="B2713" s="3" t="s">
        <v>160</v>
      </c>
      <c r="C2713" s="3" t="s">
        <v>43</v>
      </c>
      <c r="D2713" s="3" t="str">
        <f>VLOOKUP(C2713,Countries!$B$3:$C$140,2,FALSE)</f>
        <v>Europe</v>
      </c>
      <c r="E2713" s="3" t="s">
        <v>30</v>
      </c>
      <c r="F2713" s="3" t="str">
        <f>VLOOKUP(E2713,Countries!$B$3:$C$140,2,FALSE)</f>
        <v>Europe</v>
      </c>
      <c r="G2713" s="4">
        <v>4</v>
      </c>
      <c r="H2713" s="4">
        <v>403583.09450999997</v>
      </c>
    </row>
    <row r="2714" spans="2:8" x14ac:dyDescent="0.2">
      <c r="B2714" s="3" t="s">
        <v>160</v>
      </c>
      <c r="C2714" s="3" t="s">
        <v>43</v>
      </c>
      <c r="D2714" s="3" t="str">
        <f>VLOOKUP(C2714,Countries!$B$3:$C$140,2,FALSE)</f>
        <v>Europe</v>
      </c>
      <c r="E2714" s="3" t="s">
        <v>31</v>
      </c>
      <c r="F2714" s="3" t="str">
        <f>VLOOKUP(E2714,Countries!$B$3:$C$140,2,FALSE)</f>
        <v>Europe</v>
      </c>
      <c r="G2714" s="4">
        <v>4</v>
      </c>
      <c r="H2714" s="4">
        <v>0</v>
      </c>
    </row>
    <row r="2715" spans="2:8" x14ac:dyDescent="0.2">
      <c r="B2715" s="3" t="s">
        <v>160</v>
      </c>
      <c r="C2715" s="3" t="s">
        <v>43</v>
      </c>
      <c r="D2715" s="3" t="str">
        <f>VLOOKUP(C2715,Countries!$B$3:$C$140,2,FALSE)</f>
        <v>Europe</v>
      </c>
      <c r="E2715" s="3" t="s">
        <v>112</v>
      </c>
      <c r="F2715" s="3" t="str">
        <f>VLOOKUP(E2715,Countries!$B$3:$C$140,2,FALSE)</f>
        <v>Asia</v>
      </c>
      <c r="G2715" s="4">
        <v>2</v>
      </c>
      <c r="H2715" s="4">
        <v>0</v>
      </c>
    </row>
    <row r="2716" spans="2:8" x14ac:dyDescent="0.2">
      <c r="B2716" s="3" t="s">
        <v>160</v>
      </c>
      <c r="C2716" s="3" t="s">
        <v>43</v>
      </c>
      <c r="D2716" s="3" t="str">
        <f>VLOOKUP(C2716,Countries!$B$3:$C$140,2,FALSE)</f>
        <v>Europe</v>
      </c>
      <c r="E2716" s="3" t="s">
        <v>32</v>
      </c>
      <c r="F2716" s="3" t="str">
        <f>VLOOKUP(E2716,Countries!$B$3:$C$140,2,FALSE)</f>
        <v>Europe</v>
      </c>
      <c r="G2716" s="4">
        <v>10</v>
      </c>
      <c r="H2716" s="4">
        <v>0</v>
      </c>
    </row>
    <row r="2717" spans="2:8" x14ac:dyDescent="0.2">
      <c r="B2717" s="3" t="s">
        <v>160</v>
      </c>
      <c r="C2717" s="3" t="s">
        <v>43</v>
      </c>
      <c r="D2717" s="3" t="str">
        <f>VLOOKUP(C2717,Countries!$B$3:$C$140,2,FALSE)</f>
        <v>Europe</v>
      </c>
      <c r="E2717" s="3" t="s">
        <v>87</v>
      </c>
      <c r="F2717" s="3" t="str">
        <f>VLOOKUP(E2717,Countries!$B$3:$C$140,2,FALSE)</f>
        <v>Asia</v>
      </c>
      <c r="G2717" s="4">
        <v>2</v>
      </c>
      <c r="H2717" s="4">
        <v>0</v>
      </c>
    </row>
    <row r="2718" spans="2:8" x14ac:dyDescent="0.2">
      <c r="B2718" s="3" t="s">
        <v>160</v>
      </c>
      <c r="C2718" s="3" t="s">
        <v>21</v>
      </c>
      <c r="D2718" s="3" t="str">
        <f>VLOOKUP(C2718,Countries!$B$3:$C$140,2,FALSE)</f>
        <v>Europe</v>
      </c>
      <c r="E2718" s="3" t="s">
        <v>2</v>
      </c>
      <c r="F2718" s="3" t="str">
        <f>VLOOKUP(E2718,Countries!$B$3:$C$140,2,FALSE)</f>
        <v>Europe</v>
      </c>
      <c r="G2718" s="4">
        <v>10</v>
      </c>
      <c r="H2718" s="4">
        <v>0</v>
      </c>
    </row>
    <row r="2719" spans="2:8" x14ac:dyDescent="0.2">
      <c r="B2719" s="3" t="s">
        <v>160</v>
      </c>
      <c r="C2719" s="3" t="s">
        <v>21</v>
      </c>
      <c r="D2719" s="3" t="str">
        <f>VLOOKUP(C2719,Countries!$B$3:$C$140,2,FALSE)</f>
        <v>Europe</v>
      </c>
      <c r="E2719" s="3" t="s">
        <v>6</v>
      </c>
      <c r="F2719" s="3" t="str">
        <f>VLOOKUP(E2719,Countries!$B$3:$C$140,2,FALSE)</f>
        <v>Europe</v>
      </c>
      <c r="G2719" s="4">
        <v>4</v>
      </c>
      <c r="H2719" s="4">
        <v>0</v>
      </c>
    </row>
    <row r="2720" spans="2:8" x14ac:dyDescent="0.2">
      <c r="B2720" s="3" t="s">
        <v>160</v>
      </c>
      <c r="C2720" s="3" t="s">
        <v>21</v>
      </c>
      <c r="D2720" s="3" t="str">
        <f>VLOOKUP(C2720,Countries!$B$3:$C$140,2,FALSE)</f>
        <v>Europe</v>
      </c>
      <c r="E2720" s="3" t="s">
        <v>59</v>
      </c>
      <c r="F2720" s="3" t="str">
        <f>VLOOKUP(E2720,Countries!$B$3:$C$140,2,FALSE)</f>
        <v>Europe</v>
      </c>
      <c r="G2720" s="4">
        <v>2</v>
      </c>
      <c r="H2720" s="4">
        <v>0</v>
      </c>
    </row>
    <row r="2721" spans="2:8" x14ac:dyDescent="0.2">
      <c r="B2721" s="3" t="s">
        <v>160</v>
      </c>
      <c r="C2721" s="3" t="s">
        <v>21</v>
      </c>
      <c r="D2721" s="3" t="str">
        <f>VLOOKUP(C2721,Countries!$B$3:$C$140,2,FALSE)</f>
        <v>Europe</v>
      </c>
      <c r="E2721" s="3" t="s">
        <v>36</v>
      </c>
      <c r="F2721" s="3" t="str">
        <f>VLOOKUP(E2721,Countries!$B$3:$C$140,2,FALSE)</f>
        <v>Europe</v>
      </c>
      <c r="G2721" s="4">
        <v>2</v>
      </c>
      <c r="H2721" s="4">
        <v>0</v>
      </c>
    </row>
    <row r="2722" spans="2:8" x14ac:dyDescent="0.2">
      <c r="B2722" s="3" t="s">
        <v>160</v>
      </c>
      <c r="C2722" s="3" t="s">
        <v>21</v>
      </c>
      <c r="D2722" s="3" t="str">
        <f>VLOOKUP(C2722,Countries!$B$3:$C$140,2,FALSE)</f>
        <v>Europe</v>
      </c>
      <c r="E2722" s="3" t="s">
        <v>8</v>
      </c>
      <c r="F2722" s="3" t="str">
        <f>VLOOKUP(E2722,Countries!$B$3:$C$140,2,FALSE)</f>
        <v>North America</v>
      </c>
      <c r="G2722" s="4">
        <v>2</v>
      </c>
      <c r="H2722" s="4">
        <v>0</v>
      </c>
    </row>
    <row r="2723" spans="2:8" x14ac:dyDescent="0.2">
      <c r="B2723" s="3" t="s">
        <v>160</v>
      </c>
      <c r="C2723" s="3" t="s">
        <v>21</v>
      </c>
      <c r="D2723" s="3" t="str">
        <f>VLOOKUP(C2723,Countries!$B$3:$C$140,2,FALSE)</f>
        <v>Europe</v>
      </c>
      <c r="E2723" s="3" t="s">
        <v>9</v>
      </c>
      <c r="F2723" s="3" t="str">
        <f>VLOOKUP(E2723,Countries!$B$3:$C$140,2,FALSE)</f>
        <v>Europe</v>
      </c>
      <c r="G2723" s="4">
        <v>8</v>
      </c>
      <c r="H2723" s="4">
        <v>0</v>
      </c>
    </row>
    <row r="2724" spans="2:8" x14ac:dyDescent="0.2">
      <c r="B2724" s="3" t="s">
        <v>160</v>
      </c>
      <c r="C2724" s="3" t="s">
        <v>21</v>
      </c>
      <c r="D2724" s="3" t="str">
        <f>VLOOKUP(C2724,Countries!$B$3:$C$140,2,FALSE)</f>
        <v>Europe</v>
      </c>
      <c r="E2724" s="3" t="s">
        <v>62</v>
      </c>
      <c r="F2724" s="3" t="str">
        <f>VLOOKUP(E2724,Countries!$B$3:$C$140,2,FALSE)</f>
        <v>Asia</v>
      </c>
      <c r="G2724" s="4">
        <v>6</v>
      </c>
      <c r="H2724" s="4">
        <v>0</v>
      </c>
    </row>
    <row r="2725" spans="2:8" x14ac:dyDescent="0.2">
      <c r="B2725" s="3" t="s">
        <v>160</v>
      </c>
      <c r="C2725" s="3" t="s">
        <v>21</v>
      </c>
      <c r="D2725" s="3" t="str">
        <f>VLOOKUP(C2725,Countries!$B$3:$C$140,2,FALSE)</f>
        <v>Europe</v>
      </c>
      <c r="E2725" s="3" t="s">
        <v>49</v>
      </c>
      <c r="F2725" s="3" t="str">
        <f>VLOOKUP(E2725,Countries!$B$3:$C$140,2,FALSE)</f>
        <v>Europe</v>
      </c>
      <c r="G2725" s="4">
        <v>2</v>
      </c>
      <c r="H2725" s="4">
        <v>0</v>
      </c>
    </row>
    <row r="2726" spans="2:8" x14ac:dyDescent="0.2">
      <c r="B2726" s="3" t="s">
        <v>160</v>
      </c>
      <c r="C2726" s="3" t="s">
        <v>21</v>
      </c>
      <c r="D2726" s="3" t="str">
        <f>VLOOKUP(C2726,Countries!$B$3:$C$140,2,FALSE)</f>
        <v>Europe</v>
      </c>
      <c r="E2726" s="3" t="s">
        <v>11</v>
      </c>
      <c r="F2726" s="3" t="str">
        <f>VLOOKUP(E2726,Countries!$B$3:$C$140,2,FALSE)</f>
        <v>Europe</v>
      </c>
      <c r="G2726" s="4">
        <v>2</v>
      </c>
      <c r="H2726" s="4">
        <v>0</v>
      </c>
    </row>
    <row r="2727" spans="2:8" x14ac:dyDescent="0.2">
      <c r="B2727" s="3" t="s">
        <v>160</v>
      </c>
      <c r="C2727" s="3" t="s">
        <v>21</v>
      </c>
      <c r="D2727" s="3" t="str">
        <f>VLOOKUP(C2727,Countries!$B$3:$C$140,2,FALSE)</f>
        <v>Europe</v>
      </c>
      <c r="E2727" s="3" t="s">
        <v>64</v>
      </c>
      <c r="F2727" s="3" t="str">
        <f>VLOOKUP(E2727,Countries!$B$3:$C$140,2,FALSE)</f>
        <v>Africa</v>
      </c>
      <c r="G2727" s="4">
        <v>2</v>
      </c>
      <c r="H2727" s="4">
        <v>0</v>
      </c>
    </row>
    <row r="2728" spans="2:8" x14ac:dyDescent="0.2">
      <c r="B2728" s="3" t="s">
        <v>160</v>
      </c>
      <c r="C2728" s="3" t="s">
        <v>21</v>
      </c>
      <c r="D2728" s="3" t="str">
        <f>VLOOKUP(C2728,Countries!$B$3:$C$140,2,FALSE)</f>
        <v>Europe</v>
      </c>
      <c r="E2728" s="3" t="s">
        <v>14</v>
      </c>
      <c r="F2728" s="3" t="str">
        <f>VLOOKUP(E2728,Countries!$B$3:$C$140,2,FALSE)</f>
        <v>Europe</v>
      </c>
      <c r="G2728" s="4">
        <v>6</v>
      </c>
      <c r="H2728" s="4">
        <v>0</v>
      </c>
    </row>
    <row r="2729" spans="2:8" x14ac:dyDescent="0.2">
      <c r="B2729" s="3" t="s">
        <v>160</v>
      </c>
      <c r="C2729" s="3" t="s">
        <v>21</v>
      </c>
      <c r="D2729" s="3" t="str">
        <f>VLOOKUP(C2729,Countries!$B$3:$C$140,2,FALSE)</f>
        <v>Europe</v>
      </c>
      <c r="E2729" s="3" t="s">
        <v>65</v>
      </c>
      <c r="F2729" s="3" t="str">
        <f>VLOOKUP(E2729,Countries!$B$3:$C$140,2,FALSE)</f>
        <v>Asia</v>
      </c>
      <c r="G2729" s="4">
        <v>2</v>
      </c>
      <c r="H2729" s="4">
        <v>0</v>
      </c>
    </row>
    <row r="2730" spans="2:8" x14ac:dyDescent="0.2">
      <c r="B2730" s="3" t="s">
        <v>160</v>
      </c>
      <c r="C2730" s="3" t="s">
        <v>21</v>
      </c>
      <c r="D2730" s="3" t="str">
        <f>VLOOKUP(C2730,Countries!$B$3:$C$140,2,FALSE)</f>
        <v>Europe</v>
      </c>
      <c r="E2730" s="3" t="s">
        <v>15</v>
      </c>
      <c r="F2730" s="3" t="str">
        <f>VLOOKUP(E2730,Countries!$B$3:$C$140,2,FALSE)</f>
        <v>Europe</v>
      </c>
      <c r="G2730" s="4">
        <v>2</v>
      </c>
      <c r="H2730" s="4">
        <v>0</v>
      </c>
    </row>
    <row r="2731" spans="2:8" x14ac:dyDescent="0.2">
      <c r="B2731" s="3" t="s">
        <v>160</v>
      </c>
      <c r="C2731" s="3" t="s">
        <v>21</v>
      </c>
      <c r="D2731" s="3" t="str">
        <f>VLOOKUP(C2731,Countries!$B$3:$C$140,2,FALSE)</f>
        <v>Europe</v>
      </c>
      <c r="E2731" s="3" t="s">
        <v>16</v>
      </c>
      <c r="F2731" s="3" t="str">
        <f>VLOOKUP(E2731,Countries!$B$3:$C$140,2,FALSE)</f>
        <v>Asia</v>
      </c>
      <c r="G2731" s="4">
        <v>4</v>
      </c>
      <c r="H2731" s="4">
        <v>0</v>
      </c>
    </row>
    <row r="2732" spans="2:8" x14ac:dyDescent="0.2">
      <c r="B2732" s="3" t="s">
        <v>160</v>
      </c>
      <c r="C2732" s="3" t="s">
        <v>21</v>
      </c>
      <c r="D2732" s="3" t="str">
        <f>VLOOKUP(C2732,Countries!$B$3:$C$140,2,FALSE)</f>
        <v>Europe</v>
      </c>
      <c r="E2732" s="3" t="s">
        <v>75</v>
      </c>
      <c r="F2732" s="3" t="str">
        <f>VLOOKUP(E2732,Countries!$B$3:$C$140,2,FALSE)</f>
        <v>Europe</v>
      </c>
      <c r="G2732" s="4">
        <v>2</v>
      </c>
      <c r="H2732" s="4">
        <v>0</v>
      </c>
    </row>
    <row r="2733" spans="2:8" x14ac:dyDescent="0.2">
      <c r="B2733" s="3" t="s">
        <v>160</v>
      </c>
      <c r="C2733" s="3" t="s">
        <v>21</v>
      </c>
      <c r="D2733" s="3" t="str">
        <f>VLOOKUP(C2733,Countries!$B$3:$C$140,2,FALSE)</f>
        <v>Europe</v>
      </c>
      <c r="E2733" s="3" t="s">
        <v>40</v>
      </c>
      <c r="F2733" s="3" t="str">
        <f>VLOOKUP(E2733,Countries!$B$3:$C$140,2,FALSE)</f>
        <v>Asia</v>
      </c>
      <c r="G2733" s="4">
        <v>2</v>
      </c>
      <c r="H2733" s="4">
        <v>0</v>
      </c>
    </row>
    <row r="2734" spans="2:8" x14ac:dyDescent="0.2">
      <c r="B2734" s="3" t="s">
        <v>160</v>
      </c>
      <c r="C2734" s="3" t="s">
        <v>21</v>
      </c>
      <c r="D2734" s="3" t="str">
        <f>VLOOKUP(C2734,Countries!$B$3:$C$140,2,FALSE)</f>
        <v>Europe</v>
      </c>
      <c r="E2734" s="3" t="s">
        <v>19</v>
      </c>
      <c r="F2734" s="3" t="str">
        <f>VLOOKUP(E2734,Countries!$B$3:$C$140,2,FALSE)</f>
        <v>Asia</v>
      </c>
      <c r="G2734" s="4">
        <v>2</v>
      </c>
      <c r="H2734" s="4">
        <v>0</v>
      </c>
    </row>
    <row r="2735" spans="2:8" x14ac:dyDescent="0.2">
      <c r="B2735" s="3" t="s">
        <v>160</v>
      </c>
      <c r="C2735" s="3" t="s">
        <v>21</v>
      </c>
      <c r="D2735" s="3" t="str">
        <f>VLOOKUP(C2735,Countries!$B$3:$C$140,2,FALSE)</f>
        <v>Europe</v>
      </c>
      <c r="E2735" s="3" t="s">
        <v>43</v>
      </c>
      <c r="F2735" s="3" t="str">
        <f>VLOOKUP(E2735,Countries!$B$3:$C$140,2,FALSE)</f>
        <v>Europe</v>
      </c>
      <c r="G2735" s="4">
        <v>6</v>
      </c>
      <c r="H2735" s="4">
        <v>0</v>
      </c>
    </row>
    <row r="2736" spans="2:8" x14ac:dyDescent="0.2">
      <c r="B2736" s="3" t="s">
        <v>160</v>
      </c>
      <c r="C2736" s="3" t="s">
        <v>21</v>
      </c>
      <c r="D2736" s="3" t="str">
        <f>VLOOKUP(C2736,Countries!$B$3:$C$140,2,FALSE)</f>
        <v>Europe</v>
      </c>
      <c r="E2736" s="3" t="s">
        <v>22</v>
      </c>
      <c r="F2736" s="3" t="str">
        <f>VLOOKUP(E2736,Countries!$B$3:$C$140,2,FALSE)</f>
        <v>Europe</v>
      </c>
      <c r="G2736" s="4">
        <v>2</v>
      </c>
      <c r="H2736" s="4">
        <v>0</v>
      </c>
    </row>
    <row r="2737" spans="2:8" x14ac:dyDescent="0.2">
      <c r="B2737" s="3" t="s">
        <v>160</v>
      </c>
      <c r="C2737" s="3" t="s">
        <v>21</v>
      </c>
      <c r="D2737" s="3" t="str">
        <f>VLOOKUP(C2737,Countries!$B$3:$C$140,2,FALSE)</f>
        <v>Europe</v>
      </c>
      <c r="E2737" s="3" t="s">
        <v>123</v>
      </c>
      <c r="F2737" s="3" t="str">
        <f>VLOOKUP(E2737,Countries!$B$3:$C$140,2,FALSE)</f>
        <v>Asia</v>
      </c>
      <c r="G2737" s="4">
        <v>2</v>
      </c>
      <c r="H2737" s="4">
        <v>0</v>
      </c>
    </row>
    <row r="2738" spans="2:8" x14ac:dyDescent="0.2">
      <c r="B2738" s="3" t="s">
        <v>160</v>
      </c>
      <c r="C2738" s="3" t="s">
        <v>21</v>
      </c>
      <c r="D2738" s="3" t="str">
        <f>VLOOKUP(C2738,Countries!$B$3:$C$140,2,FALSE)</f>
        <v>Europe</v>
      </c>
      <c r="E2738" s="3" t="s">
        <v>53</v>
      </c>
      <c r="F2738" s="3" t="str">
        <f>VLOOKUP(E2738,Countries!$B$3:$C$140,2,FALSE)</f>
        <v>Europe</v>
      </c>
      <c r="G2738" s="4">
        <v>2</v>
      </c>
      <c r="H2738" s="4">
        <v>0</v>
      </c>
    </row>
    <row r="2739" spans="2:8" x14ac:dyDescent="0.2">
      <c r="B2739" s="3" t="s">
        <v>160</v>
      </c>
      <c r="C2739" s="3" t="s">
        <v>21</v>
      </c>
      <c r="D2739" s="3" t="str">
        <f>VLOOKUP(C2739,Countries!$B$3:$C$140,2,FALSE)</f>
        <v>Europe</v>
      </c>
      <c r="E2739" s="3" t="s">
        <v>26</v>
      </c>
      <c r="F2739" s="3" t="str">
        <f>VLOOKUP(E2739,Countries!$B$3:$C$140,2,FALSE)</f>
        <v>Europe</v>
      </c>
      <c r="G2739" s="4">
        <v>2</v>
      </c>
      <c r="H2739" s="4">
        <v>0</v>
      </c>
    </row>
    <row r="2740" spans="2:8" x14ac:dyDescent="0.2">
      <c r="B2740" s="3" t="s">
        <v>160</v>
      </c>
      <c r="C2740" s="3" t="s">
        <v>21</v>
      </c>
      <c r="D2740" s="3" t="str">
        <f>VLOOKUP(C2740,Countries!$B$3:$C$140,2,FALSE)</f>
        <v>Europe</v>
      </c>
      <c r="E2740" s="3" t="s">
        <v>46</v>
      </c>
      <c r="F2740" s="3" t="str">
        <f>VLOOKUP(E2740,Countries!$B$3:$C$140,2,FALSE)</f>
        <v>Europe/Asia</v>
      </c>
      <c r="G2740" s="4">
        <v>2</v>
      </c>
      <c r="H2740" s="4">
        <v>0</v>
      </c>
    </row>
    <row r="2741" spans="2:8" x14ac:dyDescent="0.2">
      <c r="B2741" s="3" t="s">
        <v>160</v>
      </c>
      <c r="C2741" s="3" t="s">
        <v>21</v>
      </c>
      <c r="D2741" s="3" t="str">
        <f>VLOOKUP(C2741,Countries!$B$3:$C$140,2,FALSE)</f>
        <v>Europe</v>
      </c>
      <c r="E2741" s="3" t="s">
        <v>28</v>
      </c>
      <c r="F2741" s="3" t="str">
        <f>VLOOKUP(E2741,Countries!$B$3:$C$140,2,FALSE)</f>
        <v>Europe</v>
      </c>
      <c r="G2741" s="4">
        <v>30</v>
      </c>
      <c r="H2741" s="4">
        <v>0</v>
      </c>
    </row>
    <row r="2742" spans="2:8" x14ac:dyDescent="0.2">
      <c r="B2742" s="3" t="s">
        <v>160</v>
      </c>
      <c r="C2742" s="3" t="s">
        <v>21</v>
      </c>
      <c r="D2742" s="3" t="str">
        <f>VLOOKUP(C2742,Countries!$B$3:$C$140,2,FALSE)</f>
        <v>Europe</v>
      </c>
      <c r="E2742" s="3" t="s">
        <v>29</v>
      </c>
      <c r="F2742" s="3" t="str">
        <f>VLOOKUP(E2742,Countries!$B$3:$C$140,2,FALSE)</f>
        <v>Europe</v>
      </c>
      <c r="G2742" s="4">
        <v>2</v>
      </c>
      <c r="H2742" s="4">
        <v>0</v>
      </c>
    </row>
    <row r="2743" spans="2:8" x14ac:dyDescent="0.2">
      <c r="B2743" s="3" t="s">
        <v>160</v>
      </c>
      <c r="C2743" s="3" t="s">
        <v>21</v>
      </c>
      <c r="D2743" s="3" t="str">
        <f>VLOOKUP(C2743,Countries!$B$3:$C$140,2,FALSE)</f>
        <v>Europe</v>
      </c>
      <c r="E2743" s="3" t="s">
        <v>56</v>
      </c>
      <c r="F2743" s="3" t="str">
        <f>VLOOKUP(E2743,Countries!$B$3:$C$140,2,FALSE)</f>
        <v>Europe</v>
      </c>
      <c r="G2743" s="4">
        <v>2</v>
      </c>
      <c r="H2743" s="4">
        <v>0</v>
      </c>
    </row>
    <row r="2744" spans="2:8" x14ac:dyDescent="0.2">
      <c r="B2744" s="3" t="s">
        <v>160</v>
      </c>
      <c r="C2744" s="3" t="s">
        <v>21</v>
      </c>
      <c r="D2744" s="3" t="str">
        <f>VLOOKUP(C2744,Countries!$B$3:$C$140,2,FALSE)</f>
        <v>Europe</v>
      </c>
      <c r="E2744" s="3" t="s">
        <v>31</v>
      </c>
      <c r="F2744" s="3" t="str">
        <f>VLOOKUP(E2744,Countries!$B$3:$C$140,2,FALSE)</f>
        <v>Europe</v>
      </c>
      <c r="G2744" s="4">
        <v>2</v>
      </c>
      <c r="H2744" s="4">
        <v>0</v>
      </c>
    </row>
    <row r="2745" spans="2:8" x14ac:dyDescent="0.2">
      <c r="B2745" s="3" t="s">
        <v>160</v>
      </c>
      <c r="C2745" s="3" t="s">
        <v>21</v>
      </c>
      <c r="D2745" s="3" t="str">
        <f>VLOOKUP(C2745,Countries!$B$3:$C$140,2,FALSE)</f>
        <v>Europe</v>
      </c>
      <c r="E2745" s="3" t="s">
        <v>57</v>
      </c>
      <c r="F2745" s="3" t="str">
        <f>VLOOKUP(E2745,Countries!$B$3:$C$140,2,FALSE)</f>
        <v>Europe/Asia</v>
      </c>
      <c r="G2745" s="4">
        <v>2</v>
      </c>
      <c r="H2745" s="4">
        <v>0</v>
      </c>
    </row>
    <row r="2746" spans="2:8" x14ac:dyDescent="0.2">
      <c r="B2746" s="3" t="s">
        <v>160</v>
      </c>
      <c r="C2746" s="3" t="s">
        <v>22</v>
      </c>
      <c r="D2746" s="3" t="str">
        <f>VLOOKUP(C2746,Countries!$B$3:$C$140,2,FALSE)</f>
        <v>Europe</v>
      </c>
      <c r="E2746" s="3" t="s">
        <v>2</v>
      </c>
      <c r="F2746" s="3" t="str">
        <f>VLOOKUP(E2746,Countries!$B$3:$C$140,2,FALSE)</f>
        <v>Europe</v>
      </c>
      <c r="G2746" s="4">
        <v>4</v>
      </c>
      <c r="H2746" s="4">
        <v>0</v>
      </c>
    </row>
    <row r="2747" spans="2:8" x14ac:dyDescent="0.2">
      <c r="B2747" s="3" t="s">
        <v>160</v>
      </c>
      <c r="C2747" s="3" t="s">
        <v>22</v>
      </c>
      <c r="D2747" s="3" t="str">
        <f>VLOOKUP(C2747,Countries!$B$3:$C$140,2,FALSE)</f>
        <v>Europe</v>
      </c>
      <c r="E2747" s="3" t="s">
        <v>69</v>
      </c>
      <c r="F2747" s="3" t="str">
        <f>VLOOKUP(E2747,Countries!$B$3:$C$140,2,FALSE)</f>
        <v>South America</v>
      </c>
      <c r="G2747" s="4">
        <v>6</v>
      </c>
      <c r="H2747" s="4">
        <v>0</v>
      </c>
    </row>
    <row r="2748" spans="2:8" x14ac:dyDescent="0.2">
      <c r="B2748" s="3" t="s">
        <v>160</v>
      </c>
      <c r="C2748" s="3" t="s">
        <v>22</v>
      </c>
      <c r="D2748" s="3" t="str">
        <f>VLOOKUP(C2748,Countries!$B$3:$C$140,2,FALSE)</f>
        <v>Europe</v>
      </c>
      <c r="E2748" s="3" t="s">
        <v>48</v>
      </c>
      <c r="F2748" s="3" t="str">
        <f>VLOOKUP(E2748,Countries!$B$3:$C$140,2,FALSE)</f>
        <v>Oceania</v>
      </c>
      <c r="G2748" s="4">
        <v>6</v>
      </c>
      <c r="H2748" s="4">
        <v>0</v>
      </c>
    </row>
    <row r="2749" spans="2:8" x14ac:dyDescent="0.2">
      <c r="B2749" s="3" t="s">
        <v>160</v>
      </c>
      <c r="C2749" s="3" t="s">
        <v>22</v>
      </c>
      <c r="D2749" s="3" t="str">
        <f>VLOOKUP(C2749,Countries!$B$3:$C$140,2,FALSE)</f>
        <v>Europe</v>
      </c>
      <c r="E2749" s="3" t="s">
        <v>7</v>
      </c>
      <c r="F2749" s="3" t="str">
        <f>VLOOKUP(E2749,Countries!$B$3:$C$140,2,FALSE)</f>
        <v>South America</v>
      </c>
      <c r="G2749" s="4">
        <v>24</v>
      </c>
      <c r="H2749" s="4">
        <v>0</v>
      </c>
    </row>
    <row r="2750" spans="2:8" x14ac:dyDescent="0.2">
      <c r="B2750" s="3" t="s">
        <v>160</v>
      </c>
      <c r="C2750" s="3" t="s">
        <v>22</v>
      </c>
      <c r="D2750" s="3" t="str">
        <f>VLOOKUP(C2750,Countries!$B$3:$C$140,2,FALSE)</f>
        <v>Europe</v>
      </c>
      <c r="E2750" s="3" t="s">
        <v>36</v>
      </c>
      <c r="F2750" s="3" t="str">
        <f>VLOOKUP(E2750,Countries!$B$3:$C$140,2,FALSE)</f>
        <v>Europe</v>
      </c>
      <c r="G2750" s="4">
        <v>12</v>
      </c>
      <c r="H2750" s="4">
        <v>0</v>
      </c>
    </row>
    <row r="2751" spans="2:8" x14ac:dyDescent="0.2">
      <c r="B2751" s="3" t="s">
        <v>160</v>
      </c>
      <c r="C2751" s="3" t="s">
        <v>22</v>
      </c>
      <c r="D2751" s="3" t="str">
        <f>VLOOKUP(C2751,Countries!$B$3:$C$140,2,FALSE)</f>
        <v>Europe</v>
      </c>
      <c r="E2751" s="3" t="s">
        <v>89</v>
      </c>
      <c r="F2751" s="3" t="str">
        <f>VLOOKUP(E2751,Countries!$B$3:$C$140,2,FALSE)</f>
        <v>Asia</v>
      </c>
      <c r="G2751" s="4">
        <v>2</v>
      </c>
      <c r="H2751" s="4">
        <v>0</v>
      </c>
    </row>
    <row r="2752" spans="2:8" x14ac:dyDescent="0.2">
      <c r="B2752" s="3" t="s">
        <v>160</v>
      </c>
      <c r="C2752" s="3" t="s">
        <v>22</v>
      </c>
      <c r="D2752" s="3" t="str">
        <f>VLOOKUP(C2752,Countries!$B$3:$C$140,2,FALSE)</f>
        <v>Europe</v>
      </c>
      <c r="E2752" s="3" t="s">
        <v>106</v>
      </c>
      <c r="F2752" s="3" t="str">
        <f>VLOOKUP(E2752,Countries!$B$3:$C$140,2,FALSE)</f>
        <v>Africa</v>
      </c>
      <c r="G2752" s="4">
        <v>8</v>
      </c>
      <c r="H2752" s="4">
        <v>0</v>
      </c>
    </row>
    <row r="2753" spans="2:8" x14ac:dyDescent="0.2">
      <c r="B2753" s="3" t="s">
        <v>160</v>
      </c>
      <c r="C2753" s="3" t="s">
        <v>22</v>
      </c>
      <c r="D2753" s="3" t="str">
        <f>VLOOKUP(C2753,Countries!$B$3:$C$140,2,FALSE)</f>
        <v>Europe</v>
      </c>
      <c r="E2753" s="3" t="s">
        <v>61</v>
      </c>
      <c r="F2753" s="3" t="str">
        <f>VLOOKUP(E2753,Countries!$B$3:$C$140,2,FALSE)</f>
        <v>North America</v>
      </c>
      <c r="G2753" s="4">
        <v>2</v>
      </c>
      <c r="H2753" s="4">
        <v>0</v>
      </c>
    </row>
    <row r="2754" spans="2:8" x14ac:dyDescent="0.2">
      <c r="B2754" s="3" t="s">
        <v>160</v>
      </c>
      <c r="C2754" s="3" t="s">
        <v>22</v>
      </c>
      <c r="D2754" s="3" t="str">
        <f>VLOOKUP(C2754,Countries!$B$3:$C$140,2,FALSE)</f>
        <v>Europe</v>
      </c>
      <c r="E2754" s="3" t="s">
        <v>62</v>
      </c>
      <c r="F2754" s="3" t="str">
        <f>VLOOKUP(E2754,Countries!$B$3:$C$140,2,FALSE)</f>
        <v>Asia</v>
      </c>
      <c r="G2754" s="4">
        <v>2</v>
      </c>
      <c r="H2754" s="4">
        <v>0</v>
      </c>
    </row>
    <row r="2755" spans="2:8" x14ac:dyDescent="0.2">
      <c r="B2755" s="3" t="s">
        <v>160</v>
      </c>
      <c r="C2755" s="3" t="s">
        <v>22</v>
      </c>
      <c r="D2755" s="3" t="str">
        <f>VLOOKUP(C2755,Countries!$B$3:$C$140,2,FALSE)</f>
        <v>Europe</v>
      </c>
      <c r="E2755" s="3" t="s">
        <v>50</v>
      </c>
      <c r="F2755" s="3" t="str">
        <f>VLOOKUP(E2755,Countries!$B$3:$C$140,2,FALSE)</f>
        <v>Europe</v>
      </c>
      <c r="G2755" s="4">
        <v>16</v>
      </c>
      <c r="H2755" s="4">
        <v>0</v>
      </c>
    </row>
    <row r="2756" spans="2:8" x14ac:dyDescent="0.2">
      <c r="B2756" s="3" t="s">
        <v>160</v>
      </c>
      <c r="C2756" s="3" t="s">
        <v>22</v>
      </c>
      <c r="D2756" s="3" t="str">
        <f>VLOOKUP(C2756,Countries!$B$3:$C$140,2,FALSE)</f>
        <v>Europe</v>
      </c>
      <c r="E2756" s="3" t="s">
        <v>11</v>
      </c>
      <c r="F2756" s="3" t="str">
        <f>VLOOKUP(E2756,Countries!$B$3:$C$140,2,FALSE)</f>
        <v>Europe</v>
      </c>
      <c r="G2756" s="4">
        <v>14</v>
      </c>
      <c r="H2756" s="4">
        <v>0</v>
      </c>
    </row>
    <row r="2757" spans="2:8" x14ac:dyDescent="0.2">
      <c r="B2757" s="3" t="s">
        <v>160</v>
      </c>
      <c r="C2757" s="3" t="s">
        <v>22</v>
      </c>
      <c r="D2757" s="3" t="str">
        <f>VLOOKUP(C2757,Countries!$B$3:$C$140,2,FALSE)</f>
        <v>Europe</v>
      </c>
      <c r="E2757" s="3" t="s">
        <v>73</v>
      </c>
      <c r="F2757" s="3" t="str">
        <f>VLOOKUP(E2757,Countries!$B$3:$C$140,2,FALSE)</f>
        <v>Europe</v>
      </c>
      <c r="G2757" s="4">
        <v>2</v>
      </c>
      <c r="H2757" s="4">
        <v>0</v>
      </c>
    </row>
    <row r="2758" spans="2:8" x14ac:dyDescent="0.2">
      <c r="B2758" s="3" t="s">
        <v>160</v>
      </c>
      <c r="C2758" s="3" t="s">
        <v>22</v>
      </c>
      <c r="D2758" s="3" t="str">
        <f>VLOOKUP(C2758,Countries!$B$3:$C$140,2,FALSE)</f>
        <v>Europe</v>
      </c>
      <c r="E2758" s="3" t="s">
        <v>13</v>
      </c>
      <c r="F2758" s="3" t="str">
        <f>VLOOKUP(E2758,Countries!$B$3:$C$140,2,FALSE)</f>
        <v>Europe</v>
      </c>
      <c r="G2758" s="4">
        <v>4</v>
      </c>
      <c r="H2758" s="4">
        <v>0</v>
      </c>
    </row>
    <row r="2759" spans="2:8" x14ac:dyDescent="0.2">
      <c r="B2759" s="3" t="s">
        <v>160</v>
      </c>
      <c r="C2759" s="3" t="s">
        <v>22</v>
      </c>
      <c r="D2759" s="3" t="str">
        <f>VLOOKUP(C2759,Countries!$B$3:$C$140,2,FALSE)</f>
        <v>Europe</v>
      </c>
      <c r="E2759" s="3" t="s">
        <v>64</v>
      </c>
      <c r="F2759" s="3" t="str">
        <f>VLOOKUP(E2759,Countries!$B$3:$C$140,2,FALSE)</f>
        <v>Africa</v>
      </c>
      <c r="G2759" s="4">
        <v>2</v>
      </c>
      <c r="H2759" s="4">
        <v>0</v>
      </c>
    </row>
    <row r="2760" spans="2:8" x14ac:dyDescent="0.2">
      <c r="B2760" s="3" t="s">
        <v>160</v>
      </c>
      <c r="C2760" s="3" t="s">
        <v>22</v>
      </c>
      <c r="D2760" s="3" t="str">
        <f>VLOOKUP(C2760,Countries!$B$3:$C$140,2,FALSE)</f>
        <v>Europe</v>
      </c>
      <c r="E2760" s="3" t="s">
        <v>14</v>
      </c>
      <c r="F2760" s="3" t="str">
        <f>VLOOKUP(E2760,Countries!$B$3:$C$140,2,FALSE)</f>
        <v>Europe</v>
      </c>
      <c r="G2760" s="4">
        <v>4</v>
      </c>
      <c r="H2760" s="4">
        <v>0</v>
      </c>
    </row>
    <row r="2761" spans="2:8" x14ac:dyDescent="0.2">
      <c r="B2761" s="3" t="s">
        <v>160</v>
      </c>
      <c r="C2761" s="3" t="s">
        <v>22</v>
      </c>
      <c r="D2761" s="3" t="str">
        <f>VLOOKUP(C2761,Countries!$B$3:$C$140,2,FALSE)</f>
        <v>Europe</v>
      </c>
      <c r="E2761" s="3" t="s">
        <v>15</v>
      </c>
      <c r="F2761" s="3" t="str">
        <f>VLOOKUP(E2761,Countries!$B$3:$C$140,2,FALSE)</f>
        <v>Europe</v>
      </c>
      <c r="G2761" s="4">
        <v>2</v>
      </c>
      <c r="H2761" s="4">
        <v>0</v>
      </c>
    </row>
    <row r="2762" spans="2:8" x14ac:dyDescent="0.2">
      <c r="B2762" s="3" t="s">
        <v>160</v>
      </c>
      <c r="C2762" s="3" t="s">
        <v>22</v>
      </c>
      <c r="D2762" s="3" t="str">
        <f>VLOOKUP(C2762,Countries!$B$3:$C$140,2,FALSE)</f>
        <v>Europe</v>
      </c>
      <c r="E2762" s="3" t="s">
        <v>16</v>
      </c>
      <c r="F2762" s="3" t="str">
        <f>VLOOKUP(E2762,Countries!$B$3:$C$140,2,FALSE)</f>
        <v>Asia</v>
      </c>
      <c r="G2762" s="4">
        <v>2</v>
      </c>
      <c r="H2762" s="4">
        <v>0</v>
      </c>
    </row>
    <row r="2763" spans="2:8" x14ac:dyDescent="0.2">
      <c r="B2763" s="3" t="s">
        <v>160</v>
      </c>
      <c r="C2763" s="3" t="s">
        <v>22</v>
      </c>
      <c r="D2763" s="3" t="str">
        <f>VLOOKUP(C2763,Countries!$B$3:$C$140,2,FALSE)</f>
        <v>Europe</v>
      </c>
      <c r="E2763" s="3" t="s">
        <v>17</v>
      </c>
      <c r="F2763" s="3" t="str">
        <f>VLOOKUP(E2763,Countries!$B$3:$C$140,2,FALSE)</f>
        <v>Europe</v>
      </c>
      <c r="G2763" s="4">
        <v>12</v>
      </c>
      <c r="H2763" s="4">
        <v>0</v>
      </c>
    </row>
    <row r="2764" spans="2:8" x14ac:dyDescent="0.2">
      <c r="B2764" s="3" t="s">
        <v>160</v>
      </c>
      <c r="C2764" s="3" t="s">
        <v>22</v>
      </c>
      <c r="D2764" s="3" t="str">
        <f>VLOOKUP(C2764,Countries!$B$3:$C$140,2,FALSE)</f>
        <v>Europe</v>
      </c>
      <c r="E2764" s="3" t="s">
        <v>66</v>
      </c>
      <c r="F2764" s="3" t="str">
        <f>VLOOKUP(E2764,Countries!$B$3:$C$140,2,FALSE)</f>
        <v>Europe</v>
      </c>
      <c r="G2764" s="4">
        <v>2</v>
      </c>
      <c r="H2764" s="4">
        <v>0</v>
      </c>
    </row>
    <row r="2765" spans="2:8" x14ac:dyDescent="0.2">
      <c r="B2765" s="3" t="s">
        <v>160</v>
      </c>
      <c r="C2765" s="3" t="s">
        <v>22</v>
      </c>
      <c r="D2765" s="3" t="str">
        <f>VLOOKUP(C2765,Countries!$B$3:$C$140,2,FALSE)</f>
        <v>Europe</v>
      </c>
      <c r="E2765" s="3" t="s">
        <v>131</v>
      </c>
      <c r="F2765" s="3" t="str">
        <f>VLOOKUP(E2765,Countries!$B$3:$C$140,2,FALSE)</f>
        <v>Asia</v>
      </c>
      <c r="G2765" s="4">
        <v>2</v>
      </c>
      <c r="H2765" s="4">
        <v>0</v>
      </c>
    </row>
    <row r="2766" spans="2:8" x14ac:dyDescent="0.2">
      <c r="B2766" s="3" t="s">
        <v>160</v>
      </c>
      <c r="C2766" s="3" t="s">
        <v>22</v>
      </c>
      <c r="D2766" s="3" t="str">
        <f>VLOOKUP(C2766,Countries!$B$3:$C$140,2,FALSE)</f>
        <v>Europe</v>
      </c>
      <c r="E2766" s="3" t="s">
        <v>23</v>
      </c>
      <c r="F2766" s="3" t="str">
        <f>VLOOKUP(E2766,Countries!$B$3:$C$140,2,FALSE)</f>
        <v>Europe</v>
      </c>
      <c r="G2766" s="4">
        <v>2</v>
      </c>
      <c r="H2766" s="4">
        <v>0</v>
      </c>
    </row>
    <row r="2767" spans="2:8" x14ac:dyDescent="0.2">
      <c r="B2767" s="3" t="s">
        <v>160</v>
      </c>
      <c r="C2767" s="3" t="s">
        <v>22</v>
      </c>
      <c r="D2767" s="3" t="str">
        <f>VLOOKUP(C2767,Countries!$B$3:$C$140,2,FALSE)</f>
        <v>Europe</v>
      </c>
      <c r="E2767" s="3" t="s">
        <v>53</v>
      </c>
      <c r="F2767" s="3" t="str">
        <f>VLOOKUP(E2767,Countries!$B$3:$C$140,2,FALSE)</f>
        <v>Europe</v>
      </c>
      <c r="G2767" s="4">
        <v>2</v>
      </c>
      <c r="H2767" s="4">
        <v>0</v>
      </c>
    </row>
    <row r="2768" spans="2:8" x14ac:dyDescent="0.2">
      <c r="B2768" s="3" t="s">
        <v>160</v>
      </c>
      <c r="C2768" s="3" t="s">
        <v>22</v>
      </c>
      <c r="D2768" s="3" t="str">
        <f>VLOOKUP(C2768,Countries!$B$3:$C$140,2,FALSE)</f>
        <v>Europe</v>
      </c>
      <c r="E2768" s="3" t="s">
        <v>24</v>
      </c>
      <c r="F2768" s="3" t="str">
        <f>VLOOKUP(E2768,Countries!$B$3:$C$140,2,FALSE)</f>
        <v>Africa</v>
      </c>
      <c r="G2768" s="4">
        <v>6</v>
      </c>
      <c r="H2768" s="4">
        <v>0</v>
      </c>
    </row>
    <row r="2769" spans="2:8" x14ac:dyDescent="0.2">
      <c r="B2769" s="3" t="s">
        <v>160</v>
      </c>
      <c r="C2769" s="3" t="s">
        <v>22</v>
      </c>
      <c r="D2769" s="3" t="str">
        <f>VLOOKUP(C2769,Countries!$B$3:$C$140,2,FALSE)</f>
        <v>Europe</v>
      </c>
      <c r="E2769" s="3" t="s">
        <v>54</v>
      </c>
      <c r="F2769" s="3" t="str">
        <f>VLOOKUP(E2769,Countries!$B$3:$C$140,2,FALSE)</f>
        <v>Europe</v>
      </c>
      <c r="G2769" s="4">
        <v>2</v>
      </c>
      <c r="H2769" s="4">
        <v>0</v>
      </c>
    </row>
    <row r="2770" spans="2:8" x14ac:dyDescent="0.2">
      <c r="B2770" s="3" t="s">
        <v>160</v>
      </c>
      <c r="C2770" s="3" t="s">
        <v>22</v>
      </c>
      <c r="D2770" s="3" t="str">
        <f>VLOOKUP(C2770,Countries!$B$3:$C$140,2,FALSE)</f>
        <v>Europe</v>
      </c>
      <c r="E2770" s="3" t="s">
        <v>98</v>
      </c>
      <c r="F2770" s="3" t="str">
        <f>VLOOKUP(E2770,Countries!$B$3:$C$140,2,FALSE)</f>
        <v>North America</v>
      </c>
      <c r="G2770" s="4">
        <v>2</v>
      </c>
      <c r="H2770" s="4">
        <v>0</v>
      </c>
    </row>
    <row r="2771" spans="2:8" x14ac:dyDescent="0.2">
      <c r="B2771" s="3" t="s">
        <v>160</v>
      </c>
      <c r="C2771" s="3" t="s">
        <v>22</v>
      </c>
      <c r="D2771" s="3" t="str">
        <f>VLOOKUP(C2771,Countries!$B$3:$C$140,2,FALSE)</f>
        <v>Europe</v>
      </c>
      <c r="E2771" s="3" t="s">
        <v>28</v>
      </c>
      <c r="F2771" s="3" t="str">
        <f>VLOOKUP(E2771,Countries!$B$3:$C$140,2,FALSE)</f>
        <v>Europe</v>
      </c>
      <c r="G2771" s="4">
        <v>2</v>
      </c>
      <c r="H2771" s="4">
        <v>0</v>
      </c>
    </row>
    <row r="2772" spans="2:8" x14ac:dyDescent="0.2">
      <c r="B2772" s="3" t="s">
        <v>160</v>
      </c>
      <c r="C2772" s="3" t="s">
        <v>22</v>
      </c>
      <c r="D2772" s="3" t="str">
        <f>VLOOKUP(C2772,Countries!$B$3:$C$140,2,FALSE)</f>
        <v>Europe</v>
      </c>
      <c r="E2772" s="3" t="s">
        <v>30</v>
      </c>
      <c r="F2772" s="3" t="str">
        <f>VLOOKUP(E2772,Countries!$B$3:$C$140,2,FALSE)</f>
        <v>Europe</v>
      </c>
      <c r="G2772" s="4">
        <v>2</v>
      </c>
      <c r="H2772" s="4">
        <v>0</v>
      </c>
    </row>
    <row r="2773" spans="2:8" x14ac:dyDescent="0.2">
      <c r="B2773" s="3" t="s">
        <v>160</v>
      </c>
      <c r="C2773" s="3" t="s">
        <v>22</v>
      </c>
      <c r="D2773" s="3" t="str">
        <f>VLOOKUP(C2773,Countries!$B$3:$C$140,2,FALSE)</f>
        <v>Europe</v>
      </c>
      <c r="E2773" s="3" t="s">
        <v>31</v>
      </c>
      <c r="F2773" s="3" t="str">
        <f>VLOOKUP(E2773,Countries!$B$3:$C$140,2,FALSE)</f>
        <v>Europe</v>
      </c>
      <c r="G2773" s="4">
        <v>2</v>
      </c>
      <c r="H2773" s="4">
        <v>0</v>
      </c>
    </row>
    <row r="2774" spans="2:8" x14ac:dyDescent="0.2">
      <c r="B2774" s="3" t="s">
        <v>160</v>
      </c>
      <c r="C2774" s="3" t="s">
        <v>22</v>
      </c>
      <c r="D2774" s="3" t="str">
        <f>VLOOKUP(C2774,Countries!$B$3:$C$140,2,FALSE)</f>
        <v>Europe</v>
      </c>
      <c r="E2774" s="3" t="s">
        <v>104</v>
      </c>
      <c r="F2774" s="3" t="str">
        <f>VLOOKUP(E2774,Countries!$B$3:$C$140,2,FALSE)</f>
        <v>Africa</v>
      </c>
      <c r="G2774" s="4">
        <v>2</v>
      </c>
      <c r="H2774" s="4">
        <v>0</v>
      </c>
    </row>
    <row r="2775" spans="2:8" x14ac:dyDescent="0.2">
      <c r="B2775" s="3" t="s">
        <v>160</v>
      </c>
      <c r="C2775" s="3" t="s">
        <v>22</v>
      </c>
      <c r="D2775" s="3" t="str">
        <f>VLOOKUP(C2775,Countries!$B$3:$C$140,2,FALSE)</f>
        <v>Europe</v>
      </c>
      <c r="E2775" s="3" t="s">
        <v>105</v>
      </c>
      <c r="F2775" s="3" t="str">
        <f>VLOOKUP(E2775,Countries!$B$3:$C$140,2,FALSE)</f>
        <v>Asia</v>
      </c>
      <c r="G2775" s="4">
        <v>4</v>
      </c>
      <c r="H2775" s="4">
        <v>0</v>
      </c>
    </row>
    <row r="2776" spans="2:8" x14ac:dyDescent="0.2">
      <c r="B2776" s="3" t="s">
        <v>160</v>
      </c>
      <c r="C2776" s="3" t="s">
        <v>22</v>
      </c>
      <c r="D2776" s="3" t="str">
        <f>VLOOKUP(C2776,Countries!$B$3:$C$140,2,FALSE)</f>
        <v>Europe</v>
      </c>
      <c r="E2776" s="3" t="s">
        <v>86</v>
      </c>
      <c r="F2776" s="3" t="str">
        <f>VLOOKUP(E2776,Countries!$B$3:$C$140,2,FALSE)</f>
        <v>Europe</v>
      </c>
      <c r="G2776" s="4">
        <v>2</v>
      </c>
      <c r="H2776" s="4">
        <v>0</v>
      </c>
    </row>
    <row r="2777" spans="2:8" x14ac:dyDescent="0.2">
      <c r="B2777" s="3" t="s">
        <v>160</v>
      </c>
      <c r="C2777" s="3" t="s">
        <v>23</v>
      </c>
      <c r="D2777" s="3" t="str">
        <f>VLOOKUP(C2777,Countries!$B$3:$C$140,2,FALSE)</f>
        <v>Europe</v>
      </c>
      <c r="E2777" s="3" t="s">
        <v>2</v>
      </c>
      <c r="F2777" s="3" t="str">
        <f>VLOOKUP(E2777,Countries!$B$3:$C$140,2,FALSE)</f>
        <v>Europe</v>
      </c>
      <c r="G2777" s="4">
        <v>4</v>
      </c>
      <c r="H2777" s="4">
        <v>0</v>
      </c>
    </row>
    <row r="2778" spans="2:8" x14ac:dyDescent="0.2">
      <c r="B2778" s="3" t="s">
        <v>160</v>
      </c>
      <c r="C2778" s="3" t="s">
        <v>23</v>
      </c>
      <c r="D2778" s="3" t="str">
        <f>VLOOKUP(C2778,Countries!$B$3:$C$140,2,FALSE)</f>
        <v>Europe</v>
      </c>
      <c r="E2778" s="3" t="s">
        <v>6</v>
      </c>
      <c r="F2778" s="3" t="str">
        <f>VLOOKUP(E2778,Countries!$B$3:$C$140,2,FALSE)</f>
        <v>Europe</v>
      </c>
      <c r="G2778" s="4">
        <v>2</v>
      </c>
      <c r="H2778" s="4">
        <v>0</v>
      </c>
    </row>
    <row r="2779" spans="2:8" x14ac:dyDescent="0.2">
      <c r="B2779" s="3" t="s">
        <v>160</v>
      </c>
      <c r="C2779" s="3" t="s">
        <v>23</v>
      </c>
      <c r="D2779" s="3" t="str">
        <f>VLOOKUP(C2779,Countries!$B$3:$C$140,2,FALSE)</f>
        <v>Europe</v>
      </c>
      <c r="E2779" s="3" t="s">
        <v>15</v>
      </c>
      <c r="F2779" s="3" t="str">
        <f>VLOOKUP(E2779,Countries!$B$3:$C$140,2,FALSE)</f>
        <v>Europe</v>
      </c>
      <c r="G2779" s="4">
        <v>2</v>
      </c>
      <c r="H2779" s="4">
        <v>0</v>
      </c>
    </row>
    <row r="2780" spans="2:8" x14ac:dyDescent="0.2">
      <c r="B2780" s="3" t="s">
        <v>160</v>
      </c>
      <c r="C2780" s="3" t="s">
        <v>23</v>
      </c>
      <c r="D2780" s="3" t="str">
        <f>VLOOKUP(C2780,Countries!$B$3:$C$140,2,FALSE)</f>
        <v>Europe</v>
      </c>
      <c r="E2780" s="3" t="s">
        <v>92</v>
      </c>
      <c r="F2780" s="3" t="str">
        <f>VLOOKUP(E2780,Countries!$B$3:$C$140,2,FALSE)</f>
        <v>Asia</v>
      </c>
      <c r="G2780" s="4">
        <v>10</v>
      </c>
      <c r="H2780" s="4">
        <v>0</v>
      </c>
    </row>
    <row r="2781" spans="2:8" x14ac:dyDescent="0.2">
      <c r="B2781" s="3" t="s">
        <v>160</v>
      </c>
      <c r="C2781" s="3" t="s">
        <v>23</v>
      </c>
      <c r="D2781" s="3" t="str">
        <f>VLOOKUP(C2781,Countries!$B$3:$C$140,2,FALSE)</f>
        <v>Europe</v>
      </c>
      <c r="E2781" s="3" t="s">
        <v>117</v>
      </c>
      <c r="F2781" s="3" t="str">
        <f>VLOOKUP(E2781,Countries!$B$3:$C$140,2,FALSE)</f>
        <v>Asia</v>
      </c>
      <c r="G2781" s="4">
        <v>2</v>
      </c>
      <c r="H2781" s="4">
        <v>0</v>
      </c>
    </row>
    <row r="2782" spans="2:8" x14ac:dyDescent="0.2">
      <c r="B2782" s="3" t="s">
        <v>160</v>
      </c>
      <c r="C2782" s="3" t="s">
        <v>23</v>
      </c>
      <c r="D2782" s="3" t="str">
        <f>VLOOKUP(C2782,Countries!$B$3:$C$140,2,FALSE)</f>
        <v>Europe</v>
      </c>
      <c r="E2782" s="3" t="s">
        <v>43</v>
      </c>
      <c r="F2782" s="3" t="str">
        <f>VLOOKUP(E2782,Countries!$B$3:$C$140,2,FALSE)</f>
        <v>Europe</v>
      </c>
      <c r="G2782" s="4">
        <v>2</v>
      </c>
      <c r="H2782" s="4">
        <v>403583.09450999997</v>
      </c>
    </row>
    <row r="2783" spans="2:8" x14ac:dyDescent="0.2">
      <c r="B2783" s="3" t="s">
        <v>160</v>
      </c>
      <c r="C2783" s="3" t="s">
        <v>23</v>
      </c>
      <c r="D2783" s="3" t="str">
        <f>VLOOKUP(C2783,Countries!$B$3:$C$140,2,FALSE)</f>
        <v>Europe</v>
      </c>
      <c r="E2783" s="3" t="s">
        <v>53</v>
      </c>
      <c r="F2783" s="3" t="str">
        <f>VLOOKUP(E2783,Countries!$B$3:$C$140,2,FALSE)</f>
        <v>Europe</v>
      </c>
      <c r="G2783" s="4">
        <v>2</v>
      </c>
      <c r="H2783" s="4">
        <v>0</v>
      </c>
    </row>
    <row r="2784" spans="2:8" x14ac:dyDescent="0.2">
      <c r="B2784" s="3" t="s">
        <v>160</v>
      </c>
      <c r="C2784" s="3" t="s">
        <v>23</v>
      </c>
      <c r="D2784" s="3" t="str">
        <f>VLOOKUP(C2784,Countries!$B$3:$C$140,2,FALSE)</f>
        <v>Europe</v>
      </c>
      <c r="E2784" s="3" t="s">
        <v>54</v>
      </c>
      <c r="F2784" s="3" t="str">
        <f>VLOOKUP(E2784,Countries!$B$3:$C$140,2,FALSE)</f>
        <v>Europe</v>
      </c>
      <c r="G2784" s="4">
        <v>2</v>
      </c>
      <c r="H2784" s="4">
        <v>0</v>
      </c>
    </row>
    <row r="2785" spans="2:8" x14ac:dyDescent="0.2">
      <c r="B2785" s="3" t="s">
        <v>160</v>
      </c>
      <c r="C2785" s="3" t="s">
        <v>23</v>
      </c>
      <c r="D2785" s="3" t="str">
        <f>VLOOKUP(C2785,Countries!$B$3:$C$140,2,FALSE)</f>
        <v>Europe</v>
      </c>
      <c r="E2785" s="3" t="s">
        <v>90</v>
      </c>
      <c r="F2785" s="3" t="str">
        <f>VLOOKUP(E2785,Countries!$B$3:$C$140,2,FALSE)</f>
        <v>Asia</v>
      </c>
      <c r="G2785" s="4">
        <v>2</v>
      </c>
      <c r="H2785" s="4">
        <v>0</v>
      </c>
    </row>
    <row r="2786" spans="2:8" x14ac:dyDescent="0.2">
      <c r="B2786" s="3" t="s">
        <v>160</v>
      </c>
      <c r="C2786" s="3" t="s">
        <v>23</v>
      </c>
      <c r="D2786" s="3" t="str">
        <f>VLOOKUP(C2786,Countries!$B$3:$C$140,2,FALSE)</f>
        <v>Europe</v>
      </c>
      <c r="E2786" s="3" t="s">
        <v>28</v>
      </c>
      <c r="F2786" s="3" t="str">
        <f>VLOOKUP(E2786,Countries!$B$3:$C$140,2,FALSE)</f>
        <v>Europe</v>
      </c>
      <c r="G2786" s="4">
        <v>24</v>
      </c>
      <c r="H2786" s="4">
        <v>0</v>
      </c>
    </row>
    <row r="2787" spans="2:8" x14ac:dyDescent="0.2">
      <c r="B2787" s="3" t="s">
        <v>160</v>
      </c>
      <c r="C2787" s="3" t="s">
        <v>23</v>
      </c>
      <c r="D2787" s="3" t="str">
        <f>VLOOKUP(C2787,Countries!$B$3:$C$140,2,FALSE)</f>
        <v>Europe</v>
      </c>
      <c r="E2787" s="3" t="s">
        <v>112</v>
      </c>
      <c r="F2787" s="3" t="str">
        <f>VLOOKUP(E2787,Countries!$B$3:$C$140,2,FALSE)</f>
        <v>Asia</v>
      </c>
      <c r="G2787" s="4">
        <v>2</v>
      </c>
      <c r="H2787" s="4">
        <v>0</v>
      </c>
    </row>
    <row r="2788" spans="2:8" x14ac:dyDescent="0.2">
      <c r="B2788" s="3" t="s">
        <v>160</v>
      </c>
      <c r="C2788" s="3" t="s">
        <v>53</v>
      </c>
      <c r="D2788" s="3" t="str">
        <f>VLOOKUP(C2788,Countries!$B$3:$C$140,2,FALSE)</f>
        <v>Europe</v>
      </c>
      <c r="E2788" s="3" t="s">
        <v>69</v>
      </c>
      <c r="F2788" s="3" t="str">
        <f>VLOOKUP(E2788,Countries!$B$3:$C$140,2,FALSE)</f>
        <v>South America</v>
      </c>
      <c r="G2788" s="4">
        <v>4</v>
      </c>
      <c r="H2788" s="4">
        <v>0</v>
      </c>
    </row>
    <row r="2789" spans="2:8" x14ac:dyDescent="0.2">
      <c r="B2789" s="3" t="s">
        <v>160</v>
      </c>
      <c r="C2789" s="3" t="s">
        <v>53</v>
      </c>
      <c r="D2789" s="3" t="str">
        <f>VLOOKUP(C2789,Countries!$B$3:$C$140,2,FALSE)</f>
        <v>Europe</v>
      </c>
      <c r="E2789" s="3" t="s">
        <v>48</v>
      </c>
      <c r="F2789" s="3" t="str">
        <f>VLOOKUP(E2789,Countries!$B$3:$C$140,2,FALSE)</f>
        <v>Oceania</v>
      </c>
      <c r="G2789" s="4">
        <v>8</v>
      </c>
      <c r="H2789" s="4">
        <v>0</v>
      </c>
    </row>
    <row r="2790" spans="2:8" x14ac:dyDescent="0.2">
      <c r="B2790" s="3" t="s">
        <v>160</v>
      </c>
      <c r="C2790" s="3" t="s">
        <v>53</v>
      </c>
      <c r="D2790" s="3" t="str">
        <f>VLOOKUP(C2790,Countries!$B$3:$C$140,2,FALSE)</f>
        <v>Europe</v>
      </c>
      <c r="E2790" s="3" t="s">
        <v>3</v>
      </c>
      <c r="F2790" s="3" t="str">
        <f>VLOOKUP(E2790,Countries!$B$3:$C$140,2,FALSE)</f>
        <v>Europe</v>
      </c>
      <c r="G2790" s="4">
        <v>6</v>
      </c>
      <c r="H2790" s="4">
        <v>0</v>
      </c>
    </row>
    <row r="2791" spans="2:8" x14ac:dyDescent="0.2">
      <c r="B2791" s="3" t="s">
        <v>160</v>
      </c>
      <c r="C2791" s="3" t="s">
        <v>53</v>
      </c>
      <c r="D2791" s="3" t="str">
        <f>VLOOKUP(C2791,Countries!$B$3:$C$140,2,FALSE)</f>
        <v>Europe</v>
      </c>
      <c r="E2791" s="3" t="s">
        <v>35</v>
      </c>
      <c r="F2791" s="3" t="str">
        <f>VLOOKUP(E2791,Countries!$B$3:$C$140,2,FALSE)</f>
        <v>Europe</v>
      </c>
      <c r="G2791" s="4">
        <v>54</v>
      </c>
      <c r="H2791" s="4">
        <v>4356969.5214860998</v>
      </c>
    </row>
    <row r="2792" spans="2:8" x14ac:dyDescent="0.2">
      <c r="B2792" s="3" t="s">
        <v>160</v>
      </c>
      <c r="C2792" s="3" t="s">
        <v>53</v>
      </c>
      <c r="D2792" s="3" t="str">
        <f>VLOOKUP(C2792,Countries!$B$3:$C$140,2,FALSE)</f>
        <v>Europe</v>
      </c>
      <c r="E2792" s="3" t="s">
        <v>7</v>
      </c>
      <c r="F2792" s="3" t="str">
        <f>VLOOKUP(E2792,Countries!$B$3:$C$140,2,FALSE)</f>
        <v>South America</v>
      </c>
      <c r="G2792" s="4">
        <v>2</v>
      </c>
      <c r="H2792" s="4">
        <v>0</v>
      </c>
    </row>
    <row r="2793" spans="2:8" x14ac:dyDescent="0.2">
      <c r="B2793" s="3" t="s">
        <v>160</v>
      </c>
      <c r="C2793" s="3" t="s">
        <v>53</v>
      </c>
      <c r="D2793" s="3" t="str">
        <f>VLOOKUP(C2793,Countries!$B$3:$C$140,2,FALSE)</f>
        <v>Europe</v>
      </c>
      <c r="E2793" s="3" t="s">
        <v>8</v>
      </c>
      <c r="F2793" s="3" t="str">
        <f>VLOOKUP(E2793,Countries!$B$3:$C$140,2,FALSE)</f>
        <v>North America</v>
      </c>
      <c r="G2793" s="4">
        <v>2</v>
      </c>
      <c r="H2793" s="4">
        <v>0</v>
      </c>
    </row>
    <row r="2794" spans="2:8" x14ac:dyDescent="0.2">
      <c r="B2794" s="3" t="s">
        <v>160</v>
      </c>
      <c r="C2794" s="3" t="s">
        <v>53</v>
      </c>
      <c r="D2794" s="3" t="str">
        <f>VLOOKUP(C2794,Countries!$B$3:$C$140,2,FALSE)</f>
        <v>Europe</v>
      </c>
      <c r="E2794" s="3" t="s">
        <v>88</v>
      </c>
      <c r="F2794" s="3" t="str">
        <f>VLOOKUP(E2794,Countries!$B$3:$C$140,2,FALSE)</f>
        <v>South America</v>
      </c>
      <c r="G2794" s="4">
        <v>4</v>
      </c>
      <c r="H2794" s="4">
        <v>12750000</v>
      </c>
    </row>
    <row r="2795" spans="2:8" x14ac:dyDescent="0.2">
      <c r="B2795" s="3" t="s">
        <v>160</v>
      </c>
      <c r="C2795" s="3" t="s">
        <v>53</v>
      </c>
      <c r="D2795" s="3" t="str">
        <f>VLOOKUP(C2795,Countries!$B$3:$C$140,2,FALSE)</f>
        <v>Europe</v>
      </c>
      <c r="E2795" s="3" t="s">
        <v>62</v>
      </c>
      <c r="F2795" s="3" t="str">
        <f>VLOOKUP(E2795,Countries!$B$3:$C$140,2,FALSE)</f>
        <v>Asia</v>
      </c>
      <c r="G2795" s="4">
        <v>2</v>
      </c>
      <c r="H2795" s="4">
        <v>504873.12724875903</v>
      </c>
    </row>
    <row r="2796" spans="2:8" x14ac:dyDescent="0.2">
      <c r="B2796" s="3" t="s">
        <v>160</v>
      </c>
      <c r="C2796" s="3" t="s">
        <v>53</v>
      </c>
      <c r="D2796" s="3" t="str">
        <f>VLOOKUP(C2796,Countries!$B$3:$C$140,2,FALSE)</f>
        <v>Europe</v>
      </c>
      <c r="E2796" s="3" t="s">
        <v>49</v>
      </c>
      <c r="F2796" s="3" t="str">
        <f>VLOOKUP(E2796,Countries!$B$3:$C$140,2,FALSE)</f>
        <v>Europe</v>
      </c>
      <c r="G2796" s="4">
        <v>2</v>
      </c>
      <c r="H2796" s="4">
        <v>136456.50444300001</v>
      </c>
    </row>
    <row r="2797" spans="2:8" x14ac:dyDescent="0.2">
      <c r="B2797" s="3" t="s">
        <v>160</v>
      </c>
      <c r="C2797" s="3" t="s">
        <v>53</v>
      </c>
      <c r="D2797" s="3" t="str">
        <f>VLOOKUP(C2797,Countries!$B$3:$C$140,2,FALSE)</f>
        <v>Europe</v>
      </c>
      <c r="E2797" s="3" t="s">
        <v>10</v>
      </c>
      <c r="F2797" s="3" t="str">
        <f>VLOOKUP(E2797,Countries!$B$3:$C$140,2,FALSE)</f>
        <v>Europe</v>
      </c>
      <c r="G2797" s="4">
        <v>12</v>
      </c>
      <c r="H2797" s="4">
        <v>20588333.93316</v>
      </c>
    </row>
    <row r="2798" spans="2:8" x14ac:dyDescent="0.2">
      <c r="B2798" s="3" t="s">
        <v>160</v>
      </c>
      <c r="C2798" s="3" t="s">
        <v>53</v>
      </c>
      <c r="D2798" s="3" t="str">
        <f>VLOOKUP(C2798,Countries!$B$3:$C$140,2,FALSE)</f>
        <v>Europe</v>
      </c>
      <c r="E2798" s="3" t="s">
        <v>50</v>
      </c>
      <c r="F2798" s="3" t="str">
        <f>VLOOKUP(E2798,Countries!$B$3:$C$140,2,FALSE)</f>
        <v>Europe</v>
      </c>
      <c r="G2798" s="4">
        <v>30</v>
      </c>
      <c r="H2798" s="4">
        <v>6486136.9396200003</v>
      </c>
    </row>
    <row r="2799" spans="2:8" x14ac:dyDescent="0.2">
      <c r="B2799" s="3" t="s">
        <v>160</v>
      </c>
      <c r="C2799" s="3" t="s">
        <v>53</v>
      </c>
      <c r="D2799" s="3" t="str">
        <f>VLOOKUP(C2799,Countries!$B$3:$C$140,2,FALSE)</f>
        <v>Europe</v>
      </c>
      <c r="E2799" s="3" t="s">
        <v>11</v>
      </c>
      <c r="F2799" s="3" t="str">
        <f>VLOOKUP(E2799,Countries!$B$3:$C$140,2,FALSE)</f>
        <v>Europe</v>
      </c>
      <c r="G2799" s="4">
        <v>6</v>
      </c>
      <c r="H2799" s="4">
        <v>1983523.5312000001</v>
      </c>
    </row>
    <row r="2800" spans="2:8" x14ac:dyDescent="0.2">
      <c r="B2800" s="3" t="s">
        <v>160</v>
      </c>
      <c r="C2800" s="3" t="s">
        <v>53</v>
      </c>
      <c r="D2800" s="3" t="str">
        <f>VLOOKUP(C2800,Countries!$B$3:$C$140,2,FALSE)</f>
        <v>Europe</v>
      </c>
      <c r="E2800" s="3" t="s">
        <v>73</v>
      </c>
      <c r="F2800" s="3" t="str">
        <f>VLOOKUP(E2800,Countries!$B$3:$C$140,2,FALSE)</f>
        <v>Europe</v>
      </c>
      <c r="G2800" s="4">
        <v>4</v>
      </c>
      <c r="H2800" s="4">
        <v>0</v>
      </c>
    </row>
    <row r="2801" spans="2:8" x14ac:dyDescent="0.2">
      <c r="B2801" s="3" t="s">
        <v>160</v>
      </c>
      <c r="C2801" s="3" t="s">
        <v>53</v>
      </c>
      <c r="D2801" s="3" t="str">
        <f>VLOOKUP(C2801,Countries!$B$3:$C$140,2,FALSE)</f>
        <v>Europe</v>
      </c>
      <c r="E2801" s="3" t="s">
        <v>12</v>
      </c>
      <c r="F2801" s="3" t="str">
        <f>VLOOKUP(E2801,Countries!$B$3:$C$140,2,FALSE)</f>
        <v>Europe</v>
      </c>
      <c r="G2801" s="4">
        <v>4</v>
      </c>
      <c r="H2801" s="4">
        <v>2219707.0198050002</v>
      </c>
    </row>
    <row r="2802" spans="2:8" x14ac:dyDescent="0.2">
      <c r="B2802" s="3" t="s">
        <v>160</v>
      </c>
      <c r="C2802" s="3" t="s">
        <v>53</v>
      </c>
      <c r="D2802" s="3" t="str">
        <f>VLOOKUP(C2802,Countries!$B$3:$C$140,2,FALSE)</f>
        <v>Europe</v>
      </c>
      <c r="E2802" s="3" t="s">
        <v>13</v>
      </c>
      <c r="F2802" s="3" t="str">
        <f>VLOOKUP(E2802,Countries!$B$3:$C$140,2,FALSE)</f>
        <v>Europe</v>
      </c>
      <c r="G2802" s="4">
        <v>36</v>
      </c>
      <c r="H2802" s="4">
        <v>7462400.7402975</v>
      </c>
    </row>
    <row r="2803" spans="2:8" x14ac:dyDescent="0.2">
      <c r="B2803" s="3" t="s">
        <v>160</v>
      </c>
      <c r="C2803" s="3" t="s">
        <v>53</v>
      </c>
      <c r="D2803" s="3" t="str">
        <f>VLOOKUP(C2803,Countries!$B$3:$C$140,2,FALSE)</f>
        <v>Europe</v>
      </c>
      <c r="E2803" s="3" t="s">
        <v>64</v>
      </c>
      <c r="F2803" s="3" t="str">
        <f>VLOOKUP(E2803,Countries!$B$3:$C$140,2,FALSE)</f>
        <v>Africa</v>
      </c>
      <c r="G2803" s="4">
        <v>2</v>
      </c>
      <c r="H2803" s="4">
        <v>1157817.49828875</v>
      </c>
    </row>
    <row r="2804" spans="2:8" x14ac:dyDescent="0.2">
      <c r="B2804" s="3" t="s">
        <v>160</v>
      </c>
      <c r="C2804" s="3" t="s">
        <v>53</v>
      </c>
      <c r="D2804" s="3" t="str">
        <f>VLOOKUP(C2804,Countries!$B$3:$C$140,2,FALSE)</f>
        <v>Europe</v>
      </c>
      <c r="E2804" s="3" t="s">
        <v>15</v>
      </c>
      <c r="F2804" s="3" t="str">
        <f>VLOOKUP(E2804,Countries!$B$3:$C$140,2,FALSE)</f>
        <v>Europe</v>
      </c>
      <c r="G2804" s="4">
        <v>6</v>
      </c>
      <c r="H2804" s="4">
        <v>282508.166157</v>
      </c>
    </row>
    <row r="2805" spans="2:8" x14ac:dyDescent="0.2">
      <c r="B2805" s="3" t="s">
        <v>160</v>
      </c>
      <c r="C2805" s="3" t="s">
        <v>53</v>
      </c>
      <c r="D2805" s="3" t="str">
        <f>VLOOKUP(C2805,Countries!$B$3:$C$140,2,FALSE)</f>
        <v>Europe</v>
      </c>
      <c r="E2805" s="3" t="s">
        <v>75</v>
      </c>
      <c r="F2805" s="3" t="str">
        <f>VLOOKUP(E2805,Countries!$B$3:$C$140,2,FALSE)</f>
        <v>Europe</v>
      </c>
      <c r="G2805" s="4">
        <v>8</v>
      </c>
      <c r="H2805" s="4">
        <v>1709710.7313975</v>
      </c>
    </row>
    <row r="2806" spans="2:8" x14ac:dyDescent="0.2">
      <c r="B2806" s="3" t="s">
        <v>160</v>
      </c>
      <c r="C2806" s="3" t="s">
        <v>53</v>
      </c>
      <c r="D2806" s="3" t="str">
        <f>VLOOKUP(C2806,Countries!$B$3:$C$140,2,FALSE)</f>
        <v>Europe</v>
      </c>
      <c r="E2806" s="3" t="s">
        <v>51</v>
      </c>
      <c r="F2806" s="3" t="str">
        <f>VLOOKUP(E2806,Countries!$B$3:$C$140,2,FALSE)</f>
        <v>Asia</v>
      </c>
      <c r="G2806" s="4">
        <v>4</v>
      </c>
      <c r="H2806" s="4">
        <v>44458.713691221601</v>
      </c>
    </row>
    <row r="2807" spans="2:8" x14ac:dyDescent="0.2">
      <c r="B2807" s="3" t="s">
        <v>160</v>
      </c>
      <c r="C2807" s="3" t="s">
        <v>53</v>
      </c>
      <c r="D2807" s="3" t="str">
        <f>VLOOKUP(C2807,Countries!$B$3:$C$140,2,FALSE)</f>
        <v>Europe</v>
      </c>
      <c r="E2807" s="3" t="s">
        <v>17</v>
      </c>
      <c r="F2807" s="3" t="str">
        <f>VLOOKUP(E2807,Countries!$B$3:$C$140,2,FALSE)</f>
        <v>Europe</v>
      </c>
      <c r="G2807" s="4">
        <v>8</v>
      </c>
      <c r="H2807" s="4">
        <v>26232901.143150002</v>
      </c>
    </row>
    <row r="2808" spans="2:8" x14ac:dyDescent="0.2">
      <c r="B2808" s="3" t="s">
        <v>160</v>
      </c>
      <c r="C2808" s="3" t="s">
        <v>53</v>
      </c>
      <c r="D2808" s="3" t="str">
        <f>VLOOKUP(C2808,Countries!$B$3:$C$140,2,FALSE)</f>
        <v>Europe</v>
      </c>
      <c r="E2808" s="3" t="s">
        <v>77</v>
      </c>
      <c r="F2808" s="3" t="str">
        <f>VLOOKUP(E2808,Countries!$B$3:$C$140,2,FALSE)</f>
        <v>Europe</v>
      </c>
      <c r="G2808" s="4">
        <v>2</v>
      </c>
      <c r="H2808" s="4">
        <v>390254.46182999999</v>
      </c>
    </row>
    <row r="2809" spans="2:8" x14ac:dyDescent="0.2">
      <c r="B2809" s="3" t="s">
        <v>160</v>
      </c>
      <c r="C2809" s="3" t="s">
        <v>53</v>
      </c>
      <c r="D2809" s="3" t="str">
        <f>VLOOKUP(C2809,Countries!$B$3:$C$140,2,FALSE)</f>
        <v>Europe</v>
      </c>
      <c r="E2809" s="3" t="s">
        <v>44</v>
      </c>
      <c r="F2809" s="3" t="str">
        <f>VLOOKUP(E2809,Countries!$B$3:$C$140,2,FALSE)</f>
        <v>Europe</v>
      </c>
      <c r="G2809" s="4">
        <v>6</v>
      </c>
      <c r="H2809" s="4">
        <v>10214501.336955</v>
      </c>
    </row>
    <row r="2810" spans="2:8" x14ac:dyDescent="0.2">
      <c r="B2810" s="3" t="s">
        <v>160</v>
      </c>
      <c r="C2810" s="3" t="s">
        <v>53</v>
      </c>
      <c r="D2810" s="3" t="str">
        <f>VLOOKUP(C2810,Countries!$B$3:$C$140,2,FALSE)</f>
        <v>Europe</v>
      </c>
      <c r="E2810" s="3" t="s">
        <v>54</v>
      </c>
      <c r="F2810" s="3" t="str">
        <f>VLOOKUP(E2810,Countries!$B$3:$C$140,2,FALSE)</f>
        <v>Europe</v>
      </c>
      <c r="G2810" s="4">
        <v>10</v>
      </c>
      <c r="H2810" s="4">
        <v>1412540.830785</v>
      </c>
    </row>
    <row r="2811" spans="2:8" x14ac:dyDescent="0.2">
      <c r="B2811" s="3" t="s">
        <v>160</v>
      </c>
      <c r="C2811" s="3" t="s">
        <v>53</v>
      </c>
      <c r="D2811" s="3" t="str">
        <f>VLOOKUP(C2811,Countries!$B$3:$C$140,2,FALSE)</f>
        <v>Europe</v>
      </c>
      <c r="E2811" s="3" t="s">
        <v>55</v>
      </c>
      <c r="F2811" s="3" t="str">
        <f>VLOOKUP(E2811,Countries!$B$3:$C$140,2,FALSE)</f>
        <v>Europe</v>
      </c>
      <c r="G2811" s="4">
        <v>4</v>
      </c>
      <c r="H2811" s="4">
        <v>0</v>
      </c>
    </row>
    <row r="2812" spans="2:8" x14ac:dyDescent="0.2">
      <c r="B2812" s="3" t="s">
        <v>160</v>
      </c>
      <c r="C2812" s="3" t="s">
        <v>53</v>
      </c>
      <c r="D2812" s="3" t="str">
        <f>VLOOKUP(C2812,Countries!$B$3:$C$140,2,FALSE)</f>
        <v>Europe</v>
      </c>
      <c r="E2812" s="3" t="s">
        <v>28</v>
      </c>
      <c r="F2812" s="3" t="str">
        <f>VLOOKUP(E2812,Countries!$B$3:$C$140,2,FALSE)</f>
        <v>Europe</v>
      </c>
      <c r="G2812" s="4">
        <v>4</v>
      </c>
      <c r="H2812" s="4">
        <v>4842997.5377030997</v>
      </c>
    </row>
    <row r="2813" spans="2:8" x14ac:dyDescent="0.2">
      <c r="B2813" s="3" t="s">
        <v>160</v>
      </c>
      <c r="C2813" s="3" t="s">
        <v>53</v>
      </c>
      <c r="D2813" s="3" t="str">
        <f>VLOOKUP(C2813,Countries!$B$3:$C$140,2,FALSE)</f>
        <v>Europe</v>
      </c>
      <c r="E2813" s="3" t="s">
        <v>29</v>
      </c>
      <c r="F2813" s="3" t="str">
        <f>VLOOKUP(E2813,Countries!$B$3:$C$140,2,FALSE)</f>
        <v>Europe</v>
      </c>
      <c r="G2813" s="4">
        <v>6</v>
      </c>
      <c r="H2813" s="4">
        <v>0</v>
      </c>
    </row>
    <row r="2814" spans="2:8" x14ac:dyDescent="0.2">
      <c r="B2814" s="3" t="s">
        <v>160</v>
      </c>
      <c r="C2814" s="3" t="s">
        <v>53</v>
      </c>
      <c r="D2814" s="3" t="str">
        <f>VLOOKUP(C2814,Countries!$B$3:$C$140,2,FALSE)</f>
        <v>Europe</v>
      </c>
      <c r="E2814" s="3" t="s">
        <v>31</v>
      </c>
      <c r="F2814" s="3" t="str">
        <f>VLOOKUP(E2814,Countries!$B$3:$C$140,2,FALSE)</f>
        <v>Europe</v>
      </c>
      <c r="G2814" s="4">
        <v>10</v>
      </c>
      <c r="H2814" s="4">
        <v>10590020.3999424</v>
      </c>
    </row>
    <row r="2815" spans="2:8" x14ac:dyDescent="0.2">
      <c r="B2815" s="3" t="s">
        <v>160</v>
      </c>
      <c r="C2815" s="3" t="s">
        <v>53</v>
      </c>
      <c r="D2815" s="3" t="str">
        <f>VLOOKUP(C2815,Countries!$B$3:$C$140,2,FALSE)</f>
        <v>Europe</v>
      </c>
      <c r="E2815" s="3" t="s">
        <v>57</v>
      </c>
      <c r="F2815" s="3" t="str">
        <f>VLOOKUP(E2815,Countries!$B$3:$C$140,2,FALSE)</f>
        <v>Europe/Asia</v>
      </c>
      <c r="G2815" s="4">
        <v>4</v>
      </c>
      <c r="H2815" s="4">
        <v>0</v>
      </c>
    </row>
    <row r="2816" spans="2:8" x14ac:dyDescent="0.2">
      <c r="B2816" s="3" t="s">
        <v>160</v>
      </c>
      <c r="C2816" s="3" t="s">
        <v>53</v>
      </c>
      <c r="D2816" s="3" t="str">
        <f>VLOOKUP(C2816,Countries!$B$3:$C$140,2,FALSE)</f>
        <v>Europe</v>
      </c>
      <c r="E2816" s="3" t="s">
        <v>33</v>
      </c>
      <c r="F2816" s="3" t="str">
        <f>VLOOKUP(E2816,Countries!$B$3:$C$140,2,FALSE)</f>
        <v>North America</v>
      </c>
      <c r="G2816" s="4">
        <v>4</v>
      </c>
      <c r="H2816" s="4">
        <v>4125000</v>
      </c>
    </row>
    <row r="2817" spans="2:8" x14ac:dyDescent="0.2">
      <c r="B2817" s="3" t="s">
        <v>160</v>
      </c>
      <c r="C2817" s="3" t="s">
        <v>53</v>
      </c>
      <c r="D2817" s="3" t="str">
        <f>VLOOKUP(C2817,Countries!$B$3:$C$140,2,FALSE)</f>
        <v>Europe</v>
      </c>
      <c r="E2817" s="3" t="s">
        <v>86</v>
      </c>
      <c r="F2817" s="3" t="str">
        <f>VLOOKUP(E2817,Countries!$B$3:$C$140,2,FALSE)</f>
        <v>Europe</v>
      </c>
      <c r="G2817" s="4">
        <v>2</v>
      </c>
      <c r="H2817" s="4">
        <v>0</v>
      </c>
    </row>
    <row r="2818" spans="2:8" x14ac:dyDescent="0.2">
      <c r="B2818" s="3" t="s">
        <v>160</v>
      </c>
      <c r="C2818" s="3" t="s">
        <v>78</v>
      </c>
      <c r="D2818" s="3" t="str">
        <f>VLOOKUP(C2818,Countries!$B$3:$C$140,2,FALSE)</f>
        <v>Europe</v>
      </c>
      <c r="E2818" s="3" t="s">
        <v>48</v>
      </c>
      <c r="F2818" s="3" t="str">
        <f>VLOOKUP(E2818,Countries!$B$3:$C$140,2,FALSE)</f>
        <v>Oceania</v>
      </c>
      <c r="G2818" s="4">
        <v>2</v>
      </c>
      <c r="H2818" s="4">
        <v>0</v>
      </c>
    </row>
    <row r="2819" spans="2:8" x14ac:dyDescent="0.2">
      <c r="B2819" s="3" t="s">
        <v>160</v>
      </c>
      <c r="C2819" s="3" t="s">
        <v>78</v>
      </c>
      <c r="D2819" s="3" t="str">
        <f>VLOOKUP(C2819,Countries!$B$3:$C$140,2,FALSE)</f>
        <v>Europe</v>
      </c>
      <c r="E2819" s="3" t="s">
        <v>50</v>
      </c>
      <c r="F2819" s="3" t="str">
        <f>VLOOKUP(E2819,Countries!$B$3:$C$140,2,FALSE)</f>
        <v>Europe</v>
      </c>
      <c r="G2819" s="4">
        <v>10</v>
      </c>
      <c r="H2819" s="4">
        <v>0</v>
      </c>
    </row>
    <row r="2820" spans="2:8" x14ac:dyDescent="0.2">
      <c r="B2820" s="3" t="s">
        <v>160</v>
      </c>
      <c r="C2820" s="3" t="s">
        <v>78</v>
      </c>
      <c r="D2820" s="3" t="str">
        <f>VLOOKUP(C2820,Countries!$B$3:$C$140,2,FALSE)</f>
        <v>Europe</v>
      </c>
      <c r="E2820" s="3" t="s">
        <v>101</v>
      </c>
      <c r="F2820" s="3" t="str">
        <f>VLOOKUP(E2820,Countries!$B$3:$C$140,2,FALSE)</f>
        <v>Europe</v>
      </c>
      <c r="G2820" s="4">
        <v>16</v>
      </c>
      <c r="H2820" s="4">
        <v>0</v>
      </c>
    </row>
    <row r="2821" spans="2:8" x14ac:dyDescent="0.2">
      <c r="B2821" s="3" t="s">
        <v>160</v>
      </c>
      <c r="C2821" s="3" t="s">
        <v>78</v>
      </c>
      <c r="D2821" s="3" t="str">
        <f>VLOOKUP(C2821,Countries!$B$3:$C$140,2,FALSE)</f>
        <v>Europe</v>
      </c>
      <c r="E2821" s="3" t="s">
        <v>55</v>
      </c>
      <c r="F2821" s="3" t="str">
        <f>VLOOKUP(E2821,Countries!$B$3:$C$140,2,FALSE)</f>
        <v>Europe</v>
      </c>
      <c r="G2821" s="4">
        <v>6</v>
      </c>
      <c r="H2821" s="4">
        <v>0</v>
      </c>
    </row>
    <row r="2822" spans="2:8" x14ac:dyDescent="0.2">
      <c r="B2822" s="3" t="s">
        <v>160</v>
      </c>
      <c r="C2822" s="3" t="s">
        <v>78</v>
      </c>
      <c r="D2822" s="3" t="str">
        <f>VLOOKUP(C2822,Countries!$B$3:$C$140,2,FALSE)</f>
        <v>Europe</v>
      </c>
      <c r="E2822" s="3" t="s">
        <v>90</v>
      </c>
      <c r="F2822" s="3" t="str">
        <f>VLOOKUP(E2822,Countries!$B$3:$C$140,2,FALSE)</f>
        <v>Asia</v>
      </c>
      <c r="G2822" s="4">
        <v>2</v>
      </c>
      <c r="H2822" s="4">
        <v>0</v>
      </c>
    </row>
    <row r="2823" spans="2:8" x14ac:dyDescent="0.2">
      <c r="B2823" s="3" t="s">
        <v>160</v>
      </c>
      <c r="C2823" s="3" t="s">
        <v>44</v>
      </c>
      <c r="D2823" s="3" t="str">
        <f>VLOOKUP(C2823,Countries!$B$3:$C$140,2,FALSE)</f>
        <v>Europe</v>
      </c>
      <c r="E2823" s="3" t="s">
        <v>3</v>
      </c>
      <c r="F2823" s="3" t="str">
        <f>VLOOKUP(E2823,Countries!$B$3:$C$140,2,FALSE)</f>
        <v>Europe</v>
      </c>
      <c r="G2823" s="4">
        <v>2</v>
      </c>
      <c r="H2823" s="4">
        <v>386685.01955999999</v>
      </c>
    </row>
    <row r="2824" spans="2:8" x14ac:dyDescent="0.2">
      <c r="B2824" s="3" t="s">
        <v>160</v>
      </c>
      <c r="C2824" s="3" t="s">
        <v>44</v>
      </c>
      <c r="D2824" s="3" t="str">
        <f>VLOOKUP(C2824,Countries!$B$3:$C$140,2,FALSE)</f>
        <v>Europe</v>
      </c>
      <c r="E2824" s="3" t="s">
        <v>35</v>
      </c>
      <c r="F2824" s="3" t="str">
        <f>VLOOKUP(E2824,Countries!$B$3:$C$140,2,FALSE)</f>
        <v>Europe</v>
      </c>
      <c r="G2824" s="4">
        <v>6</v>
      </c>
      <c r="H2824" s="4">
        <v>0</v>
      </c>
    </row>
    <row r="2825" spans="2:8" x14ac:dyDescent="0.2">
      <c r="B2825" s="3" t="s">
        <v>160</v>
      </c>
      <c r="C2825" s="3" t="s">
        <v>44</v>
      </c>
      <c r="D2825" s="3" t="str">
        <f>VLOOKUP(C2825,Countries!$B$3:$C$140,2,FALSE)</f>
        <v>Europe</v>
      </c>
      <c r="E2825" s="3" t="s">
        <v>6</v>
      </c>
      <c r="F2825" s="3" t="str">
        <f>VLOOKUP(E2825,Countries!$B$3:$C$140,2,FALSE)</f>
        <v>Europe</v>
      </c>
      <c r="G2825" s="4">
        <v>2</v>
      </c>
      <c r="H2825" s="4">
        <v>0</v>
      </c>
    </row>
    <row r="2826" spans="2:8" x14ac:dyDescent="0.2">
      <c r="B2826" s="3" t="s">
        <v>160</v>
      </c>
      <c r="C2826" s="3" t="s">
        <v>44</v>
      </c>
      <c r="D2826" s="3" t="str">
        <f>VLOOKUP(C2826,Countries!$B$3:$C$140,2,FALSE)</f>
        <v>Europe</v>
      </c>
      <c r="E2826" s="3" t="s">
        <v>7</v>
      </c>
      <c r="F2826" s="3" t="str">
        <f>VLOOKUP(E2826,Countries!$B$3:$C$140,2,FALSE)</f>
        <v>South America</v>
      </c>
      <c r="G2826" s="4">
        <v>2</v>
      </c>
      <c r="H2826" s="4">
        <v>0</v>
      </c>
    </row>
    <row r="2827" spans="2:8" x14ac:dyDescent="0.2">
      <c r="B2827" s="3" t="s">
        <v>160</v>
      </c>
      <c r="C2827" s="3" t="s">
        <v>44</v>
      </c>
      <c r="D2827" s="3" t="str">
        <f>VLOOKUP(C2827,Countries!$B$3:$C$140,2,FALSE)</f>
        <v>Europe</v>
      </c>
      <c r="E2827" s="3" t="s">
        <v>8</v>
      </c>
      <c r="F2827" s="3" t="str">
        <f>VLOOKUP(E2827,Countries!$B$3:$C$140,2,FALSE)</f>
        <v>North America</v>
      </c>
      <c r="G2827" s="4">
        <v>2</v>
      </c>
      <c r="H2827" s="4">
        <v>0</v>
      </c>
    </row>
    <row r="2828" spans="2:8" x14ac:dyDescent="0.2">
      <c r="B2828" s="3" t="s">
        <v>160</v>
      </c>
      <c r="C2828" s="3" t="s">
        <v>44</v>
      </c>
      <c r="D2828" s="3" t="str">
        <f>VLOOKUP(C2828,Countries!$B$3:$C$140,2,FALSE)</f>
        <v>Europe</v>
      </c>
      <c r="E2828" s="3" t="s">
        <v>37</v>
      </c>
      <c r="F2828" s="3" t="str">
        <f>VLOOKUP(E2828,Countries!$B$3:$C$140,2,FALSE)</f>
        <v>Africa</v>
      </c>
      <c r="G2828" s="4">
        <v>6</v>
      </c>
      <c r="H2828" s="4">
        <v>1102954.297335</v>
      </c>
    </row>
    <row r="2829" spans="2:8" x14ac:dyDescent="0.2">
      <c r="B2829" s="3" t="s">
        <v>160</v>
      </c>
      <c r="C2829" s="3" t="s">
        <v>44</v>
      </c>
      <c r="D2829" s="3" t="str">
        <f>VLOOKUP(C2829,Countries!$B$3:$C$140,2,FALSE)</f>
        <v>Europe</v>
      </c>
      <c r="E2829" s="3" t="s">
        <v>61</v>
      </c>
      <c r="F2829" s="3" t="str">
        <f>VLOOKUP(E2829,Countries!$B$3:$C$140,2,FALSE)</f>
        <v>North America</v>
      </c>
      <c r="G2829" s="4">
        <v>10</v>
      </c>
      <c r="H2829" s="4">
        <v>1500000</v>
      </c>
    </row>
    <row r="2830" spans="2:8" x14ac:dyDescent="0.2">
      <c r="B2830" s="3" t="s">
        <v>160</v>
      </c>
      <c r="C2830" s="3" t="s">
        <v>44</v>
      </c>
      <c r="D2830" s="3" t="str">
        <f>VLOOKUP(C2830,Countries!$B$3:$C$140,2,FALSE)</f>
        <v>Europe</v>
      </c>
      <c r="E2830" s="3" t="s">
        <v>10</v>
      </c>
      <c r="F2830" s="3" t="str">
        <f>VLOOKUP(E2830,Countries!$B$3:$C$140,2,FALSE)</f>
        <v>Europe</v>
      </c>
      <c r="G2830" s="4">
        <v>40</v>
      </c>
      <c r="H2830" s="4">
        <v>5732620.4172429005</v>
      </c>
    </row>
    <row r="2831" spans="2:8" x14ac:dyDescent="0.2">
      <c r="B2831" s="3" t="s">
        <v>160</v>
      </c>
      <c r="C2831" s="3" t="s">
        <v>44</v>
      </c>
      <c r="D2831" s="3" t="str">
        <f>VLOOKUP(C2831,Countries!$B$3:$C$140,2,FALSE)</f>
        <v>Europe</v>
      </c>
      <c r="E2831" s="3" t="s">
        <v>50</v>
      </c>
      <c r="F2831" s="3" t="str">
        <f>VLOOKUP(E2831,Countries!$B$3:$C$140,2,FALSE)</f>
        <v>Europe</v>
      </c>
      <c r="G2831" s="4">
        <v>26</v>
      </c>
      <c r="H2831" s="4">
        <v>359135.22468150605</v>
      </c>
    </row>
    <row r="2832" spans="2:8" x14ac:dyDescent="0.2">
      <c r="B2832" s="3" t="s">
        <v>160</v>
      </c>
      <c r="C2832" s="3" t="s">
        <v>44</v>
      </c>
      <c r="D2832" s="3" t="str">
        <f>VLOOKUP(C2832,Countries!$B$3:$C$140,2,FALSE)</f>
        <v>Europe</v>
      </c>
      <c r="E2832" s="3" t="s">
        <v>11</v>
      </c>
      <c r="F2832" s="3" t="str">
        <f>VLOOKUP(E2832,Countries!$B$3:$C$140,2,FALSE)</f>
        <v>Europe</v>
      </c>
      <c r="G2832" s="4">
        <v>14</v>
      </c>
      <c r="H2832" s="4">
        <v>2421498.5670600003</v>
      </c>
    </row>
    <row r="2833" spans="2:8" x14ac:dyDescent="0.2">
      <c r="B2833" s="3" t="s">
        <v>160</v>
      </c>
      <c r="C2833" s="3" t="s">
        <v>44</v>
      </c>
      <c r="D2833" s="3" t="str">
        <f>VLOOKUP(C2833,Countries!$B$3:$C$140,2,FALSE)</f>
        <v>Europe</v>
      </c>
      <c r="E2833" s="3" t="s">
        <v>73</v>
      </c>
      <c r="F2833" s="3" t="str">
        <f>VLOOKUP(E2833,Countries!$B$3:$C$140,2,FALSE)</f>
        <v>Europe</v>
      </c>
      <c r="G2833" s="4">
        <v>2</v>
      </c>
      <c r="H2833" s="4">
        <v>2017915.4725499998</v>
      </c>
    </row>
    <row r="2834" spans="2:8" x14ac:dyDescent="0.2">
      <c r="B2834" s="3" t="s">
        <v>160</v>
      </c>
      <c r="C2834" s="3" t="s">
        <v>44</v>
      </c>
      <c r="D2834" s="3" t="str">
        <f>VLOOKUP(C2834,Countries!$B$3:$C$140,2,FALSE)</f>
        <v>Europe</v>
      </c>
      <c r="E2834" s="3" t="s">
        <v>12</v>
      </c>
      <c r="F2834" s="3" t="str">
        <f>VLOOKUP(E2834,Countries!$B$3:$C$140,2,FALSE)</f>
        <v>Europe</v>
      </c>
      <c r="G2834" s="4">
        <v>8</v>
      </c>
      <c r="H2834" s="4">
        <v>0</v>
      </c>
    </row>
    <row r="2835" spans="2:8" x14ac:dyDescent="0.2">
      <c r="B2835" s="3" t="s">
        <v>160</v>
      </c>
      <c r="C2835" s="3" t="s">
        <v>44</v>
      </c>
      <c r="D2835" s="3" t="str">
        <f>VLOOKUP(C2835,Countries!$B$3:$C$140,2,FALSE)</f>
        <v>Europe</v>
      </c>
      <c r="E2835" s="3" t="s">
        <v>97</v>
      </c>
      <c r="F2835" s="3" t="str">
        <f>VLOOKUP(E2835,Countries!$B$3:$C$140,2,FALSE)</f>
        <v>Europe</v>
      </c>
      <c r="G2835" s="4">
        <v>4</v>
      </c>
      <c r="H2835" s="4">
        <v>0</v>
      </c>
    </row>
    <row r="2836" spans="2:8" x14ac:dyDescent="0.2">
      <c r="B2836" s="3" t="s">
        <v>160</v>
      </c>
      <c r="C2836" s="3" t="s">
        <v>44</v>
      </c>
      <c r="D2836" s="3" t="str">
        <f>VLOOKUP(C2836,Countries!$B$3:$C$140,2,FALSE)</f>
        <v>Europe</v>
      </c>
      <c r="E2836" s="3" t="s">
        <v>13</v>
      </c>
      <c r="F2836" s="3" t="str">
        <f>VLOOKUP(E2836,Countries!$B$3:$C$140,2,FALSE)</f>
        <v>Europe</v>
      </c>
      <c r="G2836" s="4">
        <v>8</v>
      </c>
      <c r="H2836" s="4">
        <v>3619502.6964653702</v>
      </c>
    </row>
    <row r="2837" spans="2:8" x14ac:dyDescent="0.2">
      <c r="B2837" s="3" t="s">
        <v>160</v>
      </c>
      <c r="C2837" s="3" t="s">
        <v>44</v>
      </c>
      <c r="D2837" s="3" t="str">
        <f>VLOOKUP(C2837,Countries!$B$3:$C$140,2,FALSE)</f>
        <v>Europe</v>
      </c>
      <c r="E2837" s="3" t="s">
        <v>14</v>
      </c>
      <c r="F2837" s="3" t="str">
        <f>VLOOKUP(E2837,Countries!$B$3:$C$140,2,FALSE)</f>
        <v>Europe</v>
      </c>
      <c r="G2837" s="4">
        <v>2</v>
      </c>
      <c r="H2837" s="4">
        <v>0</v>
      </c>
    </row>
    <row r="2838" spans="2:8" x14ac:dyDescent="0.2">
      <c r="B2838" s="3" t="s">
        <v>160</v>
      </c>
      <c r="C2838" s="3" t="s">
        <v>44</v>
      </c>
      <c r="D2838" s="3" t="str">
        <f>VLOOKUP(C2838,Countries!$B$3:$C$140,2,FALSE)</f>
        <v>Europe</v>
      </c>
      <c r="E2838" s="3" t="s">
        <v>15</v>
      </c>
      <c r="F2838" s="3" t="str">
        <f>VLOOKUP(E2838,Countries!$B$3:$C$140,2,FALSE)</f>
        <v>Europe</v>
      </c>
      <c r="G2838" s="4">
        <v>2</v>
      </c>
      <c r="H2838" s="4">
        <v>0</v>
      </c>
    </row>
    <row r="2839" spans="2:8" x14ac:dyDescent="0.2">
      <c r="B2839" s="3" t="s">
        <v>160</v>
      </c>
      <c r="C2839" s="3" t="s">
        <v>44</v>
      </c>
      <c r="D2839" s="3" t="str">
        <f>VLOOKUP(C2839,Countries!$B$3:$C$140,2,FALSE)</f>
        <v>Europe</v>
      </c>
      <c r="E2839" s="3" t="s">
        <v>101</v>
      </c>
      <c r="F2839" s="3" t="str">
        <f>VLOOKUP(E2839,Countries!$B$3:$C$140,2,FALSE)</f>
        <v>Europe</v>
      </c>
      <c r="G2839" s="4">
        <v>2</v>
      </c>
      <c r="H2839" s="4">
        <v>0</v>
      </c>
    </row>
    <row r="2840" spans="2:8" x14ac:dyDescent="0.2">
      <c r="B2840" s="3" t="s">
        <v>160</v>
      </c>
      <c r="C2840" s="3" t="s">
        <v>44</v>
      </c>
      <c r="D2840" s="3" t="str">
        <f>VLOOKUP(C2840,Countries!$B$3:$C$140,2,FALSE)</f>
        <v>Europe</v>
      </c>
      <c r="E2840" s="3" t="s">
        <v>75</v>
      </c>
      <c r="F2840" s="3" t="str">
        <f>VLOOKUP(E2840,Countries!$B$3:$C$140,2,FALSE)</f>
        <v>Europe</v>
      </c>
      <c r="G2840" s="4">
        <v>16</v>
      </c>
      <c r="H2840" s="4">
        <v>1164971.7883913999</v>
      </c>
    </row>
    <row r="2841" spans="2:8" x14ac:dyDescent="0.2">
      <c r="B2841" s="3" t="s">
        <v>160</v>
      </c>
      <c r="C2841" s="3" t="s">
        <v>44</v>
      </c>
      <c r="D2841" s="3" t="str">
        <f>VLOOKUP(C2841,Countries!$B$3:$C$140,2,FALSE)</f>
        <v>Europe</v>
      </c>
      <c r="E2841" s="3" t="s">
        <v>17</v>
      </c>
      <c r="F2841" s="3" t="str">
        <f>VLOOKUP(E2841,Countries!$B$3:$C$140,2,FALSE)</f>
        <v>Europe</v>
      </c>
      <c r="G2841" s="4">
        <v>2</v>
      </c>
      <c r="H2841" s="4">
        <v>0</v>
      </c>
    </row>
    <row r="2842" spans="2:8" x14ac:dyDescent="0.2">
      <c r="B2842" s="3" t="s">
        <v>160</v>
      </c>
      <c r="C2842" s="3" t="s">
        <v>44</v>
      </c>
      <c r="D2842" s="3" t="str">
        <f>VLOOKUP(C2842,Countries!$B$3:$C$140,2,FALSE)</f>
        <v>Europe</v>
      </c>
      <c r="E2842" s="3" t="s">
        <v>102</v>
      </c>
      <c r="F2842" s="3" t="str">
        <f>VLOOKUP(E2842,Countries!$B$3:$C$140,2,FALSE)</f>
        <v>North America</v>
      </c>
      <c r="G2842" s="4">
        <v>4</v>
      </c>
      <c r="H2842" s="4">
        <v>0</v>
      </c>
    </row>
    <row r="2843" spans="2:8" x14ac:dyDescent="0.2">
      <c r="B2843" s="3" t="s">
        <v>160</v>
      </c>
      <c r="C2843" s="3" t="s">
        <v>44</v>
      </c>
      <c r="D2843" s="3" t="str">
        <f>VLOOKUP(C2843,Countries!$B$3:$C$140,2,FALSE)</f>
        <v>Europe</v>
      </c>
      <c r="E2843" s="3" t="s">
        <v>92</v>
      </c>
      <c r="F2843" s="3" t="str">
        <f>VLOOKUP(E2843,Countries!$B$3:$C$140,2,FALSE)</f>
        <v>Asia</v>
      </c>
      <c r="G2843" s="4">
        <v>2</v>
      </c>
      <c r="H2843" s="4">
        <v>0</v>
      </c>
    </row>
    <row r="2844" spans="2:8" x14ac:dyDescent="0.2">
      <c r="B2844" s="3" t="s">
        <v>160</v>
      </c>
      <c r="C2844" s="3" t="s">
        <v>44</v>
      </c>
      <c r="D2844" s="3" t="str">
        <f>VLOOKUP(C2844,Countries!$B$3:$C$140,2,FALSE)</f>
        <v>Europe</v>
      </c>
      <c r="E2844" s="3" t="s">
        <v>40</v>
      </c>
      <c r="F2844" s="3" t="str">
        <f>VLOOKUP(E2844,Countries!$B$3:$C$140,2,FALSE)</f>
        <v>Asia</v>
      </c>
      <c r="G2844" s="4">
        <v>4</v>
      </c>
      <c r="H2844" s="4">
        <v>0</v>
      </c>
    </row>
    <row r="2845" spans="2:8" x14ac:dyDescent="0.2">
      <c r="B2845" s="3" t="s">
        <v>160</v>
      </c>
      <c r="C2845" s="3" t="s">
        <v>44</v>
      </c>
      <c r="D2845" s="3" t="str">
        <f>VLOOKUP(C2845,Countries!$B$3:$C$140,2,FALSE)</f>
        <v>Europe</v>
      </c>
      <c r="E2845" s="3" t="s">
        <v>42</v>
      </c>
      <c r="F2845" s="3" t="str">
        <f>VLOOKUP(E2845,Countries!$B$3:$C$140,2,FALSE)</f>
        <v>Africa</v>
      </c>
      <c r="G2845" s="4">
        <v>2</v>
      </c>
      <c r="H2845" s="4">
        <v>4035830.9450999997</v>
      </c>
    </row>
    <row r="2846" spans="2:8" x14ac:dyDescent="0.2">
      <c r="B2846" s="3" t="s">
        <v>160</v>
      </c>
      <c r="C2846" s="3" t="s">
        <v>44</v>
      </c>
      <c r="D2846" s="3" t="str">
        <f>VLOOKUP(C2846,Countries!$B$3:$C$140,2,FALSE)</f>
        <v>Europe</v>
      </c>
      <c r="E2846" s="3" t="s">
        <v>43</v>
      </c>
      <c r="F2846" s="3" t="str">
        <f>VLOOKUP(E2846,Countries!$B$3:$C$140,2,FALSE)</f>
        <v>Europe</v>
      </c>
      <c r="G2846" s="4">
        <v>4</v>
      </c>
      <c r="H2846" s="4">
        <v>0</v>
      </c>
    </row>
    <row r="2847" spans="2:8" x14ac:dyDescent="0.2">
      <c r="B2847" s="3" t="s">
        <v>160</v>
      </c>
      <c r="C2847" s="3" t="s">
        <v>44</v>
      </c>
      <c r="D2847" s="3" t="str">
        <f>VLOOKUP(C2847,Countries!$B$3:$C$140,2,FALSE)</f>
        <v>Europe</v>
      </c>
      <c r="E2847" s="3" t="s">
        <v>120</v>
      </c>
      <c r="F2847" s="3" t="str">
        <f>VLOOKUP(E2847,Countries!$B$3:$C$140,2,FALSE)</f>
        <v>Africa</v>
      </c>
      <c r="G2847" s="4">
        <v>2</v>
      </c>
      <c r="H2847" s="4">
        <v>0</v>
      </c>
    </row>
    <row r="2848" spans="2:8" x14ac:dyDescent="0.2">
      <c r="B2848" s="3" t="s">
        <v>160</v>
      </c>
      <c r="C2848" s="3" t="s">
        <v>44</v>
      </c>
      <c r="D2848" s="3" t="str">
        <f>VLOOKUP(C2848,Countries!$B$3:$C$140,2,FALSE)</f>
        <v>Europe</v>
      </c>
      <c r="E2848" s="3" t="s">
        <v>53</v>
      </c>
      <c r="F2848" s="3" t="str">
        <f>VLOOKUP(E2848,Countries!$B$3:$C$140,2,FALSE)</f>
        <v>Europe</v>
      </c>
      <c r="G2848" s="4">
        <v>2</v>
      </c>
      <c r="H2848" s="4">
        <v>0</v>
      </c>
    </row>
    <row r="2849" spans="2:8" x14ac:dyDescent="0.2">
      <c r="B2849" s="3" t="s">
        <v>160</v>
      </c>
      <c r="C2849" s="3" t="s">
        <v>44</v>
      </c>
      <c r="D2849" s="3" t="str">
        <f>VLOOKUP(C2849,Countries!$B$3:$C$140,2,FALSE)</f>
        <v>Europe</v>
      </c>
      <c r="E2849" s="3" t="s">
        <v>24</v>
      </c>
      <c r="F2849" s="3" t="str">
        <f>VLOOKUP(E2849,Countries!$B$3:$C$140,2,FALSE)</f>
        <v>Africa</v>
      </c>
      <c r="G2849" s="4">
        <v>2</v>
      </c>
      <c r="H2849" s="4">
        <v>1050000</v>
      </c>
    </row>
    <row r="2850" spans="2:8" x14ac:dyDescent="0.2">
      <c r="B2850" s="3" t="s">
        <v>160</v>
      </c>
      <c r="C2850" s="3" t="s">
        <v>44</v>
      </c>
      <c r="D2850" s="3" t="str">
        <f>VLOOKUP(C2850,Countries!$B$3:$C$140,2,FALSE)</f>
        <v>Europe</v>
      </c>
      <c r="E2850" s="3" t="s">
        <v>79</v>
      </c>
      <c r="F2850" s="3" t="str">
        <f>VLOOKUP(E2850,Countries!$B$3:$C$140,2,FALSE)</f>
        <v>South America</v>
      </c>
      <c r="G2850" s="4">
        <v>2</v>
      </c>
      <c r="H2850" s="4">
        <v>0</v>
      </c>
    </row>
    <row r="2851" spans="2:8" x14ac:dyDescent="0.2">
      <c r="B2851" s="3" t="s">
        <v>160</v>
      </c>
      <c r="C2851" s="3" t="s">
        <v>44</v>
      </c>
      <c r="D2851" s="3" t="str">
        <f>VLOOKUP(C2851,Countries!$B$3:$C$140,2,FALSE)</f>
        <v>Europe</v>
      </c>
      <c r="E2851" s="3" t="s">
        <v>54</v>
      </c>
      <c r="F2851" s="3" t="str">
        <f>VLOOKUP(E2851,Countries!$B$3:$C$140,2,FALSE)</f>
        <v>Europe</v>
      </c>
      <c r="G2851" s="4">
        <v>10</v>
      </c>
      <c r="H2851" s="4">
        <v>0</v>
      </c>
    </row>
    <row r="2852" spans="2:8" x14ac:dyDescent="0.2">
      <c r="B2852" s="3" t="s">
        <v>160</v>
      </c>
      <c r="C2852" s="3" t="s">
        <v>44</v>
      </c>
      <c r="D2852" s="3" t="str">
        <f>VLOOKUP(C2852,Countries!$B$3:$C$140,2,FALSE)</f>
        <v>Europe</v>
      </c>
      <c r="E2852" s="3" t="s">
        <v>26</v>
      </c>
      <c r="F2852" s="3" t="str">
        <f>VLOOKUP(E2852,Countries!$B$3:$C$140,2,FALSE)</f>
        <v>Europe</v>
      </c>
      <c r="G2852" s="4">
        <v>4</v>
      </c>
      <c r="H2852" s="4">
        <v>0</v>
      </c>
    </row>
    <row r="2853" spans="2:8" x14ac:dyDescent="0.2">
      <c r="B2853" s="3" t="s">
        <v>160</v>
      </c>
      <c r="C2853" s="3" t="s">
        <v>44</v>
      </c>
      <c r="D2853" s="3" t="str">
        <f>VLOOKUP(C2853,Countries!$B$3:$C$140,2,FALSE)</f>
        <v>Europe</v>
      </c>
      <c r="E2853" s="3" t="s">
        <v>55</v>
      </c>
      <c r="F2853" s="3" t="str">
        <f>VLOOKUP(E2853,Countries!$B$3:$C$140,2,FALSE)</f>
        <v>Europe</v>
      </c>
      <c r="G2853" s="4">
        <v>4</v>
      </c>
      <c r="H2853" s="4">
        <v>0</v>
      </c>
    </row>
    <row r="2854" spans="2:8" x14ac:dyDescent="0.2">
      <c r="B2854" s="3" t="s">
        <v>160</v>
      </c>
      <c r="C2854" s="3" t="s">
        <v>44</v>
      </c>
      <c r="D2854" s="3" t="str">
        <f>VLOOKUP(C2854,Countries!$B$3:$C$140,2,FALSE)</f>
        <v>Europe</v>
      </c>
      <c r="E2854" s="3" t="s">
        <v>47</v>
      </c>
      <c r="F2854" s="3" t="str">
        <f>VLOOKUP(E2854,Countries!$B$3:$C$140,2,FALSE)</f>
        <v>Africa</v>
      </c>
      <c r="G2854" s="4">
        <v>2</v>
      </c>
      <c r="H2854" s="4">
        <v>449582.94737549999</v>
      </c>
    </row>
    <row r="2855" spans="2:8" x14ac:dyDescent="0.2">
      <c r="B2855" s="3" t="s">
        <v>160</v>
      </c>
      <c r="C2855" s="3" t="s">
        <v>44</v>
      </c>
      <c r="D2855" s="3" t="str">
        <f>VLOOKUP(C2855,Countries!$B$3:$C$140,2,FALSE)</f>
        <v>Europe</v>
      </c>
      <c r="E2855" s="3" t="s">
        <v>98</v>
      </c>
      <c r="F2855" s="3" t="str">
        <f>VLOOKUP(E2855,Countries!$B$3:$C$140,2,FALSE)</f>
        <v>North America</v>
      </c>
      <c r="G2855" s="4">
        <v>4</v>
      </c>
      <c r="H2855" s="4">
        <v>210000</v>
      </c>
    </row>
    <row r="2856" spans="2:8" x14ac:dyDescent="0.2">
      <c r="B2856" s="3" t="s">
        <v>160</v>
      </c>
      <c r="C2856" s="3" t="s">
        <v>44</v>
      </c>
      <c r="D2856" s="3" t="str">
        <f>VLOOKUP(C2856,Countries!$B$3:$C$140,2,FALSE)</f>
        <v>Europe</v>
      </c>
      <c r="E2856" s="3" t="s">
        <v>28</v>
      </c>
      <c r="F2856" s="3" t="str">
        <f>VLOOKUP(E2856,Countries!$B$3:$C$140,2,FALSE)</f>
        <v>Europe</v>
      </c>
      <c r="G2856" s="4">
        <v>2</v>
      </c>
      <c r="H2856" s="4">
        <v>0</v>
      </c>
    </row>
    <row r="2857" spans="2:8" x14ac:dyDescent="0.2">
      <c r="B2857" s="3" t="s">
        <v>160</v>
      </c>
      <c r="C2857" s="3" t="s">
        <v>44</v>
      </c>
      <c r="D2857" s="3" t="str">
        <f>VLOOKUP(C2857,Countries!$B$3:$C$140,2,FALSE)</f>
        <v>Europe</v>
      </c>
      <c r="E2857" s="3" t="s">
        <v>29</v>
      </c>
      <c r="F2857" s="3" t="str">
        <f>VLOOKUP(E2857,Countries!$B$3:$C$140,2,FALSE)</f>
        <v>Europe</v>
      </c>
      <c r="G2857" s="4">
        <v>4</v>
      </c>
      <c r="H2857" s="4">
        <v>443941.40396100003</v>
      </c>
    </row>
    <row r="2858" spans="2:8" x14ac:dyDescent="0.2">
      <c r="B2858" s="3" t="s">
        <v>160</v>
      </c>
      <c r="C2858" s="3" t="s">
        <v>44</v>
      </c>
      <c r="D2858" s="3" t="str">
        <f>VLOOKUP(C2858,Countries!$B$3:$C$140,2,FALSE)</f>
        <v>Europe</v>
      </c>
      <c r="E2858" s="3" t="s">
        <v>31</v>
      </c>
      <c r="F2858" s="3" t="str">
        <f>VLOOKUP(E2858,Countries!$B$3:$C$140,2,FALSE)</f>
        <v>Europe</v>
      </c>
      <c r="G2858" s="4">
        <v>58</v>
      </c>
      <c r="H2858" s="4">
        <v>5379847.7854121998</v>
      </c>
    </row>
    <row r="2859" spans="2:8" x14ac:dyDescent="0.2">
      <c r="B2859" s="3" t="s">
        <v>160</v>
      </c>
      <c r="C2859" s="3" t="s">
        <v>44</v>
      </c>
      <c r="D2859" s="3" t="str">
        <f>VLOOKUP(C2859,Countries!$B$3:$C$140,2,FALSE)</f>
        <v>Europe</v>
      </c>
      <c r="E2859" s="3" t="s">
        <v>112</v>
      </c>
      <c r="F2859" s="3" t="str">
        <f>VLOOKUP(E2859,Countries!$B$3:$C$140,2,FALSE)</f>
        <v>Asia</v>
      </c>
      <c r="G2859" s="4">
        <v>2</v>
      </c>
      <c r="H2859" s="4">
        <v>0</v>
      </c>
    </row>
    <row r="2860" spans="2:8" x14ac:dyDescent="0.2">
      <c r="B2860" s="3" t="s">
        <v>160</v>
      </c>
      <c r="C2860" s="3" t="s">
        <v>44</v>
      </c>
      <c r="D2860" s="3" t="str">
        <f>VLOOKUP(C2860,Countries!$B$3:$C$140,2,FALSE)</f>
        <v>Europe</v>
      </c>
      <c r="E2860" s="3" t="s">
        <v>57</v>
      </c>
      <c r="F2860" s="3" t="str">
        <f>VLOOKUP(E2860,Countries!$B$3:$C$140,2,FALSE)</f>
        <v>Europe/Asia</v>
      </c>
      <c r="G2860" s="4">
        <v>2</v>
      </c>
      <c r="H2860" s="4">
        <v>0</v>
      </c>
    </row>
    <row r="2861" spans="2:8" x14ac:dyDescent="0.2">
      <c r="B2861" s="3" t="s">
        <v>160</v>
      </c>
      <c r="C2861" s="3" t="s">
        <v>44</v>
      </c>
      <c r="D2861" s="3" t="str">
        <f>VLOOKUP(C2861,Countries!$B$3:$C$140,2,FALSE)</f>
        <v>Europe</v>
      </c>
      <c r="E2861" s="3" t="s">
        <v>33</v>
      </c>
      <c r="F2861" s="3" t="str">
        <f>VLOOKUP(E2861,Countries!$B$3:$C$140,2,FALSE)</f>
        <v>North America</v>
      </c>
      <c r="G2861" s="4">
        <v>8</v>
      </c>
      <c r="H2861" s="4">
        <v>180000</v>
      </c>
    </row>
    <row r="2862" spans="2:8" x14ac:dyDescent="0.2">
      <c r="B2862" s="3" t="s">
        <v>160</v>
      </c>
      <c r="C2862" s="3" t="s">
        <v>44</v>
      </c>
      <c r="D2862" s="3" t="str">
        <f>VLOOKUP(C2862,Countries!$B$3:$C$140,2,FALSE)</f>
        <v>Europe</v>
      </c>
      <c r="E2862" s="3" t="s">
        <v>87</v>
      </c>
      <c r="F2862" s="3" t="str">
        <f>VLOOKUP(E2862,Countries!$B$3:$C$140,2,FALSE)</f>
        <v>Asia</v>
      </c>
      <c r="G2862" s="4">
        <v>2</v>
      </c>
      <c r="H2862" s="4">
        <v>0</v>
      </c>
    </row>
    <row r="2863" spans="2:8" x14ac:dyDescent="0.2">
      <c r="B2863" s="3" t="s">
        <v>160</v>
      </c>
      <c r="C2863" s="3" t="s">
        <v>54</v>
      </c>
      <c r="D2863" s="3" t="str">
        <f>VLOOKUP(C2863,Countries!$B$3:$C$140,2,FALSE)</f>
        <v>Europe</v>
      </c>
      <c r="E2863" s="3" t="s">
        <v>2</v>
      </c>
      <c r="F2863" s="3" t="str">
        <f>VLOOKUP(E2863,Countries!$B$3:$C$140,2,FALSE)</f>
        <v>Europe</v>
      </c>
      <c r="G2863" s="4">
        <v>2</v>
      </c>
      <c r="H2863" s="4">
        <v>0</v>
      </c>
    </row>
    <row r="2864" spans="2:8" x14ac:dyDescent="0.2">
      <c r="B2864" s="3" t="s">
        <v>160</v>
      </c>
      <c r="C2864" s="3" t="s">
        <v>54</v>
      </c>
      <c r="D2864" s="3" t="str">
        <f>VLOOKUP(C2864,Countries!$B$3:$C$140,2,FALSE)</f>
        <v>Europe</v>
      </c>
      <c r="E2864" s="3" t="s">
        <v>3</v>
      </c>
      <c r="F2864" s="3" t="str">
        <f>VLOOKUP(E2864,Countries!$B$3:$C$140,2,FALSE)</f>
        <v>Europe</v>
      </c>
      <c r="G2864" s="4">
        <v>2</v>
      </c>
      <c r="H2864" s="4">
        <v>0</v>
      </c>
    </row>
    <row r="2865" spans="2:8" x14ac:dyDescent="0.2">
      <c r="B2865" s="3" t="s">
        <v>160</v>
      </c>
      <c r="C2865" s="3" t="s">
        <v>54</v>
      </c>
      <c r="D2865" s="3" t="str">
        <f>VLOOKUP(C2865,Countries!$B$3:$C$140,2,FALSE)</f>
        <v>Europe</v>
      </c>
      <c r="E2865" s="3" t="s">
        <v>35</v>
      </c>
      <c r="F2865" s="3" t="str">
        <f>VLOOKUP(E2865,Countries!$B$3:$C$140,2,FALSE)</f>
        <v>Europe</v>
      </c>
      <c r="G2865" s="4">
        <v>6</v>
      </c>
      <c r="H2865" s="4">
        <v>403583.09450999997</v>
      </c>
    </row>
    <row r="2866" spans="2:8" x14ac:dyDescent="0.2">
      <c r="B2866" s="3" t="s">
        <v>160</v>
      </c>
      <c r="C2866" s="3" t="s">
        <v>54</v>
      </c>
      <c r="D2866" s="3" t="str">
        <f>VLOOKUP(C2866,Countries!$B$3:$C$140,2,FALSE)</f>
        <v>Europe</v>
      </c>
      <c r="E2866" s="3" t="s">
        <v>6</v>
      </c>
      <c r="F2866" s="3" t="str">
        <f>VLOOKUP(E2866,Countries!$B$3:$C$140,2,FALSE)</f>
        <v>Europe</v>
      </c>
      <c r="G2866" s="4">
        <v>4</v>
      </c>
      <c r="H2866" s="4">
        <v>0</v>
      </c>
    </row>
    <row r="2867" spans="2:8" x14ac:dyDescent="0.2">
      <c r="B2867" s="3" t="s">
        <v>160</v>
      </c>
      <c r="C2867" s="3" t="s">
        <v>54</v>
      </c>
      <c r="D2867" s="3" t="str">
        <f>VLOOKUP(C2867,Countries!$B$3:$C$140,2,FALSE)</f>
        <v>Europe</v>
      </c>
      <c r="E2867" s="3" t="s">
        <v>59</v>
      </c>
      <c r="F2867" s="3" t="str">
        <f>VLOOKUP(E2867,Countries!$B$3:$C$140,2,FALSE)</f>
        <v>Europe</v>
      </c>
      <c r="G2867" s="4">
        <v>8</v>
      </c>
      <c r="H2867" s="4">
        <v>0</v>
      </c>
    </row>
    <row r="2868" spans="2:8" x14ac:dyDescent="0.2">
      <c r="B2868" s="3" t="s">
        <v>160</v>
      </c>
      <c r="C2868" s="3" t="s">
        <v>54</v>
      </c>
      <c r="D2868" s="3" t="str">
        <f>VLOOKUP(C2868,Countries!$B$3:$C$140,2,FALSE)</f>
        <v>Europe</v>
      </c>
      <c r="E2868" s="3" t="s">
        <v>7</v>
      </c>
      <c r="F2868" s="3" t="str">
        <f>VLOOKUP(E2868,Countries!$B$3:$C$140,2,FALSE)</f>
        <v>South America</v>
      </c>
      <c r="G2868" s="4">
        <v>4</v>
      </c>
      <c r="H2868" s="4">
        <v>0</v>
      </c>
    </row>
    <row r="2869" spans="2:8" x14ac:dyDescent="0.2">
      <c r="B2869" s="3" t="s">
        <v>160</v>
      </c>
      <c r="C2869" s="3" t="s">
        <v>54</v>
      </c>
      <c r="D2869" s="3" t="str">
        <f>VLOOKUP(C2869,Countries!$B$3:$C$140,2,FALSE)</f>
        <v>Europe</v>
      </c>
      <c r="E2869" s="3" t="s">
        <v>36</v>
      </c>
      <c r="F2869" s="3" t="str">
        <f>VLOOKUP(E2869,Countries!$B$3:$C$140,2,FALSE)</f>
        <v>Europe</v>
      </c>
      <c r="G2869" s="4">
        <v>8</v>
      </c>
      <c r="H2869" s="4">
        <v>0</v>
      </c>
    </row>
    <row r="2870" spans="2:8" x14ac:dyDescent="0.2">
      <c r="B2870" s="3" t="s">
        <v>160</v>
      </c>
      <c r="C2870" s="3" t="s">
        <v>54</v>
      </c>
      <c r="D2870" s="3" t="str">
        <f>VLOOKUP(C2870,Countries!$B$3:$C$140,2,FALSE)</f>
        <v>Europe</v>
      </c>
      <c r="E2870" s="3" t="s">
        <v>8</v>
      </c>
      <c r="F2870" s="3" t="str">
        <f>VLOOKUP(E2870,Countries!$B$3:$C$140,2,FALSE)</f>
        <v>North America</v>
      </c>
      <c r="G2870" s="4">
        <v>8</v>
      </c>
      <c r="H2870" s="4">
        <v>0</v>
      </c>
    </row>
    <row r="2871" spans="2:8" x14ac:dyDescent="0.2">
      <c r="B2871" s="3" t="s">
        <v>160</v>
      </c>
      <c r="C2871" s="3" t="s">
        <v>54</v>
      </c>
      <c r="D2871" s="3" t="str">
        <f>VLOOKUP(C2871,Countries!$B$3:$C$140,2,FALSE)</f>
        <v>Europe</v>
      </c>
      <c r="E2871" s="3" t="s">
        <v>89</v>
      </c>
      <c r="F2871" s="3" t="str">
        <f>VLOOKUP(E2871,Countries!$B$3:$C$140,2,FALSE)</f>
        <v>Asia</v>
      </c>
      <c r="G2871" s="4">
        <v>2</v>
      </c>
      <c r="H2871" s="4">
        <v>0</v>
      </c>
    </row>
    <row r="2872" spans="2:8" x14ac:dyDescent="0.2">
      <c r="B2872" s="3" t="s">
        <v>160</v>
      </c>
      <c r="C2872" s="3" t="s">
        <v>54</v>
      </c>
      <c r="D2872" s="3" t="str">
        <f>VLOOKUP(C2872,Countries!$B$3:$C$140,2,FALSE)</f>
        <v>Europe</v>
      </c>
      <c r="E2872" s="3" t="s">
        <v>106</v>
      </c>
      <c r="F2872" s="3" t="str">
        <f>VLOOKUP(E2872,Countries!$B$3:$C$140,2,FALSE)</f>
        <v>Africa</v>
      </c>
      <c r="G2872" s="4">
        <v>2</v>
      </c>
      <c r="H2872" s="4">
        <v>0</v>
      </c>
    </row>
    <row r="2873" spans="2:8" x14ac:dyDescent="0.2">
      <c r="B2873" s="3" t="s">
        <v>160</v>
      </c>
      <c r="C2873" s="3" t="s">
        <v>54</v>
      </c>
      <c r="D2873" s="3" t="str">
        <f>VLOOKUP(C2873,Countries!$B$3:$C$140,2,FALSE)</f>
        <v>Europe</v>
      </c>
      <c r="E2873" s="3" t="s">
        <v>9</v>
      </c>
      <c r="F2873" s="3" t="str">
        <f>VLOOKUP(E2873,Countries!$B$3:$C$140,2,FALSE)</f>
        <v>Europe</v>
      </c>
      <c r="G2873" s="4">
        <v>4</v>
      </c>
      <c r="H2873" s="4">
        <v>0</v>
      </c>
    </row>
    <row r="2874" spans="2:8" x14ac:dyDescent="0.2">
      <c r="B2874" s="3" t="s">
        <v>160</v>
      </c>
      <c r="C2874" s="3" t="s">
        <v>54</v>
      </c>
      <c r="D2874" s="3" t="str">
        <f>VLOOKUP(C2874,Countries!$B$3:$C$140,2,FALSE)</f>
        <v>Europe</v>
      </c>
      <c r="E2874" s="3" t="s">
        <v>62</v>
      </c>
      <c r="F2874" s="3" t="str">
        <f>VLOOKUP(E2874,Countries!$B$3:$C$140,2,FALSE)</f>
        <v>Asia</v>
      </c>
      <c r="G2874" s="4">
        <v>10</v>
      </c>
      <c r="H2874" s="4">
        <v>0</v>
      </c>
    </row>
    <row r="2875" spans="2:8" x14ac:dyDescent="0.2">
      <c r="B2875" s="3" t="s">
        <v>160</v>
      </c>
      <c r="C2875" s="3" t="s">
        <v>54</v>
      </c>
      <c r="D2875" s="3" t="str">
        <f>VLOOKUP(C2875,Countries!$B$3:$C$140,2,FALSE)</f>
        <v>Europe</v>
      </c>
      <c r="E2875" s="3" t="s">
        <v>49</v>
      </c>
      <c r="F2875" s="3" t="str">
        <f>VLOOKUP(E2875,Countries!$B$3:$C$140,2,FALSE)</f>
        <v>Europe</v>
      </c>
      <c r="G2875" s="4">
        <v>6</v>
      </c>
      <c r="H2875" s="4">
        <v>0</v>
      </c>
    </row>
    <row r="2876" spans="2:8" x14ac:dyDescent="0.2">
      <c r="B2876" s="3" t="s">
        <v>160</v>
      </c>
      <c r="C2876" s="3" t="s">
        <v>54</v>
      </c>
      <c r="D2876" s="3" t="str">
        <f>VLOOKUP(C2876,Countries!$B$3:$C$140,2,FALSE)</f>
        <v>Europe</v>
      </c>
      <c r="E2876" s="3" t="s">
        <v>10</v>
      </c>
      <c r="F2876" s="3" t="str">
        <f>VLOOKUP(E2876,Countries!$B$3:$C$140,2,FALSE)</f>
        <v>Europe</v>
      </c>
      <c r="G2876" s="4">
        <v>2</v>
      </c>
      <c r="H2876" s="4">
        <v>0</v>
      </c>
    </row>
    <row r="2877" spans="2:8" x14ac:dyDescent="0.2">
      <c r="B2877" s="3" t="s">
        <v>160</v>
      </c>
      <c r="C2877" s="3" t="s">
        <v>54</v>
      </c>
      <c r="D2877" s="3" t="str">
        <f>VLOOKUP(C2877,Countries!$B$3:$C$140,2,FALSE)</f>
        <v>Europe</v>
      </c>
      <c r="E2877" s="3" t="s">
        <v>50</v>
      </c>
      <c r="F2877" s="3" t="str">
        <f>VLOOKUP(E2877,Countries!$B$3:$C$140,2,FALSE)</f>
        <v>Europe</v>
      </c>
      <c r="G2877" s="4">
        <v>2</v>
      </c>
      <c r="H2877" s="4">
        <v>0</v>
      </c>
    </row>
    <row r="2878" spans="2:8" x14ac:dyDescent="0.2">
      <c r="B2878" s="3" t="s">
        <v>160</v>
      </c>
      <c r="C2878" s="3" t="s">
        <v>54</v>
      </c>
      <c r="D2878" s="3" t="str">
        <f>VLOOKUP(C2878,Countries!$B$3:$C$140,2,FALSE)</f>
        <v>Europe</v>
      </c>
      <c r="E2878" s="3" t="s">
        <v>11</v>
      </c>
      <c r="F2878" s="3" t="str">
        <f>VLOOKUP(E2878,Countries!$B$3:$C$140,2,FALSE)</f>
        <v>Europe</v>
      </c>
      <c r="G2878" s="4">
        <v>6</v>
      </c>
      <c r="H2878" s="4">
        <v>0</v>
      </c>
    </row>
    <row r="2879" spans="2:8" x14ac:dyDescent="0.2">
      <c r="B2879" s="3" t="s">
        <v>160</v>
      </c>
      <c r="C2879" s="3" t="s">
        <v>54</v>
      </c>
      <c r="D2879" s="3" t="str">
        <f>VLOOKUP(C2879,Countries!$B$3:$C$140,2,FALSE)</f>
        <v>Europe</v>
      </c>
      <c r="E2879" s="3" t="s">
        <v>38</v>
      </c>
      <c r="F2879" s="3" t="str">
        <f>VLOOKUP(E2879,Countries!$B$3:$C$140,2,FALSE)</f>
        <v>Europe</v>
      </c>
      <c r="G2879" s="4">
        <v>2</v>
      </c>
      <c r="H2879" s="4">
        <v>0</v>
      </c>
    </row>
    <row r="2880" spans="2:8" x14ac:dyDescent="0.2">
      <c r="B2880" s="3" t="s">
        <v>160</v>
      </c>
      <c r="C2880" s="3" t="s">
        <v>54</v>
      </c>
      <c r="D2880" s="3" t="str">
        <f>VLOOKUP(C2880,Countries!$B$3:$C$140,2,FALSE)</f>
        <v>Europe</v>
      </c>
      <c r="E2880" s="3" t="s">
        <v>73</v>
      </c>
      <c r="F2880" s="3" t="str">
        <f>VLOOKUP(E2880,Countries!$B$3:$C$140,2,FALSE)</f>
        <v>Europe</v>
      </c>
      <c r="G2880" s="4">
        <v>2</v>
      </c>
      <c r="H2880" s="4">
        <v>60537.464176499998</v>
      </c>
    </row>
    <row r="2881" spans="2:8" x14ac:dyDescent="0.2">
      <c r="B2881" s="3" t="s">
        <v>160</v>
      </c>
      <c r="C2881" s="3" t="s">
        <v>54</v>
      </c>
      <c r="D2881" s="3" t="str">
        <f>VLOOKUP(C2881,Countries!$B$3:$C$140,2,FALSE)</f>
        <v>Europe</v>
      </c>
      <c r="E2881" s="3" t="s">
        <v>12</v>
      </c>
      <c r="F2881" s="3" t="str">
        <f>VLOOKUP(E2881,Countries!$B$3:$C$140,2,FALSE)</f>
        <v>Europe</v>
      </c>
      <c r="G2881" s="4">
        <v>8</v>
      </c>
      <c r="H2881" s="4">
        <v>0</v>
      </c>
    </row>
    <row r="2882" spans="2:8" x14ac:dyDescent="0.2">
      <c r="B2882" s="3" t="s">
        <v>160</v>
      </c>
      <c r="C2882" s="3" t="s">
        <v>54</v>
      </c>
      <c r="D2882" s="3" t="str">
        <f>VLOOKUP(C2882,Countries!$B$3:$C$140,2,FALSE)</f>
        <v>Europe</v>
      </c>
      <c r="E2882" s="3" t="s">
        <v>39</v>
      </c>
      <c r="F2882" s="3" t="str">
        <f>VLOOKUP(E2882,Countries!$B$3:$C$140,2,FALSE)</f>
        <v>Europe/Asia</v>
      </c>
      <c r="G2882" s="4">
        <v>6</v>
      </c>
      <c r="H2882" s="4">
        <v>0</v>
      </c>
    </row>
    <row r="2883" spans="2:8" x14ac:dyDescent="0.2">
      <c r="B2883" s="3" t="s">
        <v>160</v>
      </c>
      <c r="C2883" s="3" t="s">
        <v>54</v>
      </c>
      <c r="D2883" s="3" t="str">
        <f>VLOOKUP(C2883,Countries!$B$3:$C$140,2,FALSE)</f>
        <v>Europe</v>
      </c>
      <c r="E2883" s="3" t="s">
        <v>13</v>
      </c>
      <c r="F2883" s="3" t="str">
        <f>VLOOKUP(E2883,Countries!$B$3:$C$140,2,FALSE)</f>
        <v>Europe</v>
      </c>
      <c r="G2883" s="4">
        <v>12</v>
      </c>
      <c r="H2883" s="4">
        <v>0</v>
      </c>
    </row>
    <row r="2884" spans="2:8" x14ac:dyDescent="0.2">
      <c r="B2884" s="3" t="s">
        <v>160</v>
      </c>
      <c r="C2884" s="3" t="s">
        <v>54</v>
      </c>
      <c r="D2884" s="3" t="str">
        <f>VLOOKUP(C2884,Countries!$B$3:$C$140,2,FALSE)</f>
        <v>Europe</v>
      </c>
      <c r="E2884" s="3" t="s">
        <v>64</v>
      </c>
      <c r="F2884" s="3" t="str">
        <f>VLOOKUP(E2884,Countries!$B$3:$C$140,2,FALSE)</f>
        <v>Africa</v>
      </c>
      <c r="G2884" s="4">
        <v>2</v>
      </c>
      <c r="H2884" s="4">
        <v>0</v>
      </c>
    </row>
    <row r="2885" spans="2:8" x14ac:dyDescent="0.2">
      <c r="B2885" s="3" t="s">
        <v>160</v>
      </c>
      <c r="C2885" s="3" t="s">
        <v>54</v>
      </c>
      <c r="D2885" s="3" t="str">
        <f>VLOOKUP(C2885,Countries!$B$3:$C$140,2,FALSE)</f>
        <v>Europe</v>
      </c>
      <c r="E2885" s="3" t="s">
        <v>14</v>
      </c>
      <c r="F2885" s="3" t="str">
        <f>VLOOKUP(E2885,Countries!$B$3:$C$140,2,FALSE)</f>
        <v>Europe</v>
      </c>
      <c r="G2885" s="4">
        <v>2</v>
      </c>
      <c r="H2885" s="4">
        <v>0</v>
      </c>
    </row>
    <row r="2886" spans="2:8" x14ac:dyDescent="0.2">
      <c r="B2886" s="3" t="s">
        <v>160</v>
      </c>
      <c r="C2886" s="3" t="s">
        <v>54</v>
      </c>
      <c r="D2886" s="3" t="str">
        <f>VLOOKUP(C2886,Countries!$B$3:$C$140,2,FALSE)</f>
        <v>Europe</v>
      </c>
      <c r="E2886" s="3" t="s">
        <v>108</v>
      </c>
      <c r="F2886" s="3" t="str">
        <f>VLOOKUP(E2886,Countries!$B$3:$C$140,2,FALSE)</f>
        <v>North America</v>
      </c>
      <c r="G2886" s="4">
        <v>2</v>
      </c>
      <c r="H2886" s="4">
        <v>990000</v>
      </c>
    </row>
    <row r="2887" spans="2:8" x14ac:dyDescent="0.2">
      <c r="B2887" s="3" t="s">
        <v>160</v>
      </c>
      <c r="C2887" s="3" t="s">
        <v>54</v>
      </c>
      <c r="D2887" s="3" t="str">
        <f>VLOOKUP(C2887,Countries!$B$3:$C$140,2,FALSE)</f>
        <v>Europe</v>
      </c>
      <c r="E2887" s="3" t="s">
        <v>15</v>
      </c>
      <c r="F2887" s="3" t="str">
        <f>VLOOKUP(E2887,Countries!$B$3:$C$140,2,FALSE)</f>
        <v>Europe</v>
      </c>
      <c r="G2887" s="4">
        <v>6</v>
      </c>
      <c r="H2887" s="4">
        <v>343045.63033349998</v>
      </c>
    </row>
    <row r="2888" spans="2:8" x14ac:dyDescent="0.2">
      <c r="B2888" s="3" t="s">
        <v>160</v>
      </c>
      <c r="C2888" s="3" t="s">
        <v>54</v>
      </c>
      <c r="D2888" s="3" t="str">
        <f>VLOOKUP(C2888,Countries!$B$3:$C$140,2,FALSE)</f>
        <v>Europe</v>
      </c>
      <c r="E2888" s="3" t="s">
        <v>51</v>
      </c>
      <c r="F2888" s="3" t="str">
        <f>VLOOKUP(E2888,Countries!$B$3:$C$140,2,FALSE)</f>
        <v>Asia</v>
      </c>
      <c r="G2888" s="4">
        <v>2</v>
      </c>
      <c r="H2888" s="4">
        <v>0</v>
      </c>
    </row>
    <row r="2889" spans="2:8" x14ac:dyDescent="0.2">
      <c r="B2889" s="3" t="s">
        <v>160</v>
      </c>
      <c r="C2889" s="3" t="s">
        <v>54</v>
      </c>
      <c r="D2889" s="3" t="str">
        <f>VLOOKUP(C2889,Countries!$B$3:$C$140,2,FALSE)</f>
        <v>Europe</v>
      </c>
      <c r="E2889" s="3" t="s">
        <v>17</v>
      </c>
      <c r="F2889" s="3" t="str">
        <f>VLOOKUP(E2889,Countries!$B$3:$C$140,2,FALSE)</f>
        <v>Europe</v>
      </c>
      <c r="G2889" s="4">
        <v>6</v>
      </c>
      <c r="H2889" s="4">
        <v>0</v>
      </c>
    </row>
    <row r="2890" spans="2:8" x14ac:dyDescent="0.2">
      <c r="B2890" s="3" t="s">
        <v>160</v>
      </c>
      <c r="C2890" s="3" t="s">
        <v>54</v>
      </c>
      <c r="D2890" s="3" t="str">
        <f>VLOOKUP(C2890,Countries!$B$3:$C$140,2,FALSE)</f>
        <v>Europe</v>
      </c>
      <c r="E2890" s="3" t="s">
        <v>92</v>
      </c>
      <c r="F2890" s="3" t="str">
        <f>VLOOKUP(E2890,Countries!$B$3:$C$140,2,FALSE)</f>
        <v>Asia</v>
      </c>
      <c r="G2890" s="4">
        <v>4</v>
      </c>
      <c r="H2890" s="4">
        <v>0</v>
      </c>
    </row>
    <row r="2891" spans="2:8" x14ac:dyDescent="0.2">
      <c r="B2891" s="3" t="s">
        <v>160</v>
      </c>
      <c r="C2891" s="3" t="s">
        <v>54</v>
      </c>
      <c r="D2891" s="3" t="str">
        <f>VLOOKUP(C2891,Countries!$B$3:$C$140,2,FALSE)</f>
        <v>Europe</v>
      </c>
      <c r="E2891" s="3" t="s">
        <v>66</v>
      </c>
      <c r="F2891" s="3" t="str">
        <f>VLOOKUP(E2891,Countries!$B$3:$C$140,2,FALSE)</f>
        <v>Europe</v>
      </c>
      <c r="G2891" s="4">
        <v>8</v>
      </c>
      <c r="H2891" s="4">
        <v>79155.555126000007</v>
      </c>
    </row>
    <row r="2892" spans="2:8" x14ac:dyDescent="0.2">
      <c r="B2892" s="3" t="s">
        <v>160</v>
      </c>
      <c r="C2892" s="3" t="s">
        <v>54</v>
      </c>
      <c r="D2892" s="3" t="str">
        <f>VLOOKUP(C2892,Countries!$B$3:$C$140,2,FALSE)</f>
        <v>Europe</v>
      </c>
      <c r="E2892" s="3" t="s">
        <v>52</v>
      </c>
      <c r="F2892" s="3" t="str">
        <f>VLOOKUP(E2892,Countries!$B$3:$C$140,2,FALSE)</f>
        <v>Europe</v>
      </c>
      <c r="G2892" s="4">
        <v>8</v>
      </c>
      <c r="H2892" s="4">
        <v>0</v>
      </c>
    </row>
    <row r="2893" spans="2:8" x14ac:dyDescent="0.2">
      <c r="B2893" s="3" t="s">
        <v>160</v>
      </c>
      <c r="C2893" s="3" t="s">
        <v>54</v>
      </c>
      <c r="D2893" s="3" t="str">
        <f>VLOOKUP(C2893,Countries!$B$3:$C$140,2,FALSE)</f>
        <v>Europe</v>
      </c>
      <c r="E2893" s="3" t="s">
        <v>23</v>
      </c>
      <c r="F2893" s="3" t="str">
        <f>VLOOKUP(E2893,Countries!$B$3:$C$140,2,FALSE)</f>
        <v>Europe</v>
      </c>
      <c r="G2893" s="4">
        <v>2</v>
      </c>
      <c r="H2893" s="4">
        <v>0</v>
      </c>
    </row>
    <row r="2894" spans="2:8" x14ac:dyDescent="0.2">
      <c r="B2894" s="3" t="s">
        <v>160</v>
      </c>
      <c r="C2894" s="3" t="s">
        <v>54</v>
      </c>
      <c r="D2894" s="3" t="str">
        <f>VLOOKUP(C2894,Countries!$B$3:$C$140,2,FALSE)</f>
        <v>Europe</v>
      </c>
      <c r="E2894" s="3" t="s">
        <v>53</v>
      </c>
      <c r="F2894" s="3" t="str">
        <f>VLOOKUP(E2894,Countries!$B$3:$C$140,2,FALSE)</f>
        <v>Europe</v>
      </c>
      <c r="G2894" s="4">
        <v>4</v>
      </c>
      <c r="H2894" s="4">
        <v>0</v>
      </c>
    </row>
    <row r="2895" spans="2:8" x14ac:dyDescent="0.2">
      <c r="B2895" s="3" t="s">
        <v>160</v>
      </c>
      <c r="C2895" s="3" t="s">
        <v>54</v>
      </c>
      <c r="D2895" s="3" t="str">
        <f>VLOOKUP(C2895,Countries!$B$3:$C$140,2,FALSE)</f>
        <v>Europe</v>
      </c>
      <c r="E2895" s="3" t="s">
        <v>24</v>
      </c>
      <c r="F2895" s="3" t="str">
        <f>VLOOKUP(E2895,Countries!$B$3:$C$140,2,FALSE)</f>
        <v>Africa</v>
      </c>
      <c r="G2895" s="4">
        <v>2</v>
      </c>
      <c r="H2895" s="4">
        <v>0</v>
      </c>
    </row>
    <row r="2896" spans="2:8" x14ac:dyDescent="0.2">
      <c r="B2896" s="3" t="s">
        <v>160</v>
      </c>
      <c r="C2896" s="3" t="s">
        <v>54</v>
      </c>
      <c r="D2896" s="3" t="str">
        <f>VLOOKUP(C2896,Countries!$B$3:$C$140,2,FALSE)</f>
        <v>Europe</v>
      </c>
      <c r="E2896" s="3" t="s">
        <v>44</v>
      </c>
      <c r="F2896" s="3" t="str">
        <f>VLOOKUP(E2896,Countries!$B$3:$C$140,2,FALSE)</f>
        <v>Europe</v>
      </c>
      <c r="G2896" s="4">
        <v>2</v>
      </c>
      <c r="H2896" s="4">
        <v>0</v>
      </c>
    </row>
    <row r="2897" spans="2:8" x14ac:dyDescent="0.2">
      <c r="B2897" s="3" t="s">
        <v>160</v>
      </c>
      <c r="C2897" s="3" t="s">
        <v>54</v>
      </c>
      <c r="D2897" s="3" t="str">
        <f>VLOOKUP(C2897,Countries!$B$3:$C$140,2,FALSE)</f>
        <v>Europe</v>
      </c>
      <c r="E2897" s="3" t="s">
        <v>46</v>
      </c>
      <c r="F2897" s="3" t="str">
        <f>VLOOKUP(E2897,Countries!$B$3:$C$140,2,FALSE)</f>
        <v>Europe/Asia</v>
      </c>
      <c r="G2897" s="4">
        <v>8</v>
      </c>
      <c r="H2897" s="4">
        <v>564660.08901</v>
      </c>
    </row>
    <row r="2898" spans="2:8" x14ac:dyDescent="0.2">
      <c r="B2898" s="3" t="s">
        <v>160</v>
      </c>
      <c r="C2898" s="3" t="s">
        <v>54</v>
      </c>
      <c r="D2898" s="3" t="str">
        <f>VLOOKUP(C2898,Countries!$B$3:$C$140,2,FALSE)</f>
        <v>Europe</v>
      </c>
      <c r="E2898" s="3" t="s">
        <v>55</v>
      </c>
      <c r="F2898" s="3" t="str">
        <f>VLOOKUP(E2898,Countries!$B$3:$C$140,2,FALSE)</f>
        <v>Europe</v>
      </c>
      <c r="G2898" s="4">
        <v>4</v>
      </c>
      <c r="H2898" s="4">
        <v>0</v>
      </c>
    </row>
    <row r="2899" spans="2:8" x14ac:dyDescent="0.2">
      <c r="B2899" s="3" t="s">
        <v>160</v>
      </c>
      <c r="C2899" s="3" t="s">
        <v>54</v>
      </c>
      <c r="D2899" s="3" t="str">
        <f>VLOOKUP(C2899,Countries!$B$3:$C$140,2,FALSE)</f>
        <v>Europe</v>
      </c>
      <c r="E2899" s="3" t="s">
        <v>90</v>
      </c>
      <c r="F2899" s="3" t="str">
        <f>VLOOKUP(E2899,Countries!$B$3:$C$140,2,FALSE)</f>
        <v>Asia</v>
      </c>
      <c r="G2899" s="4">
        <v>2</v>
      </c>
      <c r="H2899" s="4">
        <v>0</v>
      </c>
    </row>
    <row r="2900" spans="2:8" x14ac:dyDescent="0.2">
      <c r="B2900" s="3" t="s">
        <v>160</v>
      </c>
      <c r="C2900" s="3" t="s">
        <v>54</v>
      </c>
      <c r="D2900" s="3" t="str">
        <f>VLOOKUP(C2900,Countries!$B$3:$C$140,2,FALSE)</f>
        <v>Europe</v>
      </c>
      <c r="E2900" s="3" t="s">
        <v>28</v>
      </c>
      <c r="F2900" s="3" t="str">
        <f>VLOOKUP(E2900,Countries!$B$3:$C$140,2,FALSE)</f>
        <v>Europe</v>
      </c>
      <c r="G2900" s="4">
        <v>4</v>
      </c>
      <c r="H2900" s="4">
        <v>0</v>
      </c>
    </row>
    <row r="2901" spans="2:8" x14ac:dyDescent="0.2">
      <c r="B2901" s="3" t="s">
        <v>160</v>
      </c>
      <c r="C2901" s="3" t="s">
        <v>54</v>
      </c>
      <c r="D2901" s="3" t="str">
        <f>VLOOKUP(C2901,Countries!$B$3:$C$140,2,FALSE)</f>
        <v>Europe</v>
      </c>
      <c r="E2901" s="3" t="s">
        <v>29</v>
      </c>
      <c r="F2901" s="3" t="str">
        <f>VLOOKUP(E2901,Countries!$B$3:$C$140,2,FALSE)</f>
        <v>Europe</v>
      </c>
      <c r="G2901" s="4">
        <v>2</v>
      </c>
      <c r="H2901" s="4">
        <v>0</v>
      </c>
    </row>
    <row r="2902" spans="2:8" x14ac:dyDescent="0.2">
      <c r="B2902" s="3" t="s">
        <v>160</v>
      </c>
      <c r="C2902" s="3" t="s">
        <v>54</v>
      </c>
      <c r="D2902" s="3" t="str">
        <f>VLOOKUP(C2902,Countries!$B$3:$C$140,2,FALSE)</f>
        <v>Europe</v>
      </c>
      <c r="E2902" s="3" t="s">
        <v>56</v>
      </c>
      <c r="F2902" s="3" t="str">
        <f>VLOOKUP(E2902,Countries!$B$3:$C$140,2,FALSE)</f>
        <v>Europe</v>
      </c>
      <c r="G2902" s="4">
        <v>16</v>
      </c>
      <c r="H2902" s="4">
        <v>240100.05475800001</v>
      </c>
    </row>
    <row r="2903" spans="2:8" x14ac:dyDescent="0.2">
      <c r="B2903" s="3" t="s">
        <v>160</v>
      </c>
      <c r="C2903" s="3" t="s">
        <v>54</v>
      </c>
      <c r="D2903" s="3" t="str">
        <f>VLOOKUP(C2903,Countries!$B$3:$C$140,2,FALSE)</f>
        <v>Europe</v>
      </c>
      <c r="E2903" s="3" t="s">
        <v>30</v>
      </c>
      <c r="F2903" s="3" t="str">
        <f>VLOOKUP(E2903,Countries!$B$3:$C$140,2,FALSE)</f>
        <v>Europe</v>
      </c>
      <c r="G2903" s="4">
        <v>2</v>
      </c>
      <c r="H2903" s="4">
        <v>0</v>
      </c>
    </row>
    <row r="2904" spans="2:8" x14ac:dyDescent="0.2">
      <c r="B2904" s="3" t="s">
        <v>160</v>
      </c>
      <c r="C2904" s="3" t="s">
        <v>54</v>
      </c>
      <c r="D2904" s="3" t="str">
        <f>VLOOKUP(C2904,Countries!$B$3:$C$140,2,FALSE)</f>
        <v>Europe</v>
      </c>
      <c r="E2904" s="3" t="s">
        <v>31</v>
      </c>
      <c r="F2904" s="3" t="str">
        <f>VLOOKUP(E2904,Countries!$B$3:$C$140,2,FALSE)</f>
        <v>Europe</v>
      </c>
      <c r="G2904" s="4">
        <v>4</v>
      </c>
      <c r="H2904" s="4">
        <v>1885054.1829960002</v>
      </c>
    </row>
    <row r="2905" spans="2:8" x14ac:dyDescent="0.2">
      <c r="B2905" s="3" t="s">
        <v>160</v>
      </c>
      <c r="C2905" s="3" t="s">
        <v>54</v>
      </c>
      <c r="D2905" s="3" t="str">
        <f>VLOOKUP(C2905,Countries!$B$3:$C$140,2,FALSE)</f>
        <v>Europe</v>
      </c>
      <c r="E2905" s="3" t="s">
        <v>112</v>
      </c>
      <c r="F2905" s="3" t="str">
        <f>VLOOKUP(E2905,Countries!$B$3:$C$140,2,FALSE)</f>
        <v>Asia</v>
      </c>
      <c r="G2905" s="4">
        <v>4</v>
      </c>
      <c r="H2905" s="4">
        <v>0</v>
      </c>
    </row>
    <row r="2906" spans="2:8" x14ac:dyDescent="0.2">
      <c r="B2906" s="3" t="s">
        <v>160</v>
      </c>
      <c r="C2906" s="3" t="s">
        <v>54</v>
      </c>
      <c r="D2906" s="3" t="str">
        <f>VLOOKUP(C2906,Countries!$B$3:$C$140,2,FALSE)</f>
        <v>Europe</v>
      </c>
      <c r="E2906" s="3" t="s">
        <v>57</v>
      </c>
      <c r="F2906" s="3" t="str">
        <f>VLOOKUP(E2906,Countries!$B$3:$C$140,2,FALSE)</f>
        <v>Europe/Asia</v>
      </c>
      <c r="G2906" s="4">
        <v>10</v>
      </c>
      <c r="H2906" s="4">
        <v>0</v>
      </c>
    </row>
    <row r="2907" spans="2:8" x14ac:dyDescent="0.2">
      <c r="B2907" s="3" t="s">
        <v>160</v>
      </c>
      <c r="C2907" s="3" t="s">
        <v>54</v>
      </c>
      <c r="D2907" s="3" t="str">
        <f>VLOOKUP(C2907,Countries!$B$3:$C$140,2,FALSE)</f>
        <v>Europe</v>
      </c>
      <c r="E2907" s="3" t="s">
        <v>105</v>
      </c>
      <c r="F2907" s="3" t="str">
        <f>VLOOKUP(E2907,Countries!$B$3:$C$140,2,FALSE)</f>
        <v>Asia</v>
      </c>
      <c r="G2907" s="4">
        <v>4</v>
      </c>
      <c r="H2907" s="4">
        <v>0</v>
      </c>
    </row>
    <row r="2908" spans="2:8" x14ac:dyDescent="0.2">
      <c r="B2908" s="3" t="s">
        <v>160</v>
      </c>
      <c r="C2908" s="3" t="s">
        <v>54</v>
      </c>
      <c r="D2908" s="3" t="str">
        <f>VLOOKUP(C2908,Countries!$B$3:$C$140,2,FALSE)</f>
        <v>Europe</v>
      </c>
      <c r="E2908" s="3" t="s">
        <v>138</v>
      </c>
      <c r="F2908" s="3" t="str">
        <f>VLOOKUP(E2908,Countries!$B$3:$C$140,2,FALSE)</f>
        <v>Africa</v>
      </c>
      <c r="G2908" s="4">
        <v>2</v>
      </c>
      <c r="H2908" s="4">
        <v>0</v>
      </c>
    </row>
    <row r="2909" spans="2:8" x14ac:dyDescent="0.2">
      <c r="B2909" s="3" t="s">
        <v>160</v>
      </c>
      <c r="C2909" s="3" t="s">
        <v>54</v>
      </c>
      <c r="D2909" s="3" t="str">
        <f>VLOOKUP(C2909,Countries!$B$3:$C$140,2,FALSE)</f>
        <v>Europe</v>
      </c>
      <c r="E2909" s="3" t="s">
        <v>32</v>
      </c>
      <c r="F2909" s="3" t="str">
        <f>VLOOKUP(E2909,Countries!$B$3:$C$140,2,FALSE)</f>
        <v>Europe</v>
      </c>
      <c r="G2909" s="4">
        <v>20</v>
      </c>
      <c r="H2909" s="4">
        <v>0</v>
      </c>
    </row>
    <row r="2910" spans="2:8" x14ac:dyDescent="0.2">
      <c r="B2910" s="3" t="s">
        <v>160</v>
      </c>
      <c r="C2910" s="3" t="s">
        <v>54</v>
      </c>
      <c r="D2910" s="3" t="str">
        <f>VLOOKUP(C2910,Countries!$B$3:$C$140,2,FALSE)</f>
        <v>Europe</v>
      </c>
      <c r="E2910" s="3" t="s">
        <v>91</v>
      </c>
      <c r="F2910" s="3" t="str">
        <f>VLOOKUP(E2910,Countries!$B$3:$C$140,2,FALSE)</f>
        <v>South America</v>
      </c>
      <c r="G2910" s="4">
        <v>2</v>
      </c>
      <c r="H2910" s="4">
        <v>0</v>
      </c>
    </row>
    <row r="2911" spans="2:8" x14ac:dyDescent="0.2">
      <c r="B2911" s="3" t="s">
        <v>160</v>
      </c>
      <c r="C2911" s="3" t="s">
        <v>25</v>
      </c>
      <c r="D2911" s="3" t="str">
        <f>VLOOKUP(C2911,Countries!$B$3:$C$140,2,FALSE)</f>
        <v>Europe</v>
      </c>
      <c r="E2911" s="3" t="s">
        <v>113</v>
      </c>
      <c r="F2911" s="3" t="str">
        <f>VLOOKUP(E2911,Countries!$B$3:$C$140,2,FALSE)</f>
        <v>Africa</v>
      </c>
      <c r="G2911" s="4">
        <v>2</v>
      </c>
      <c r="H2911" s="4">
        <v>0</v>
      </c>
    </row>
    <row r="2912" spans="2:8" x14ac:dyDescent="0.2">
      <c r="B2912" s="3" t="s">
        <v>160</v>
      </c>
      <c r="C2912" s="3" t="s">
        <v>25</v>
      </c>
      <c r="D2912" s="3" t="str">
        <f>VLOOKUP(C2912,Countries!$B$3:$C$140,2,FALSE)</f>
        <v>Europe</v>
      </c>
      <c r="E2912" s="3" t="s">
        <v>68</v>
      </c>
      <c r="F2912" s="3" t="str">
        <f>VLOOKUP(E2912,Countries!$B$3:$C$140,2,FALSE)</f>
        <v>Africa</v>
      </c>
      <c r="G2912" s="4">
        <v>14</v>
      </c>
      <c r="H2912" s="4">
        <v>0</v>
      </c>
    </row>
    <row r="2913" spans="2:8" x14ac:dyDescent="0.2">
      <c r="B2913" s="3" t="s">
        <v>160</v>
      </c>
      <c r="C2913" s="3" t="s">
        <v>25</v>
      </c>
      <c r="D2913" s="3" t="str">
        <f>VLOOKUP(C2913,Countries!$B$3:$C$140,2,FALSE)</f>
        <v>Europe</v>
      </c>
      <c r="E2913" s="3" t="s">
        <v>69</v>
      </c>
      <c r="F2913" s="3" t="str">
        <f>VLOOKUP(E2913,Countries!$B$3:$C$140,2,FALSE)</f>
        <v>South America</v>
      </c>
      <c r="G2913" s="4">
        <v>6</v>
      </c>
      <c r="H2913" s="4">
        <v>8518815.2261519991</v>
      </c>
    </row>
    <row r="2914" spans="2:8" x14ac:dyDescent="0.2">
      <c r="B2914" s="3" t="s">
        <v>160</v>
      </c>
      <c r="C2914" s="3" t="s">
        <v>25</v>
      </c>
      <c r="D2914" s="3" t="str">
        <f>VLOOKUP(C2914,Countries!$B$3:$C$140,2,FALSE)</f>
        <v>Europe</v>
      </c>
      <c r="E2914" s="3" t="s">
        <v>4</v>
      </c>
      <c r="F2914" s="3" t="str">
        <f>VLOOKUP(E2914,Countries!$B$3:$C$140,2,FALSE)</f>
        <v>Asia</v>
      </c>
      <c r="G2914" s="4">
        <v>4</v>
      </c>
      <c r="H2914" s="4">
        <v>0</v>
      </c>
    </row>
    <row r="2915" spans="2:8" x14ac:dyDescent="0.2">
      <c r="B2915" s="3" t="s">
        <v>160</v>
      </c>
      <c r="C2915" s="3" t="s">
        <v>25</v>
      </c>
      <c r="D2915" s="3" t="str">
        <f>VLOOKUP(C2915,Countries!$B$3:$C$140,2,FALSE)</f>
        <v>Europe</v>
      </c>
      <c r="E2915" s="3" t="s">
        <v>35</v>
      </c>
      <c r="F2915" s="3" t="str">
        <f>VLOOKUP(E2915,Countries!$B$3:$C$140,2,FALSE)</f>
        <v>Europe</v>
      </c>
      <c r="G2915" s="4">
        <v>12</v>
      </c>
      <c r="H2915" s="4">
        <v>0</v>
      </c>
    </row>
    <row r="2916" spans="2:8" x14ac:dyDescent="0.2">
      <c r="B2916" s="3" t="s">
        <v>160</v>
      </c>
      <c r="C2916" s="3" t="s">
        <v>25</v>
      </c>
      <c r="D2916" s="3" t="str">
        <f>VLOOKUP(C2916,Countries!$B$3:$C$140,2,FALSE)</f>
        <v>Europe</v>
      </c>
      <c r="E2916" s="3" t="s">
        <v>70</v>
      </c>
      <c r="F2916" s="3" t="str">
        <f>VLOOKUP(E2916,Countries!$B$3:$C$140,2,FALSE)</f>
        <v>Africa</v>
      </c>
      <c r="G2916" s="4">
        <v>2</v>
      </c>
      <c r="H2916" s="4">
        <v>0</v>
      </c>
    </row>
    <row r="2917" spans="2:8" x14ac:dyDescent="0.2">
      <c r="B2917" s="3" t="s">
        <v>160</v>
      </c>
      <c r="C2917" s="3" t="s">
        <v>25</v>
      </c>
      <c r="D2917" s="3" t="str">
        <f>VLOOKUP(C2917,Countries!$B$3:$C$140,2,FALSE)</f>
        <v>Europe</v>
      </c>
      <c r="E2917" s="3" t="s">
        <v>7</v>
      </c>
      <c r="F2917" s="3" t="str">
        <f>VLOOKUP(E2917,Countries!$B$3:$C$140,2,FALSE)</f>
        <v>South America</v>
      </c>
      <c r="G2917" s="4">
        <v>178</v>
      </c>
      <c r="H2917" s="4">
        <v>20663454.438912001</v>
      </c>
    </row>
    <row r="2918" spans="2:8" x14ac:dyDescent="0.2">
      <c r="B2918" s="3" t="s">
        <v>160</v>
      </c>
      <c r="C2918" s="3" t="s">
        <v>25</v>
      </c>
      <c r="D2918" s="3" t="str">
        <f>VLOOKUP(C2918,Countries!$B$3:$C$140,2,FALSE)</f>
        <v>Europe</v>
      </c>
      <c r="E2918" s="3" t="s">
        <v>36</v>
      </c>
      <c r="F2918" s="3" t="str">
        <f>VLOOKUP(E2918,Countries!$B$3:$C$140,2,FALSE)</f>
        <v>Europe</v>
      </c>
      <c r="G2918" s="4">
        <v>2</v>
      </c>
      <c r="H2918" s="4">
        <v>0</v>
      </c>
    </row>
    <row r="2919" spans="2:8" x14ac:dyDescent="0.2">
      <c r="B2919" s="3" t="s">
        <v>160</v>
      </c>
      <c r="C2919" s="3" t="s">
        <v>25</v>
      </c>
      <c r="D2919" s="3" t="str">
        <f>VLOOKUP(C2919,Countries!$B$3:$C$140,2,FALSE)</f>
        <v>Europe</v>
      </c>
      <c r="E2919" s="3" t="s">
        <v>88</v>
      </c>
      <c r="F2919" s="3" t="str">
        <f>VLOOKUP(E2919,Countries!$B$3:$C$140,2,FALSE)</f>
        <v>South America</v>
      </c>
      <c r="G2919" s="4">
        <v>2</v>
      </c>
      <c r="H2919" s="4">
        <v>447133.06445040007</v>
      </c>
    </row>
    <row r="2920" spans="2:8" x14ac:dyDescent="0.2">
      <c r="B2920" s="3" t="s">
        <v>160</v>
      </c>
      <c r="C2920" s="3" t="s">
        <v>25</v>
      </c>
      <c r="D2920" s="3" t="str">
        <f>VLOOKUP(C2920,Countries!$B$3:$C$140,2,FALSE)</f>
        <v>Europe</v>
      </c>
      <c r="E2920" s="3" t="s">
        <v>89</v>
      </c>
      <c r="F2920" s="3" t="str">
        <f>VLOOKUP(E2920,Countries!$B$3:$C$140,2,FALSE)</f>
        <v>Asia</v>
      </c>
      <c r="G2920" s="4">
        <v>8</v>
      </c>
      <c r="H2920" s="4">
        <v>0</v>
      </c>
    </row>
    <row r="2921" spans="2:8" x14ac:dyDescent="0.2">
      <c r="B2921" s="3" t="s">
        <v>160</v>
      </c>
      <c r="C2921" s="3" t="s">
        <v>25</v>
      </c>
      <c r="D2921" s="3" t="str">
        <f>VLOOKUP(C2921,Countries!$B$3:$C$140,2,FALSE)</f>
        <v>Europe</v>
      </c>
      <c r="E2921" s="3" t="s">
        <v>37</v>
      </c>
      <c r="F2921" s="3" t="str">
        <f>VLOOKUP(E2921,Countries!$B$3:$C$140,2,FALSE)</f>
        <v>Africa</v>
      </c>
      <c r="G2921" s="4">
        <v>2</v>
      </c>
      <c r="H2921" s="4">
        <v>0</v>
      </c>
    </row>
    <row r="2922" spans="2:8" x14ac:dyDescent="0.2">
      <c r="B2922" s="3" t="s">
        <v>160</v>
      </c>
      <c r="C2922" s="3" t="s">
        <v>25</v>
      </c>
      <c r="D2922" s="3" t="str">
        <f>VLOOKUP(C2922,Countries!$B$3:$C$140,2,FALSE)</f>
        <v>Europe</v>
      </c>
      <c r="E2922" s="3" t="s">
        <v>106</v>
      </c>
      <c r="F2922" s="3" t="str">
        <f>VLOOKUP(E2922,Countries!$B$3:$C$140,2,FALSE)</f>
        <v>Africa</v>
      </c>
      <c r="G2922" s="4">
        <v>2</v>
      </c>
      <c r="H2922" s="4">
        <v>0</v>
      </c>
    </row>
    <row r="2923" spans="2:8" x14ac:dyDescent="0.2">
      <c r="B2923" s="3" t="s">
        <v>160</v>
      </c>
      <c r="C2923" s="3" t="s">
        <v>25</v>
      </c>
      <c r="D2923" s="3" t="str">
        <f>VLOOKUP(C2923,Countries!$B$3:$C$140,2,FALSE)</f>
        <v>Europe</v>
      </c>
      <c r="E2923" s="3" t="s">
        <v>72</v>
      </c>
      <c r="F2923" s="3" t="str">
        <f>VLOOKUP(E2923,Countries!$B$3:$C$140,2,FALSE)</f>
        <v>South America</v>
      </c>
      <c r="G2923" s="4">
        <v>2</v>
      </c>
      <c r="H2923" s="4">
        <v>7500000</v>
      </c>
    </row>
    <row r="2924" spans="2:8" x14ac:dyDescent="0.2">
      <c r="B2924" s="3" t="s">
        <v>160</v>
      </c>
      <c r="C2924" s="3" t="s">
        <v>25</v>
      </c>
      <c r="D2924" s="3" t="str">
        <f>VLOOKUP(C2924,Countries!$B$3:$C$140,2,FALSE)</f>
        <v>Europe</v>
      </c>
      <c r="E2924" s="3" t="s">
        <v>125</v>
      </c>
      <c r="F2924" s="3" t="str">
        <f>VLOOKUP(E2924,Countries!$B$3:$C$140,2,FALSE)</f>
        <v>Africa</v>
      </c>
      <c r="G2924" s="4">
        <v>4</v>
      </c>
      <c r="H2924" s="4">
        <v>0</v>
      </c>
    </row>
    <row r="2925" spans="2:8" x14ac:dyDescent="0.2">
      <c r="B2925" s="3" t="s">
        <v>160</v>
      </c>
      <c r="C2925" s="3" t="s">
        <v>25</v>
      </c>
      <c r="D2925" s="3" t="str">
        <f>VLOOKUP(C2925,Countries!$B$3:$C$140,2,FALSE)</f>
        <v>Europe</v>
      </c>
      <c r="E2925" s="3" t="s">
        <v>9</v>
      </c>
      <c r="F2925" s="3" t="str">
        <f>VLOOKUP(E2925,Countries!$B$3:$C$140,2,FALSE)</f>
        <v>Europe</v>
      </c>
      <c r="G2925" s="4">
        <v>2</v>
      </c>
      <c r="H2925" s="4">
        <v>0</v>
      </c>
    </row>
    <row r="2926" spans="2:8" x14ac:dyDescent="0.2">
      <c r="B2926" s="3" t="s">
        <v>160</v>
      </c>
      <c r="C2926" s="3" t="s">
        <v>25</v>
      </c>
      <c r="D2926" s="3" t="str">
        <f>VLOOKUP(C2926,Countries!$B$3:$C$140,2,FALSE)</f>
        <v>Europe</v>
      </c>
      <c r="E2926" s="3" t="s">
        <v>62</v>
      </c>
      <c r="F2926" s="3" t="str">
        <f>VLOOKUP(E2926,Countries!$B$3:$C$140,2,FALSE)</f>
        <v>Asia</v>
      </c>
      <c r="G2926" s="4">
        <v>18</v>
      </c>
      <c r="H2926" s="4">
        <v>0</v>
      </c>
    </row>
    <row r="2927" spans="2:8" x14ac:dyDescent="0.2">
      <c r="B2927" s="3" t="s">
        <v>160</v>
      </c>
      <c r="C2927" s="3" t="s">
        <v>25</v>
      </c>
      <c r="D2927" s="3" t="str">
        <f>VLOOKUP(C2927,Countries!$B$3:$C$140,2,FALSE)</f>
        <v>Europe</v>
      </c>
      <c r="E2927" s="3" t="s">
        <v>10</v>
      </c>
      <c r="F2927" s="3" t="str">
        <f>VLOOKUP(E2927,Countries!$B$3:$C$140,2,FALSE)</f>
        <v>Europe</v>
      </c>
      <c r="G2927" s="4">
        <v>2</v>
      </c>
      <c r="H2927" s="4">
        <v>0</v>
      </c>
    </row>
    <row r="2928" spans="2:8" x14ac:dyDescent="0.2">
      <c r="B2928" s="3" t="s">
        <v>160</v>
      </c>
      <c r="C2928" s="3" t="s">
        <v>25</v>
      </c>
      <c r="D2928" s="3" t="str">
        <f>VLOOKUP(C2928,Countries!$B$3:$C$140,2,FALSE)</f>
        <v>Europe</v>
      </c>
      <c r="E2928" s="3" t="s">
        <v>107</v>
      </c>
      <c r="F2928" s="3" t="str">
        <f>VLOOKUP(E2928,Countries!$B$3:$C$140,2,FALSE)</f>
        <v>South America</v>
      </c>
      <c r="G2928" s="4">
        <v>8</v>
      </c>
      <c r="H2928" s="4">
        <v>0</v>
      </c>
    </row>
    <row r="2929" spans="2:8" x14ac:dyDescent="0.2">
      <c r="B2929" s="3" t="s">
        <v>160</v>
      </c>
      <c r="C2929" s="3" t="s">
        <v>25</v>
      </c>
      <c r="D2929" s="3" t="str">
        <f>VLOOKUP(C2929,Countries!$B$3:$C$140,2,FALSE)</f>
        <v>Europe</v>
      </c>
      <c r="E2929" s="3" t="s">
        <v>63</v>
      </c>
      <c r="F2929" s="3" t="str">
        <f>VLOOKUP(E2929,Countries!$B$3:$C$140,2,FALSE)</f>
        <v>Africa</v>
      </c>
      <c r="G2929" s="4">
        <v>2</v>
      </c>
      <c r="H2929" s="4">
        <v>161433.237804</v>
      </c>
    </row>
    <row r="2930" spans="2:8" x14ac:dyDescent="0.2">
      <c r="B2930" s="3" t="s">
        <v>160</v>
      </c>
      <c r="C2930" s="3" t="s">
        <v>25</v>
      </c>
      <c r="D2930" s="3" t="str">
        <f>VLOOKUP(C2930,Countries!$B$3:$C$140,2,FALSE)</f>
        <v>Europe</v>
      </c>
      <c r="E2930" s="3" t="s">
        <v>50</v>
      </c>
      <c r="F2930" s="3" t="str">
        <f>VLOOKUP(E2930,Countries!$B$3:$C$140,2,FALSE)</f>
        <v>Europe</v>
      </c>
      <c r="G2930" s="4">
        <v>20</v>
      </c>
      <c r="H2930" s="4">
        <v>245486.34842250001</v>
      </c>
    </row>
    <row r="2931" spans="2:8" x14ac:dyDescent="0.2">
      <c r="B2931" s="3" t="s">
        <v>160</v>
      </c>
      <c r="C2931" s="3" t="s">
        <v>25</v>
      </c>
      <c r="D2931" s="3" t="str">
        <f>VLOOKUP(C2931,Countries!$B$3:$C$140,2,FALSE)</f>
        <v>Europe</v>
      </c>
      <c r="E2931" s="3" t="s">
        <v>11</v>
      </c>
      <c r="F2931" s="3" t="str">
        <f>VLOOKUP(E2931,Countries!$B$3:$C$140,2,FALSE)</f>
        <v>Europe</v>
      </c>
      <c r="G2931" s="4">
        <v>46</v>
      </c>
      <c r="H2931" s="4">
        <v>45887397.845786996</v>
      </c>
    </row>
    <row r="2932" spans="2:8" x14ac:dyDescent="0.2">
      <c r="B2932" s="3" t="s">
        <v>160</v>
      </c>
      <c r="C2932" s="3" t="s">
        <v>25</v>
      </c>
      <c r="D2932" s="3" t="str">
        <f>VLOOKUP(C2932,Countries!$B$3:$C$140,2,FALSE)</f>
        <v>Europe</v>
      </c>
      <c r="E2932" s="3" t="s">
        <v>12</v>
      </c>
      <c r="F2932" s="3" t="str">
        <f>VLOOKUP(E2932,Countries!$B$3:$C$140,2,FALSE)</f>
        <v>Europe</v>
      </c>
      <c r="G2932" s="4">
        <v>26</v>
      </c>
      <c r="H2932" s="4">
        <v>2298056.9268239997</v>
      </c>
    </row>
    <row r="2933" spans="2:8" x14ac:dyDescent="0.2">
      <c r="B2933" s="3" t="s">
        <v>160</v>
      </c>
      <c r="C2933" s="3" t="s">
        <v>25</v>
      </c>
      <c r="D2933" s="3" t="str">
        <f>VLOOKUP(C2933,Countries!$B$3:$C$140,2,FALSE)</f>
        <v>Europe</v>
      </c>
      <c r="E2933" s="3" t="s">
        <v>114</v>
      </c>
      <c r="F2933" s="3" t="str">
        <f>VLOOKUP(E2933,Countries!$B$3:$C$140,2,FALSE)</f>
        <v>Africa</v>
      </c>
      <c r="G2933" s="4">
        <v>4</v>
      </c>
      <c r="H2933" s="4">
        <v>0</v>
      </c>
    </row>
    <row r="2934" spans="2:8" x14ac:dyDescent="0.2">
      <c r="B2934" s="3" t="s">
        <v>160</v>
      </c>
      <c r="C2934" s="3" t="s">
        <v>25</v>
      </c>
      <c r="D2934" s="3" t="str">
        <f>VLOOKUP(C2934,Countries!$B$3:$C$140,2,FALSE)</f>
        <v>Europe</v>
      </c>
      <c r="E2934" s="3" t="s">
        <v>13</v>
      </c>
      <c r="F2934" s="3" t="str">
        <f>VLOOKUP(E2934,Countries!$B$3:$C$140,2,FALSE)</f>
        <v>Europe</v>
      </c>
      <c r="G2934" s="4">
        <v>18</v>
      </c>
      <c r="H2934" s="4">
        <v>0</v>
      </c>
    </row>
    <row r="2935" spans="2:8" x14ac:dyDescent="0.2">
      <c r="B2935" s="3" t="s">
        <v>160</v>
      </c>
      <c r="C2935" s="3" t="s">
        <v>25</v>
      </c>
      <c r="D2935" s="3" t="str">
        <f>VLOOKUP(C2935,Countries!$B$3:$C$140,2,FALSE)</f>
        <v>Europe</v>
      </c>
      <c r="E2935" s="3" t="s">
        <v>64</v>
      </c>
      <c r="F2935" s="3" t="str">
        <f>VLOOKUP(E2935,Countries!$B$3:$C$140,2,FALSE)</f>
        <v>Africa</v>
      </c>
      <c r="G2935" s="4">
        <v>2</v>
      </c>
      <c r="H2935" s="4">
        <v>1614332.3780399999</v>
      </c>
    </row>
    <row r="2936" spans="2:8" x14ac:dyDescent="0.2">
      <c r="B2936" s="3" t="s">
        <v>160</v>
      </c>
      <c r="C2936" s="3" t="s">
        <v>25</v>
      </c>
      <c r="D2936" s="3" t="str">
        <f>VLOOKUP(C2936,Countries!$B$3:$C$140,2,FALSE)</f>
        <v>Europe</v>
      </c>
      <c r="E2936" s="3" t="s">
        <v>127</v>
      </c>
      <c r="F2936" s="3" t="str">
        <f>VLOOKUP(E2936,Countries!$B$3:$C$140,2,FALSE)</f>
        <v>Africa</v>
      </c>
      <c r="G2936" s="4">
        <v>2</v>
      </c>
      <c r="H2936" s="4">
        <v>0</v>
      </c>
    </row>
    <row r="2937" spans="2:8" x14ac:dyDescent="0.2">
      <c r="B2937" s="3" t="s">
        <v>160</v>
      </c>
      <c r="C2937" s="3" t="s">
        <v>25</v>
      </c>
      <c r="D2937" s="3" t="str">
        <f>VLOOKUP(C2937,Countries!$B$3:$C$140,2,FALSE)</f>
        <v>Europe</v>
      </c>
      <c r="E2937" s="3" t="s">
        <v>14</v>
      </c>
      <c r="F2937" s="3" t="str">
        <f>VLOOKUP(E2937,Countries!$B$3:$C$140,2,FALSE)</f>
        <v>Europe</v>
      </c>
      <c r="G2937" s="4">
        <v>10</v>
      </c>
      <c r="H2937" s="4">
        <v>0</v>
      </c>
    </row>
    <row r="2938" spans="2:8" x14ac:dyDescent="0.2">
      <c r="B2938" s="3" t="s">
        <v>160</v>
      </c>
      <c r="C2938" s="3" t="s">
        <v>25</v>
      </c>
      <c r="D2938" s="3" t="str">
        <f>VLOOKUP(C2938,Countries!$B$3:$C$140,2,FALSE)</f>
        <v>Europe</v>
      </c>
      <c r="E2938" s="3" t="s">
        <v>124</v>
      </c>
      <c r="F2938" s="3" t="str">
        <f>VLOOKUP(E2938,Countries!$B$3:$C$140,2,FALSE)</f>
        <v>North America</v>
      </c>
      <c r="G2938" s="4">
        <v>2</v>
      </c>
      <c r="H2938" s="4">
        <v>0</v>
      </c>
    </row>
    <row r="2939" spans="2:8" x14ac:dyDescent="0.2">
      <c r="B2939" s="3" t="s">
        <v>160</v>
      </c>
      <c r="C2939" s="3" t="s">
        <v>25</v>
      </c>
      <c r="D2939" s="3" t="str">
        <f>VLOOKUP(C2939,Countries!$B$3:$C$140,2,FALSE)</f>
        <v>Europe</v>
      </c>
      <c r="E2939" s="3" t="s">
        <v>15</v>
      </c>
      <c r="F2939" s="3" t="str">
        <f>VLOOKUP(E2939,Countries!$B$3:$C$140,2,FALSE)</f>
        <v>Europe</v>
      </c>
      <c r="G2939" s="4">
        <v>6</v>
      </c>
      <c r="H2939" s="4">
        <v>0</v>
      </c>
    </row>
    <row r="2940" spans="2:8" x14ac:dyDescent="0.2">
      <c r="B2940" s="3" t="s">
        <v>160</v>
      </c>
      <c r="C2940" s="3" t="s">
        <v>25</v>
      </c>
      <c r="D2940" s="3" t="str">
        <f>VLOOKUP(C2940,Countries!$B$3:$C$140,2,FALSE)</f>
        <v>Europe</v>
      </c>
      <c r="E2940" s="3" t="s">
        <v>74</v>
      </c>
      <c r="F2940" s="3" t="str">
        <f>VLOOKUP(E2940,Countries!$B$3:$C$140,2,FALSE)</f>
        <v>Asia</v>
      </c>
      <c r="G2940" s="4">
        <v>2</v>
      </c>
      <c r="H2940" s="4">
        <v>0</v>
      </c>
    </row>
    <row r="2941" spans="2:8" x14ac:dyDescent="0.2">
      <c r="B2941" s="3" t="s">
        <v>160</v>
      </c>
      <c r="C2941" s="3" t="s">
        <v>25</v>
      </c>
      <c r="D2941" s="3" t="str">
        <f>VLOOKUP(C2941,Countries!$B$3:$C$140,2,FALSE)</f>
        <v>Europe</v>
      </c>
      <c r="E2941" s="3" t="s">
        <v>16</v>
      </c>
      <c r="F2941" s="3" t="str">
        <f>VLOOKUP(E2941,Countries!$B$3:$C$140,2,FALSE)</f>
        <v>Asia</v>
      </c>
      <c r="G2941" s="4">
        <v>4</v>
      </c>
      <c r="H2941" s="4">
        <v>0</v>
      </c>
    </row>
    <row r="2942" spans="2:8" x14ac:dyDescent="0.2">
      <c r="B2942" s="3" t="s">
        <v>160</v>
      </c>
      <c r="C2942" s="3" t="s">
        <v>25</v>
      </c>
      <c r="D2942" s="3" t="str">
        <f>VLOOKUP(C2942,Countries!$B$3:$C$140,2,FALSE)</f>
        <v>Europe</v>
      </c>
      <c r="E2942" s="3" t="s">
        <v>75</v>
      </c>
      <c r="F2942" s="3" t="str">
        <f>VLOOKUP(E2942,Countries!$B$3:$C$140,2,FALSE)</f>
        <v>Europe</v>
      </c>
      <c r="G2942" s="4">
        <v>2</v>
      </c>
      <c r="H2942" s="4">
        <v>0</v>
      </c>
    </row>
    <row r="2943" spans="2:8" x14ac:dyDescent="0.2">
      <c r="B2943" s="3" t="s">
        <v>160</v>
      </c>
      <c r="C2943" s="3" t="s">
        <v>25</v>
      </c>
      <c r="D2943" s="3" t="str">
        <f>VLOOKUP(C2943,Countries!$B$3:$C$140,2,FALSE)</f>
        <v>Europe</v>
      </c>
      <c r="E2943" s="3" t="s">
        <v>51</v>
      </c>
      <c r="F2943" s="3" t="str">
        <f>VLOOKUP(E2943,Countries!$B$3:$C$140,2,FALSE)</f>
        <v>Asia</v>
      </c>
      <c r="G2943" s="4">
        <v>4</v>
      </c>
      <c r="H2943" s="4">
        <v>0</v>
      </c>
    </row>
    <row r="2944" spans="2:8" x14ac:dyDescent="0.2">
      <c r="B2944" s="3" t="s">
        <v>160</v>
      </c>
      <c r="C2944" s="3" t="s">
        <v>25</v>
      </c>
      <c r="D2944" s="3" t="str">
        <f>VLOOKUP(C2944,Countries!$B$3:$C$140,2,FALSE)</f>
        <v>Europe</v>
      </c>
      <c r="E2944" s="3" t="s">
        <v>17</v>
      </c>
      <c r="F2944" s="3" t="str">
        <f>VLOOKUP(E2944,Countries!$B$3:$C$140,2,FALSE)</f>
        <v>Europe</v>
      </c>
      <c r="G2944" s="4">
        <v>16</v>
      </c>
      <c r="H2944" s="4">
        <v>0</v>
      </c>
    </row>
    <row r="2945" spans="2:8" x14ac:dyDescent="0.2">
      <c r="B2945" s="3" t="s">
        <v>160</v>
      </c>
      <c r="C2945" s="3" t="s">
        <v>25</v>
      </c>
      <c r="D2945" s="3" t="str">
        <f>VLOOKUP(C2945,Countries!$B$3:$C$140,2,FALSE)</f>
        <v>Europe</v>
      </c>
      <c r="E2945" s="3" t="s">
        <v>92</v>
      </c>
      <c r="F2945" s="3" t="str">
        <f>VLOOKUP(E2945,Countries!$B$3:$C$140,2,FALSE)</f>
        <v>Asia</v>
      </c>
      <c r="G2945" s="4">
        <v>4</v>
      </c>
      <c r="H2945" s="4">
        <v>0</v>
      </c>
    </row>
    <row r="2946" spans="2:8" x14ac:dyDescent="0.2">
      <c r="B2946" s="3" t="s">
        <v>160</v>
      </c>
      <c r="C2946" s="3" t="s">
        <v>25</v>
      </c>
      <c r="D2946" s="3" t="str">
        <f>VLOOKUP(C2946,Countries!$B$3:$C$140,2,FALSE)</f>
        <v>Europe</v>
      </c>
      <c r="E2946" s="3" t="s">
        <v>19</v>
      </c>
      <c r="F2946" s="3" t="str">
        <f>VLOOKUP(E2946,Countries!$B$3:$C$140,2,FALSE)</f>
        <v>Asia</v>
      </c>
      <c r="G2946" s="4">
        <v>16</v>
      </c>
      <c r="H2946" s="4">
        <v>0</v>
      </c>
    </row>
    <row r="2947" spans="2:8" x14ac:dyDescent="0.2">
      <c r="B2947" s="3" t="s">
        <v>160</v>
      </c>
      <c r="C2947" s="3" t="s">
        <v>25</v>
      </c>
      <c r="D2947" s="3" t="str">
        <f>VLOOKUP(C2947,Countries!$B$3:$C$140,2,FALSE)</f>
        <v>Europe</v>
      </c>
      <c r="E2947" s="3" t="s">
        <v>43</v>
      </c>
      <c r="F2947" s="3" t="str">
        <f>VLOOKUP(E2947,Countries!$B$3:$C$140,2,FALSE)</f>
        <v>Europe</v>
      </c>
      <c r="G2947" s="4">
        <v>2</v>
      </c>
      <c r="H2947" s="4">
        <v>0</v>
      </c>
    </row>
    <row r="2948" spans="2:8" x14ac:dyDescent="0.2">
      <c r="B2948" s="3" t="s">
        <v>160</v>
      </c>
      <c r="C2948" s="3" t="s">
        <v>25</v>
      </c>
      <c r="D2948" s="3" t="str">
        <f>VLOOKUP(C2948,Countries!$B$3:$C$140,2,FALSE)</f>
        <v>Europe</v>
      </c>
      <c r="E2948" s="3" t="s">
        <v>94</v>
      </c>
      <c r="F2948" s="3" t="str">
        <f>VLOOKUP(E2948,Countries!$B$3:$C$140,2,FALSE)</f>
        <v>North America</v>
      </c>
      <c r="G2948" s="4">
        <v>2</v>
      </c>
      <c r="H2948" s="4">
        <v>33000000</v>
      </c>
    </row>
    <row r="2949" spans="2:8" x14ac:dyDescent="0.2">
      <c r="B2949" s="3" t="s">
        <v>160</v>
      </c>
      <c r="C2949" s="3" t="s">
        <v>25</v>
      </c>
      <c r="D2949" s="3" t="str">
        <f>VLOOKUP(C2949,Countries!$B$3:$C$140,2,FALSE)</f>
        <v>Europe</v>
      </c>
      <c r="E2949" s="3" t="s">
        <v>67</v>
      </c>
      <c r="F2949" s="3" t="str">
        <f>VLOOKUP(E2949,Countries!$B$3:$C$140,2,FALSE)</f>
        <v>Africa</v>
      </c>
      <c r="G2949" s="4">
        <v>2</v>
      </c>
      <c r="H2949" s="4">
        <v>0</v>
      </c>
    </row>
    <row r="2950" spans="2:8" x14ac:dyDescent="0.2">
      <c r="B2950" s="3" t="s">
        <v>160</v>
      </c>
      <c r="C2950" s="3" t="s">
        <v>25</v>
      </c>
      <c r="D2950" s="3" t="str">
        <f>VLOOKUP(C2950,Countries!$B$3:$C$140,2,FALSE)</f>
        <v>Europe</v>
      </c>
      <c r="E2950" s="3" t="s">
        <v>128</v>
      </c>
      <c r="F2950" s="3" t="str">
        <f>VLOOKUP(E2950,Countries!$B$3:$C$140,2,FALSE)</f>
        <v>Africa</v>
      </c>
      <c r="G2950" s="4">
        <v>14</v>
      </c>
      <c r="H2950" s="4">
        <v>0</v>
      </c>
    </row>
    <row r="2951" spans="2:8" x14ac:dyDescent="0.2">
      <c r="B2951" s="3" t="s">
        <v>160</v>
      </c>
      <c r="C2951" s="3" t="s">
        <v>25</v>
      </c>
      <c r="D2951" s="3" t="str">
        <f>VLOOKUP(C2951,Countries!$B$3:$C$140,2,FALSE)</f>
        <v>Europe</v>
      </c>
      <c r="E2951" s="3" t="s">
        <v>53</v>
      </c>
      <c r="F2951" s="3" t="str">
        <f>VLOOKUP(E2951,Countries!$B$3:$C$140,2,FALSE)</f>
        <v>Europe</v>
      </c>
      <c r="G2951" s="4">
        <v>10</v>
      </c>
      <c r="H2951" s="4">
        <v>39500577.657420002</v>
      </c>
    </row>
    <row r="2952" spans="2:8" x14ac:dyDescent="0.2">
      <c r="B2952" s="3" t="s">
        <v>160</v>
      </c>
      <c r="C2952" s="3" t="s">
        <v>25</v>
      </c>
      <c r="D2952" s="3" t="str">
        <f>VLOOKUP(C2952,Countries!$B$3:$C$140,2,FALSE)</f>
        <v>Europe</v>
      </c>
      <c r="E2952" s="3" t="s">
        <v>79</v>
      </c>
      <c r="F2952" s="3" t="str">
        <f>VLOOKUP(E2952,Countries!$B$3:$C$140,2,FALSE)</f>
        <v>South America</v>
      </c>
      <c r="G2952" s="4">
        <v>6</v>
      </c>
      <c r="H2952" s="4">
        <v>5400000</v>
      </c>
    </row>
    <row r="2953" spans="2:8" x14ac:dyDescent="0.2">
      <c r="B2953" s="3" t="s">
        <v>160</v>
      </c>
      <c r="C2953" s="3" t="s">
        <v>25</v>
      </c>
      <c r="D2953" s="3" t="str">
        <f>VLOOKUP(C2953,Countries!$B$3:$C$140,2,FALSE)</f>
        <v>Europe</v>
      </c>
      <c r="E2953" s="3" t="s">
        <v>80</v>
      </c>
      <c r="F2953" s="3" t="str">
        <f>VLOOKUP(E2953,Countries!$B$3:$C$140,2,FALSE)</f>
        <v>South America</v>
      </c>
      <c r="G2953" s="4">
        <v>4</v>
      </c>
      <c r="H2953" s="4">
        <v>840000</v>
      </c>
    </row>
    <row r="2954" spans="2:8" x14ac:dyDescent="0.2">
      <c r="B2954" s="3" t="s">
        <v>160</v>
      </c>
      <c r="C2954" s="3" t="s">
        <v>25</v>
      </c>
      <c r="D2954" s="3" t="str">
        <f>VLOOKUP(C2954,Countries!$B$3:$C$140,2,FALSE)</f>
        <v>Europe</v>
      </c>
      <c r="E2954" s="3" t="s">
        <v>54</v>
      </c>
      <c r="F2954" s="3" t="str">
        <f>VLOOKUP(E2954,Countries!$B$3:$C$140,2,FALSE)</f>
        <v>Europe</v>
      </c>
      <c r="G2954" s="4">
        <v>4</v>
      </c>
      <c r="H2954" s="4">
        <v>0</v>
      </c>
    </row>
    <row r="2955" spans="2:8" x14ac:dyDescent="0.2">
      <c r="B2955" s="3" t="s">
        <v>160</v>
      </c>
      <c r="C2955" s="3" t="s">
        <v>25</v>
      </c>
      <c r="D2955" s="3" t="str">
        <f>VLOOKUP(C2955,Countries!$B$3:$C$140,2,FALSE)</f>
        <v>Europe</v>
      </c>
      <c r="E2955" s="3" t="s">
        <v>81</v>
      </c>
      <c r="F2955" s="3" t="str">
        <f>VLOOKUP(E2955,Countries!$B$3:$C$140,2,FALSE)</f>
        <v>Asia</v>
      </c>
      <c r="G2955" s="4">
        <v>6</v>
      </c>
      <c r="H2955" s="4">
        <v>0</v>
      </c>
    </row>
    <row r="2956" spans="2:8" x14ac:dyDescent="0.2">
      <c r="B2956" s="3" t="s">
        <v>160</v>
      </c>
      <c r="C2956" s="3" t="s">
        <v>25</v>
      </c>
      <c r="D2956" s="3" t="str">
        <f>VLOOKUP(C2956,Countries!$B$3:$C$140,2,FALSE)</f>
        <v>Europe</v>
      </c>
      <c r="E2956" s="3" t="s">
        <v>26</v>
      </c>
      <c r="F2956" s="3" t="str">
        <f>VLOOKUP(E2956,Countries!$B$3:$C$140,2,FALSE)</f>
        <v>Europe</v>
      </c>
      <c r="G2956" s="4">
        <v>28</v>
      </c>
      <c r="H2956" s="4">
        <v>706368.11962301098</v>
      </c>
    </row>
    <row r="2957" spans="2:8" x14ac:dyDescent="0.2">
      <c r="B2957" s="3" t="s">
        <v>160</v>
      </c>
      <c r="C2957" s="3" t="s">
        <v>25</v>
      </c>
      <c r="D2957" s="3" t="str">
        <f>VLOOKUP(C2957,Countries!$B$3:$C$140,2,FALSE)</f>
        <v>Europe</v>
      </c>
      <c r="E2957" s="3" t="s">
        <v>46</v>
      </c>
      <c r="F2957" s="3" t="str">
        <f>VLOOKUP(E2957,Countries!$B$3:$C$140,2,FALSE)</f>
        <v>Europe/Asia</v>
      </c>
      <c r="G2957" s="4">
        <v>10</v>
      </c>
      <c r="H2957" s="4">
        <v>20786644.379960701</v>
      </c>
    </row>
    <row r="2958" spans="2:8" x14ac:dyDescent="0.2">
      <c r="B2958" s="3" t="s">
        <v>160</v>
      </c>
      <c r="C2958" s="3" t="s">
        <v>25</v>
      </c>
      <c r="D2958" s="3" t="str">
        <f>VLOOKUP(C2958,Countries!$B$3:$C$140,2,FALSE)</f>
        <v>Europe</v>
      </c>
      <c r="E2958" s="3" t="s">
        <v>55</v>
      </c>
      <c r="F2958" s="3" t="str">
        <f>VLOOKUP(E2958,Countries!$B$3:$C$140,2,FALSE)</f>
        <v>Europe</v>
      </c>
      <c r="G2958" s="4">
        <v>4</v>
      </c>
      <c r="H2958" s="4">
        <v>0</v>
      </c>
    </row>
    <row r="2959" spans="2:8" x14ac:dyDescent="0.2">
      <c r="B2959" s="3" t="s">
        <v>160</v>
      </c>
      <c r="C2959" s="3" t="s">
        <v>25</v>
      </c>
      <c r="D2959" s="3" t="str">
        <f>VLOOKUP(C2959,Countries!$B$3:$C$140,2,FALSE)</f>
        <v>Europe</v>
      </c>
      <c r="E2959" s="3" t="s">
        <v>47</v>
      </c>
      <c r="F2959" s="3" t="str">
        <f>VLOOKUP(E2959,Countries!$B$3:$C$140,2,FALSE)</f>
        <v>Africa</v>
      </c>
      <c r="G2959" s="4">
        <v>4</v>
      </c>
      <c r="H2959" s="4">
        <v>0</v>
      </c>
    </row>
    <row r="2960" spans="2:8" x14ac:dyDescent="0.2">
      <c r="B2960" s="3" t="s">
        <v>160</v>
      </c>
      <c r="C2960" s="3" t="s">
        <v>25</v>
      </c>
      <c r="D2960" s="3" t="str">
        <f>VLOOKUP(C2960,Countries!$B$3:$C$140,2,FALSE)</f>
        <v>Europe</v>
      </c>
      <c r="E2960" s="3" t="s">
        <v>90</v>
      </c>
      <c r="F2960" s="3" t="str">
        <f>VLOOKUP(E2960,Countries!$B$3:$C$140,2,FALSE)</f>
        <v>Asia</v>
      </c>
      <c r="G2960" s="4">
        <v>2</v>
      </c>
      <c r="H2960" s="4">
        <v>0</v>
      </c>
    </row>
    <row r="2961" spans="2:8" x14ac:dyDescent="0.2">
      <c r="B2961" s="3" t="s">
        <v>160</v>
      </c>
      <c r="C2961" s="3" t="s">
        <v>25</v>
      </c>
      <c r="D2961" s="3" t="str">
        <f>VLOOKUP(C2961,Countries!$B$3:$C$140,2,FALSE)</f>
        <v>Europe</v>
      </c>
      <c r="E2961" s="3" t="s">
        <v>28</v>
      </c>
      <c r="F2961" s="3" t="str">
        <f>VLOOKUP(E2961,Countries!$B$3:$C$140,2,FALSE)</f>
        <v>Europe</v>
      </c>
      <c r="G2961" s="4">
        <v>6</v>
      </c>
      <c r="H2961" s="4">
        <v>0</v>
      </c>
    </row>
    <row r="2962" spans="2:8" x14ac:dyDescent="0.2">
      <c r="B2962" s="3" t="s">
        <v>160</v>
      </c>
      <c r="C2962" s="3" t="s">
        <v>25</v>
      </c>
      <c r="D2962" s="3" t="str">
        <f>VLOOKUP(C2962,Countries!$B$3:$C$140,2,FALSE)</f>
        <v>Europe</v>
      </c>
      <c r="E2962" s="3" t="s">
        <v>29</v>
      </c>
      <c r="F2962" s="3" t="str">
        <f>VLOOKUP(E2962,Countries!$B$3:$C$140,2,FALSE)</f>
        <v>Europe</v>
      </c>
      <c r="G2962" s="4">
        <v>8</v>
      </c>
      <c r="H2962" s="4">
        <v>0</v>
      </c>
    </row>
    <row r="2963" spans="2:8" x14ac:dyDescent="0.2">
      <c r="B2963" s="3" t="s">
        <v>160</v>
      </c>
      <c r="C2963" s="3" t="s">
        <v>25</v>
      </c>
      <c r="D2963" s="3" t="str">
        <f>VLOOKUP(C2963,Countries!$B$3:$C$140,2,FALSE)</f>
        <v>Europe</v>
      </c>
      <c r="E2963" s="3" t="s">
        <v>56</v>
      </c>
      <c r="F2963" s="3" t="str">
        <f>VLOOKUP(E2963,Countries!$B$3:$C$140,2,FALSE)</f>
        <v>Europe</v>
      </c>
      <c r="G2963" s="4">
        <v>4</v>
      </c>
      <c r="H2963" s="4">
        <v>0</v>
      </c>
    </row>
    <row r="2964" spans="2:8" x14ac:dyDescent="0.2">
      <c r="B2964" s="3" t="s">
        <v>160</v>
      </c>
      <c r="C2964" s="3" t="s">
        <v>25</v>
      </c>
      <c r="D2964" s="3" t="str">
        <f>VLOOKUP(C2964,Countries!$B$3:$C$140,2,FALSE)</f>
        <v>Europe</v>
      </c>
      <c r="E2964" s="3" t="s">
        <v>31</v>
      </c>
      <c r="F2964" s="3" t="str">
        <f>VLOOKUP(E2964,Countries!$B$3:$C$140,2,FALSE)</f>
        <v>Europe</v>
      </c>
      <c r="G2964" s="4">
        <v>4</v>
      </c>
      <c r="H2964" s="4">
        <v>2017915.4725499998</v>
      </c>
    </row>
    <row r="2965" spans="2:8" x14ac:dyDescent="0.2">
      <c r="B2965" s="3" t="s">
        <v>160</v>
      </c>
      <c r="C2965" s="3" t="s">
        <v>25</v>
      </c>
      <c r="D2965" s="3" t="str">
        <f>VLOOKUP(C2965,Countries!$B$3:$C$140,2,FALSE)</f>
        <v>Europe</v>
      </c>
      <c r="E2965" s="3" t="s">
        <v>104</v>
      </c>
      <c r="F2965" s="3" t="str">
        <f>VLOOKUP(E2965,Countries!$B$3:$C$140,2,FALSE)</f>
        <v>Africa</v>
      </c>
      <c r="G2965" s="4">
        <v>2</v>
      </c>
      <c r="H2965" s="4">
        <v>0</v>
      </c>
    </row>
    <row r="2966" spans="2:8" x14ac:dyDescent="0.2">
      <c r="B2966" s="3" t="s">
        <v>160</v>
      </c>
      <c r="C2966" s="3" t="s">
        <v>25</v>
      </c>
      <c r="D2966" s="3" t="str">
        <f>VLOOKUP(C2966,Countries!$B$3:$C$140,2,FALSE)</f>
        <v>Europe</v>
      </c>
      <c r="E2966" s="3" t="s">
        <v>57</v>
      </c>
      <c r="F2966" s="3" t="str">
        <f>VLOOKUP(E2966,Countries!$B$3:$C$140,2,FALSE)</f>
        <v>Europe/Asia</v>
      </c>
      <c r="G2966" s="4">
        <v>10</v>
      </c>
      <c r="H2966" s="4">
        <v>0</v>
      </c>
    </row>
    <row r="2967" spans="2:8" x14ac:dyDescent="0.2">
      <c r="B2967" s="3" t="s">
        <v>160</v>
      </c>
      <c r="C2967" s="3" t="s">
        <v>25</v>
      </c>
      <c r="D2967" s="3" t="str">
        <f>VLOOKUP(C2967,Countries!$B$3:$C$140,2,FALSE)</f>
        <v>Europe</v>
      </c>
      <c r="E2967" s="3" t="s">
        <v>138</v>
      </c>
      <c r="F2967" s="3" t="str">
        <f>VLOOKUP(E2967,Countries!$B$3:$C$140,2,FALSE)</f>
        <v>Africa</v>
      </c>
      <c r="G2967" s="4">
        <v>2</v>
      </c>
      <c r="H2967" s="4">
        <v>0</v>
      </c>
    </row>
    <row r="2968" spans="2:8" x14ac:dyDescent="0.2">
      <c r="B2968" s="3" t="s">
        <v>160</v>
      </c>
      <c r="C2968" s="3" t="s">
        <v>25</v>
      </c>
      <c r="D2968" s="3" t="str">
        <f>VLOOKUP(C2968,Countries!$B$3:$C$140,2,FALSE)</f>
        <v>Europe</v>
      </c>
      <c r="E2968" s="3" t="s">
        <v>32</v>
      </c>
      <c r="F2968" s="3" t="str">
        <f>VLOOKUP(E2968,Countries!$B$3:$C$140,2,FALSE)</f>
        <v>Europe</v>
      </c>
      <c r="G2968" s="4">
        <v>4</v>
      </c>
      <c r="H2968" s="4">
        <v>157614.45864</v>
      </c>
    </row>
    <row r="2969" spans="2:8" x14ac:dyDescent="0.2">
      <c r="B2969" s="3" t="s">
        <v>160</v>
      </c>
      <c r="C2969" s="3" t="s">
        <v>25</v>
      </c>
      <c r="D2969" s="3" t="str">
        <f>VLOOKUP(C2969,Countries!$B$3:$C$140,2,FALSE)</f>
        <v>Europe</v>
      </c>
      <c r="E2969" s="3" t="s">
        <v>58</v>
      </c>
      <c r="F2969" s="3" t="str">
        <f>VLOOKUP(E2969,Countries!$B$3:$C$140,2,FALSE)</f>
        <v>South America</v>
      </c>
      <c r="G2969" s="4">
        <v>24</v>
      </c>
      <c r="H2969" s="4">
        <v>13475251.685104501</v>
      </c>
    </row>
    <row r="2970" spans="2:8" x14ac:dyDescent="0.2">
      <c r="B2970" s="3" t="s">
        <v>160</v>
      </c>
      <c r="C2970" s="3" t="s">
        <v>26</v>
      </c>
      <c r="D2970" s="3" t="str">
        <f>VLOOKUP(C2970,Countries!$B$3:$C$140,2,FALSE)</f>
        <v>Europe</v>
      </c>
      <c r="E2970" s="3" t="s">
        <v>2</v>
      </c>
      <c r="F2970" s="3" t="str">
        <f>VLOOKUP(E2970,Countries!$B$3:$C$140,2,FALSE)</f>
        <v>Europe</v>
      </c>
      <c r="G2970" s="4">
        <v>4</v>
      </c>
      <c r="H2970" s="4">
        <v>0</v>
      </c>
    </row>
    <row r="2971" spans="2:8" x14ac:dyDescent="0.2">
      <c r="B2971" s="3" t="s">
        <v>160</v>
      </c>
      <c r="C2971" s="3" t="s">
        <v>26</v>
      </c>
      <c r="D2971" s="3" t="str">
        <f>VLOOKUP(C2971,Countries!$B$3:$C$140,2,FALSE)</f>
        <v>Europe</v>
      </c>
      <c r="E2971" s="3" t="s">
        <v>69</v>
      </c>
      <c r="F2971" s="3" t="str">
        <f>VLOOKUP(E2971,Countries!$B$3:$C$140,2,FALSE)</f>
        <v>South America</v>
      </c>
      <c r="G2971" s="4">
        <v>2</v>
      </c>
      <c r="H2971" s="4">
        <v>0</v>
      </c>
    </row>
    <row r="2972" spans="2:8" x14ac:dyDescent="0.2">
      <c r="B2972" s="3" t="s">
        <v>160</v>
      </c>
      <c r="C2972" s="3" t="s">
        <v>26</v>
      </c>
      <c r="D2972" s="3" t="str">
        <f>VLOOKUP(C2972,Countries!$B$3:$C$140,2,FALSE)</f>
        <v>Europe</v>
      </c>
      <c r="E2972" s="3" t="s">
        <v>3</v>
      </c>
      <c r="F2972" s="3" t="str">
        <f>VLOOKUP(E2972,Countries!$B$3:$C$140,2,FALSE)</f>
        <v>Europe</v>
      </c>
      <c r="G2972" s="4">
        <v>2</v>
      </c>
      <c r="H2972" s="4">
        <v>0</v>
      </c>
    </row>
    <row r="2973" spans="2:8" x14ac:dyDescent="0.2">
      <c r="B2973" s="3" t="s">
        <v>160</v>
      </c>
      <c r="C2973" s="3" t="s">
        <v>26</v>
      </c>
      <c r="D2973" s="3" t="str">
        <f>VLOOKUP(C2973,Countries!$B$3:$C$140,2,FALSE)</f>
        <v>Europe</v>
      </c>
      <c r="E2973" s="3" t="s">
        <v>4</v>
      </c>
      <c r="F2973" s="3" t="str">
        <f>VLOOKUP(E2973,Countries!$B$3:$C$140,2,FALSE)</f>
        <v>Asia</v>
      </c>
      <c r="G2973" s="4">
        <v>6</v>
      </c>
      <c r="H2973" s="4">
        <v>0</v>
      </c>
    </row>
    <row r="2974" spans="2:8" x14ac:dyDescent="0.2">
      <c r="B2974" s="3" t="s">
        <v>160</v>
      </c>
      <c r="C2974" s="3" t="s">
        <v>26</v>
      </c>
      <c r="D2974" s="3" t="str">
        <f>VLOOKUP(C2974,Countries!$B$3:$C$140,2,FALSE)</f>
        <v>Europe</v>
      </c>
      <c r="E2974" s="3" t="s">
        <v>35</v>
      </c>
      <c r="F2974" s="3" t="str">
        <f>VLOOKUP(E2974,Countries!$B$3:$C$140,2,FALSE)</f>
        <v>Europe</v>
      </c>
      <c r="G2974" s="4">
        <v>2</v>
      </c>
      <c r="H2974" s="4">
        <v>389256.46361999999</v>
      </c>
    </row>
    <row r="2975" spans="2:8" x14ac:dyDescent="0.2">
      <c r="B2975" s="3" t="s">
        <v>160</v>
      </c>
      <c r="C2975" s="3" t="s">
        <v>26</v>
      </c>
      <c r="D2975" s="3" t="str">
        <f>VLOOKUP(C2975,Countries!$B$3:$C$140,2,FALSE)</f>
        <v>Europe</v>
      </c>
      <c r="E2975" s="3" t="s">
        <v>70</v>
      </c>
      <c r="F2975" s="3" t="str">
        <f>VLOOKUP(E2975,Countries!$B$3:$C$140,2,FALSE)</f>
        <v>Africa</v>
      </c>
      <c r="G2975" s="4">
        <v>2</v>
      </c>
      <c r="H2975" s="4">
        <v>0</v>
      </c>
    </row>
    <row r="2976" spans="2:8" x14ac:dyDescent="0.2">
      <c r="B2976" s="3" t="s">
        <v>160</v>
      </c>
      <c r="C2976" s="3" t="s">
        <v>26</v>
      </c>
      <c r="D2976" s="3" t="str">
        <f>VLOOKUP(C2976,Countries!$B$3:$C$140,2,FALSE)</f>
        <v>Europe</v>
      </c>
      <c r="E2976" s="3" t="s">
        <v>6</v>
      </c>
      <c r="F2976" s="3" t="str">
        <f>VLOOKUP(E2976,Countries!$B$3:$C$140,2,FALSE)</f>
        <v>Europe</v>
      </c>
      <c r="G2976" s="4">
        <v>2</v>
      </c>
      <c r="H2976" s="4">
        <v>0</v>
      </c>
    </row>
    <row r="2977" spans="2:8" x14ac:dyDescent="0.2">
      <c r="B2977" s="3" t="s">
        <v>160</v>
      </c>
      <c r="C2977" s="3" t="s">
        <v>26</v>
      </c>
      <c r="D2977" s="3" t="str">
        <f>VLOOKUP(C2977,Countries!$B$3:$C$140,2,FALSE)</f>
        <v>Europe</v>
      </c>
      <c r="E2977" s="3" t="s">
        <v>60</v>
      </c>
      <c r="F2977" s="3" t="str">
        <f>VLOOKUP(E2977,Countries!$B$3:$C$140,2,FALSE)</f>
        <v>South America</v>
      </c>
      <c r="G2977" s="4">
        <v>2</v>
      </c>
      <c r="H2977" s="4">
        <v>150000</v>
      </c>
    </row>
    <row r="2978" spans="2:8" x14ac:dyDescent="0.2">
      <c r="B2978" s="3" t="s">
        <v>160</v>
      </c>
      <c r="C2978" s="3" t="s">
        <v>26</v>
      </c>
      <c r="D2978" s="3" t="str">
        <f>VLOOKUP(C2978,Countries!$B$3:$C$140,2,FALSE)</f>
        <v>Europe</v>
      </c>
      <c r="E2978" s="3" t="s">
        <v>7</v>
      </c>
      <c r="F2978" s="3" t="str">
        <f>VLOOKUP(E2978,Countries!$B$3:$C$140,2,FALSE)</f>
        <v>South America</v>
      </c>
      <c r="G2978" s="4">
        <v>34</v>
      </c>
      <c r="H2978" s="4">
        <v>240100.05475800001</v>
      </c>
    </row>
    <row r="2979" spans="2:8" x14ac:dyDescent="0.2">
      <c r="B2979" s="3" t="s">
        <v>160</v>
      </c>
      <c r="C2979" s="3" t="s">
        <v>26</v>
      </c>
      <c r="D2979" s="3" t="str">
        <f>VLOOKUP(C2979,Countries!$B$3:$C$140,2,FALSE)</f>
        <v>Europe</v>
      </c>
      <c r="E2979" s="3" t="s">
        <v>36</v>
      </c>
      <c r="F2979" s="3" t="str">
        <f>VLOOKUP(E2979,Countries!$B$3:$C$140,2,FALSE)</f>
        <v>Europe</v>
      </c>
      <c r="G2979" s="4">
        <v>6</v>
      </c>
      <c r="H2979" s="4">
        <v>0</v>
      </c>
    </row>
    <row r="2980" spans="2:8" x14ac:dyDescent="0.2">
      <c r="B2980" s="3" t="s">
        <v>160</v>
      </c>
      <c r="C2980" s="3" t="s">
        <v>26</v>
      </c>
      <c r="D2980" s="3" t="str">
        <f>VLOOKUP(C2980,Countries!$B$3:$C$140,2,FALSE)</f>
        <v>Europe</v>
      </c>
      <c r="E2980" s="3" t="s">
        <v>88</v>
      </c>
      <c r="F2980" s="3" t="str">
        <f>VLOOKUP(E2980,Countries!$B$3:$C$140,2,FALSE)</f>
        <v>South America</v>
      </c>
      <c r="G2980" s="4">
        <v>4</v>
      </c>
      <c r="H2980" s="4">
        <v>80716.618902000002</v>
      </c>
    </row>
    <row r="2981" spans="2:8" x14ac:dyDescent="0.2">
      <c r="B2981" s="3" t="s">
        <v>160</v>
      </c>
      <c r="C2981" s="3" t="s">
        <v>26</v>
      </c>
      <c r="D2981" s="3" t="str">
        <f>VLOOKUP(C2981,Countries!$B$3:$C$140,2,FALSE)</f>
        <v>Europe</v>
      </c>
      <c r="E2981" s="3" t="s">
        <v>89</v>
      </c>
      <c r="F2981" s="3" t="str">
        <f>VLOOKUP(E2981,Countries!$B$3:$C$140,2,FALSE)</f>
        <v>Asia</v>
      </c>
      <c r="G2981" s="4">
        <v>2</v>
      </c>
      <c r="H2981" s="4">
        <v>0</v>
      </c>
    </row>
    <row r="2982" spans="2:8" x14ac:dyDescent="0.2">
      <c r="B2982" s="3" t="s">
        <v>160</v>
      </c>
      <c r="C2982" s="3" t="s">
        <v>26</v>
      </c>
      <c r="D2982" s="3" t="str">
        <f>VLOOKUP(C2982,Countries!$B$3:$C$140,2,FALSE)</f>
        <v>Europe</v>
      </c>
      <c r="E2982" s="3" t="s">
        <v>37</v>
      </c>
      <c r="F2982" s="3" t="str">
        <f>VLOOKUP(E2982,Countries!$B$3:$C$140,2,FALSE)</f>
        <v>Africa</v>
      </c>
      <c r="G2982" s="4">
        <v>2</v>
      </c>
      <c r="H2982" s="4">
        <v>0</v>
      </c>
    </row>
    <row r="2983" spans="2:8" x14ac:dyDescent="0.2">
      <c r="B2983" s="3" t="s">
        <v>160</v>
      </c>
      <c r="C2983" s="3" t="s">
        <v>26</v>
      </c>
      <c r="D2983" s="3" t="str">
        <f>VLOOKUP(C2983,Countries!$B$3:$C$140,2,FALSE)</f>
        <v>Europe</v>
      </c>
      <c r="E2983" s="3" t="s">
        <v>106</v>
      </c>
      <c r="F2983" s="3" t="str">
        <f>VLOOKUP(E2983,Countries!$B$3:$C$140,2,FALSE)</f>
        <v>Africa</v>
      </c>
      <c r="G2983" s="4">
        <v>2</v>
      </c>
      <c r="H2983" s="4">
        <v>0</v>
      </c>
    </row>
    <row r="2984" spans="2:8" x14ac:dyDescent="0.2">
      <c r="B2984" s="3" t="s">
        <v>160</v>
      </c>
      <c r="C2984" s="3" t="s">
        <v>26</v>
      </c>
      <c r="D2984" s="3" t="str">
        <f>VLOOKUP(C2984,Countries!$B$3:$C$140,2,FALSE)</f>
        <v>Europe</v>
      </c>
      <c r="E2984" s="3" t="s">
        <v>72</v>
      </c>
      <c r="F2984" s="3" t="str">
        <f>VLOOKUP(E2984,Countries!$B$3:$C$140,2,FALSE)</f>
        <v>South America</v>
      </c>
      <c r="G2984" s="4">
        <v>2</v>
      </c>
      <c r="H2984" s="4">
        <v>0</v>
      </c>
    </row>
    <row r="2985" spans="2:8" x14ac:dyDescent="0.2">
      <c r="B2985" s="3" t="s">
        <v>160</v>
      </c>
      <c r="C2985" s="3" t="s">
        <v>26</v>
      </c>
      <c r="D2985" s="3" t="str">
        <f>VLOOKUP(C2985,Countries!$B$3:$C$140,2,FALSE)</f>
        <v>Europe</v>
      </c>
      <c r="E2985" s="3" t="s">
        <v>9</v>
      </c>
      <c r="F2985" s="3" t="str">
        <f>VLOOKUP(E2985,Countries!$B$3:$C$140,2,FALSE)</f>
        <v>Europe</v>
      </c>
      <c r="G2985" s="4">
        <v>6</v>
      </c>
      <c r="H2985" s="4">
        <v>0</v>
      </c>
    </row>
    <row r="2986" spans="2:8" x14ac:dyDescent="0.2">
      <c r="B2986" s="3" t="s">
        <v>160</v>
      </c>
      <c r="C2986" s="3" t="s">
        <v>26</v>
      </c>
      <c r="D2986" s="3" t="str">
        <f>VLOOKUP(C2986,Countries!$B$3:$C$140,2,FALSE)</f>
        <v>Europe</v>
      </c>
      <c r="E2986" s="3" t="s">
        <v>62</v>
      </c>
      <c r="F2986" s="3" t="str">
        <f>VLOOKUP(E2986,Countries!$B$3:$C$140,2,FALSE)</f>
        <v>Asia</v>
      </c>
      <c r="G2986" s="4">
        <v>4</v>
      </c>
      <c r="H2986" s="4">
        <v>0</v>
      </c>
    </row>
    <row r="2987" spans="2:8" x14ac:dyDescent="0.2">
      <c r="B2987" s="3" t="s">
        <v>160</v>
      </c>
      <c r="C2987" s="3" t="s">
        <v>26</v>
      </c>
      <c r="D2987" s="3" t="str">
        <f>VLOOKUP(C2987,Countries!$B$3:$C$140,2,FALSE)</f>
        <v>Europe</v>
      </c>
      <c r="E2987" s="3" t="s">
        <v>63</v>
      </c>
      <c r="F2987" s="3" t="str">
        <f>VLOOKUP(E2987,Countries!$B$3:$C$140,2,FALSE)</f>
        <v>Africa</v>
      </c>
      <c r="G2987" s="4">
        <v>2</v>
      </c>
      <c r="H2987" s="4">
        <v>0</v>
      </c>
    </row>
    <row r="2988" spans="2:8" x14ac:dyDescent="0.2">
      <c r="B2988" s="3" t="s">
        <v>160</v>
      </c>
      <c r="C2988" s="3" t="s">
        <v>26</v>
      </c>
      <c r="D2988" s="3" t="str">
        <f>VLOOKUP(C2988,Countries!$B$3:$C$140,2,FALSE)</f>
        <v>Europe</v>
      </c>
      <c r="E2988" s="3" t="s">
        <v>50</v>
      </c>
      <c r="F2988" s="3" t="str">
        <f>VLOOKUP(E2988,Countries!$B$3:$C$140,2,FALSE)</f>
        <v>Europe</v>
      </c>
      <c r="G2988" s="4">
        <v>4</v>
      </c>
      <c r="H2988" s="4">
        <v>0</v>
      </c>
    </row>
    <row r="2989" spans="2:8" x14ac:dyDescent="0.2">
      <c r="B2989" s="3" t="s">
        <v>160</v>
      </c>
      <c r="C2989" s="3" t="s">
        <v>26</v>
      </c>
      <c r="D2989" s="3" t="str">
        <f>VLOOKUP(C2989,Countries!$B$3:$C$140,2,FALSE)</f>
        <v>Europe</v>
      </c>
      <c r="E2989" s="3" t="s">
        <v>11</v>
      </c>
      <c r="F2989" s="3" t="str">
        <f>VLOOKUP(E2989,Countries!$B$3:$C$140,2,FALSE)</f>
        <v>Europe</v>
      </c>
      <c r="G2989" s="4">
        <v>8</v>
      </c>
      <c r="H2989" s="4">
        <v>0</v>
      </c>
    </row>
    <row r="2990" spans="2:8" x14ac:dyDescent="0.2">
      <c r="B2990" s="3" t="s">
        <v>160</v>
      </c>
      <c r="C2990" s="3" t="s">
        <v>26</v>
      </c>
      <c r="D2990" s="3" t="str">
        <f>VLOOKUP(C2990,Countries!$B$3:$C$140,2,FALSE)</f>
        <v>Europe</v>
      </c>
      <c r="E2990" s="3" t="s">
        <v>12</v>
      </c>
      <c r="F2990" s="3" t="str">
        <f>VLOOKUP(E2990,Countries!$B$3:$C$140,2,FALSE)</f>
        <v>Europe</v>
      </c>
      <c r="G2990" s="4">
        <v>16</v>
      </c>
      <c r="H2990" s="4">
        <v>0</v>
      </c>
    </row>
    <row r="2991" spans="2:8" x14ac:dyDescent="0.2">
      <c r="B2991" s="3" t="s">
        <v>160</v>
      </c>
      <c r="C2991" s="3" t="s">
        <v>26</v>
      </c>
      <c r="D2991" s="3" t="str">
        <f>VLOOKUP(C2991,Countries!$B$3:$C$140,2,FALSE)</f>
        <v>Europe</v>
      </c>
      <c r="E2991" s="3" t="s">
        <v>13</v>
      </c>
      <c r="F2991" s="3" t="str">
        <f>VLOOKUP(E2991,Countries!$B$3:$C$140,2,FALSE)</f>
        <v>Europe</v>
      </c>
      <c r="G2991" s="4">
        <v>14</v>
      </c>
      <c r="H2991" s="4">
        <v>0</v>
      </c>
    </row>
    <row r="2992" spans="2:8" x14ac:dyDescent="0.2">
      <c r="B2992" s="3" t="s">
        <v>160</v>
      </c>
      <c r="C2992" s="3" t="s">
        <v>26</v>
      </c>
      <c r="D2992" s="3" t="str">
        <f>VLOOKUP(C2992,Countries!$B$3:$C$140,2,FALSE)</f>
        <v>Europe</v>
      </c>
      <c r="E2992" s="3" t="s">
        <v>64</v>
      </c>
      <c r="F2992" s="3" t="str">
        <f>VLOOKUP(E2992,Countries!$B$3:$C$140,2,FALSE)</f>
        <v>Africa</v>
      </c>
      <c r="G2992" s="4">
        <v>6</v>
      </c>
      <c r="H2992" s="4">
        <v>0</v>
      </c>
    </row>
    <row r="2993" spans="2:8" x14ac:dyDescent="0.2">
      <c r="B2993" s="3" t="s">
        <v>160</v>
      </c>
      <c r="C2993" s="3" t="s">
        <v>26</v>
      </c>
      <c r="D2993" s="3" t="str">
        <f>VLOOKUP(C2993,Countries!$B$3:$C$140,2,FALSE)</f>
        <v>Europe</v>
      </c>
      <c r="E2993" s="3" t="s">
        <v>14</v>
      </c>
      <c r="F2993" s="3" t="str">
        <f>VLOOKUP(E2993,Countries!$B$3:$C$140,2,FALSE)</f>
        <v>Europe</v>
      </c>
      <c r="G2993" s="4">
        <v>22</v>
      </c>
      <c r="H2993" s="4">
        <v>0</v>
      </c>
    </row>
    <row r="2994" spans="2:8" x14ac:dyDescent="0.2">
      <c r="B2994" s="3" t="s">
        <v>160</v>
      </c>
      <c r="C2994" s="3" t="s">
        <v>26</v>
      </c>
      <c r="D2994" s="3" t="str">
        <f>VLOOKUP(C2994,Countries!$B$3:$C$140,2,FALSE)</f>
        <v>Europe</v>
      </c>
      <c r="E2994" s="3" t="s">
        <v>65</v>
      </c>
      <c r="F2994" s="3" t="str">
        <f>VLOOKUP(E2994,Countries!$B$3:$C$140,2,FALSE)</f>
        <v>Asia</v>
      </c>
      <c r="G2994" s="4">
        <v>2</v>
      </c>
      <c r="H2994" s="4">
        <v>0</v>
      </c>
    </row>
    <row r="2995" spans="2:8" x14ac:dyDescent="0.2">
      <c r="B2995" s="3" t="s">
        <v>160</v>
      </c>
      <c r="C2995" s="3" t="s">
        <v>26</v>
      </c>
      <c r="D2995" s="3" t="str">
        <f>VLOOKUP(C2995,Countries!$B$3:$C$140,2,FALSE)</f>
        <v>Europe</v>
      </c>
      <c r="E2995" s="3" t="s">
        <v>15</v>
      </c>
      <c r="F2995" s="3" t="str">
        <f>VLOOKUP(E2995,Countries!$B$3:$C$140,2,FALSE)</f>
        <v>Europe</v>
      </c>
      <c r="G2995" s="4">
        <v>14</v>
      </c>
      <c r="H2995" s="4">
        <v>0</v>
      </c>
    </row>
    <row r="2996" spans="2:8" x14ac:dyDescent="0.2">
      <c r="B2996" s="3" t="s">
        <v>160</v>
      </c>
      <c r="C2996" s="3" t="s">
        <v>26</v>
      </c>
      <c r="D2996" s="3" t="str">
        <f>VLOOKUP(C2996,Countries!$B$3:$C$140,2,FALSE)</f>
        <v>Europe</v>
      </c>
      <c r="E2996" s="3" t="s">
        <v>51</v>
      </c>
      <c r="F2996" s="3" t="str">
        <f>VLOOKUP(E2996,Countries!$B$3:$C$140,2,FALSE)</f>
        <v>Asia</v>
      </c>
      <c r="G2996" s="4">
        <v>6</v>
      </c>
      <c r="H2996" s="4">
        <v>0</v>
      </c>
    </row>
    <row r="2997" spans="2:8" x14ac:dyDescent="0.2">
      <c r="B2997" s="3" t="s">
        <v>160</v>
      </c>
      <c r="C2997" s="3" t="s">
        <v>26</v>
      </c>
      <c r="D2997" s="3" t="str">
        <f>VLOOKUP(C2997,Countries!$B$3:$C$140,2,FALSE)</f>
        <v>Europe</v>
      </c>
      <c r="E2997" s="3" t="s">
        <v>17</v>
      </c>
      <c r="F2997" s="3" t="str">
        <f>VLOOKUP(E2997,Countries!$B$3:$C$140,2,FALSE)</f>
        <v>Europe</v>
      </c>
      <c r="G2997" s="4">
        <v>56</v>
      </c>
      <c r="H2997" s="4">
        <v>879176.0085615</v>
      </c>
    </row>
    <row r="2998" spans="2:8" x14ac:dyDescent="0.2">
      <c r="B2998" s="3" t="s">
        <v>160</v>
      </c>
      <c r="C2998" s="3" t="s">
        <v>26</v>
      </c>
      <c r="D2998" s="3" t="str">
        <f>VLOOKUP(C2998,Countries!$B$3:$C$140,2,FALSE)</f>
        <v>Europe</v>
      </c>
      <c r="E2998" s="3" t="s">
        <v>40</v>
      </c>
      <c r="F2998" s="3" t="str">
        <f>VLOOKUP(E2998,Countries!$B$3:$C$140,2,FALSE)</f>
        <v>Asia</v>
      </c>
      <c r="G2998" s="4">
        <v>2</v>
      </c>
      <c r="H2998" s="4">
        <v>0</v>
      </c>
    </row>
    <row r="2999" spans="2:8" x14ac:dyDescent="0.2">
      <c r="B2999" s="3" t="s">
        <v>160</v>
      </c>
      <c r="C2999" s="3" t="s">
        <v>26</v>
      </c>
      <c r="D2999" s="3" t="str">
        <f>VLOOKUP(C2999,Countries!$B$3:$C$140,2,FALSE)</f>
        <v>Europe</v>
      </c>
      <c r="E2999" s="3" t="s">
        <v>76</v>
      </c>
      <c r="F2999" s="3" t="str">
        <f>VLOOKUP(E2999,Countries!$B$3:$C$140,2,FALSE)</f>
        <v>Africa</v>
      </c>
      <c r="G2999" s="4">
        <v>2</v>
      </c>
      <c r="H2999" s="4">
        <v>0</v>
      </c>
    </row>
    <row r="3000" spans="2:8" x14ac:dyDescent="0.2">
      <c r="B3000" s="3" t="s">
        <v>160</v>
      </c>
      <c r="C3000" s="3" t="s">
        <v>26</v>
      </c>
      <c r="D3000" s="3" t="str">
        <f>VLOOKUP(C3000,Countries!$B$3:$C$140,2,FALSE)</f>
        <v>Europe</v>
      </c>
      <c r="E3000" s="3" t="s">
        <v>66</v>
      </c>
      <c r="F3000" s="3" t="str">
        <f>VLOOKUP(E3000,Countries!$B$3:$C$140,2,FALSE)</f>
        <v>Europe</v>
      </c>
      <c r="G3000" s="4">
        <v>2</v>
      </c>
      <c r="H3000" s="4">
        <v>484299.71341199998</v>
      </c>
    </row>
    <row r="3001" spans="2:8" x14ac:dyDescent="0.2">
      <c r="B3001" s="3" t="s">
        <v>160</v>
      </c>
      <c r="C3001" s="3" t="s">
        <v>26</v>
      </c>
      <c r="D3001" s="3" t="str">
        <f>VLOOKUP(C3001,Countries!$B$3:$C$140,2,FALSE)</f>
        <v>Europe</v>
      </c>
      <c r="E3001" s="3" t="s">
        <v>77</v>
      </c>
      <c r="F3001" s="3" t="str">
        <f>VLOOKUP(E3001,Countries!$B$3:$C$140,2,FALSE)</f>
        <v>Europe</v>
      </c>
      <c r="G3001" s="4">
        <v>2</v>
      </c>
      <c r="H3001" s="4">
        <v>0</v>
      </c>
    </row>
    <row r="3002" spans="2:8" x14ac:dyDescent="0.2">
      <c r="B3002" s="3" t="s">
        <v>160</v>
      </c>
      <c r="C3002" s="3" t="s">
        <v>26</v>
      </c>
      <c r="D3002" s="3" t="str">
        <f>VLOOKUP(C3002,Countries!$B$3:$C$140,2,FALSE)</f>
        <v>Europe</v>
      </c>
      <c r="E3002" s="3" t="s">
        <v>52</v>
      </c>
      <c r="F3002" s="3" t="str">
        <f>VLOOKUP(E3002,Countries!$B$3:$C$140,2,FALSE)</f>
        <v>Europe</v>
      </c>
      <c r="G3002" s="4">
        <v>2</v>
      </c>
      <c r="H3002" s="4">
        <v>80716.618902000002</v>
      </c>
    </row>
    <row r="3003" spans="2:8" x14ac:dyDescent="0.2">
      <c r="B3003" s="3" t="s">
        <v>160</v>
      </c>
      <c r="C3003" s="3" t="s">
        <v>26</v>
      </c>
      <c r="D3003" s="3" t="str">
        <f>VLOOKUP(C3003,Countries!$B$3:$C$140,2,FALSE)</f>
        <v>Europe</v>
      </c>
      <c r="E3003" s="3" t="s">
        <v>42</v>
      </c>
      <c r="F3003" s="3" t="str">
        <f>VLOOKUP(E3003,Countries!$B$3:$C$140,2,FALSE)</f>
        <v>Africa</v>
      </c>
      <c r="G3003" s="4">
        <v>2</v>
      </c>
      <c r="H3003" s="4">
        <v>0</v>
      </c>
    </row>
    <row r="3004" spans="2:8" x14ac:dyDescent="0.2">
      <c r="B3004" s="3" t="s">
        <v>160</v>
      </c>
      <c r="C3004" s="3" t="s">
        <v>26</v>
      </c>
      <c r="D3004" s="3" t="str">
        <f>VLOOKUP(C3004,Countries!$B$3:$C$140,2,FALSE)</f>
        <v>Europe</v>
      </c>
      <c r="E3004" s="3" t="s">
        <v>43</v>
      </c>
      <c r="F3004" s="3" t="str">
        <f>VLOOKUP(E3004,Countries!$B$3:$C$140,2,FALSE)</f>
        <v>Europe</v>
      </c>
      <c r="G3004" s="4">
        <v>12</v>
      </c>
      <c r="H3004" s="4">
        <v>204163.77249</v>
      </c>
    </row>
    <row r="3005" spans="2:8" x14ac:dyDescent="0.2">
      <c r="B3005" s="3" t="s">
        <v>160</v>
      </c>
      <c r="C3005" s="3" t="s">
        <v>26</v>
      </c>
      <c r="D3005" s="3" t="str">
        <f>VLOOKUP(C3005,Countries!$B$3:$C$140,2,FALSE)</f>
        <v>Europe</v>
      </c>
      <c r="E3005" s="3" t="s">
        <v>21</v>
      </c>
      <c r="F3005" s="3" t="str">
        <f>VLOOKUP(E3005,Countries!$B$3:$C$140,2,FALSE)</f>
        <v>Europe</v>
      </c>
      <c r="G3005" s="4">
        <v>6</v>
      </c>
      <c r="H3005" s="4">
        <v>0</v>
      </c>
    </row>
    <row r="3006" spans="2:8" x14ac:dyDescent="0.2">
      <c r="B3006" s="3" t="s">
        <v>160</v>
      </c>
      <c r="C3006" s="3" t="s">
        <v>26</v>
      </c>
      <c r="D3006" s="3" t="str">
        <f>VLOOKUP(C3006,Countries!$B$3:$C$140,2,FALSE)</f>
        <v>Europe</v>
      </c>
      <c r="E3006" s="3" t="s">
        <v>23</v>
      </c>
      <c r="F3006" s="3" t="str">
        <f>VLOOKUP(E3006,Countries!$B$3:$C$140,2,FALSE)</f>
        <v>Europe</v>
      </c>
      <c r="G3006" s="4">
        <v>2</v>
      </c>
      <c r="H3006" s="4">
        <v>0</v>
      </c>
    </row>
    <row r="3007" spans="2:8" x14ac:dyDescent="0.2">
      <c r="B3007" s="3" t="s">
        <v>160</v>
      </c>
      <c r="C3007" s="3" t="s">
        <v>26</v>
      </c>
      <c r="D3007" s="3" t="str">
        <f>VLOOKUP(C3007,Countries!$B$3:$C$140,2,FALSE)</f>
        <v>Europe</v>
      </c>
      <c r="E3007" s="3" t="s">
        <v>53</v>
      </c>
      <c r="F3007" s="3" t="str">
        <f>VLOOKUP(E3007,Countries!$B$3:$C$140,2,FALSE)</f>
        <v>Europe</v>
      </c>
      <c r="G3007" s="4">
        <v>2</v>
      </c>
      <c r="H3007" s="4">
        <v>0</v>
      </c>
    </row>
    <row r="3008" spans="2:8" x14ac:dyDescent="0.2">
      <c r="B3008" s="3" t="s">
        <v>160</v>
      </c>
      <c r="C3008" s="3" t="s">
        <v>26</v>
      </c>
      <c r="D3008" s="3" t="str">
        <f>VLOOKUP(C3008,Countries!$B$3:$C$140,2,FALSE)</f>
        <v>Europe</v>
      </c>
      <c r="E3008" s="3" t="s">
        <v>80</v>
      </c>
      <c r="F3008" s="3" t="str">
        <f>VLOOKUP(E3008,Countries!$B$3:$C$140,2,FALSE)</f>
        <v>South America</v>
      </c>
      <c r="G3008" s="4">
        <v>2</v>
      </c>
      <c r="H3008" s="4">
        <v>0</v>
      </c>
    </row>
    <row r="3009" spans="2:8" x14ac:dyDescent="0.2">
      <c r="B3009" s="3" t="s">
        <v>160</v>
      </c>
      <c r="C3009" s="3" t="s">
        <v>26</v>
      </c>
      <c r="D3009" s="3" t="str">
        <f>VLOOKUP(C3009,Countries!$B$3:$C$140,2,FALSE)</f>
        <v>Europe</v>
      </c>
      <c r="E3009" s="3" t="s">
        <v>54</v>
      </c>
      <c r="F3009" s="3" t="str">
        <f>VLOOKUP(E3009,Countries!$B$3:$C$140,2,FALSE)</f>
        <v>Europe</v>
      </c>
      <c r="G3009" s="4">
        <v>6</v>
      </c>
      <c r="H3009" s="4">
        <v>0</v>
      </c>
    </row>
    <row r="3010" spans="2:8" x14ac:dyDescent="0.2">
      <c r="B3010" s="3" t="s">
        <v>160</v>
      </c>
      <c r="C3010" s="3" t="s">
        <v>26</v>
      </c>
      <c r="D3010" s="3" t="str">
        <f>VLOOKUP(C3010,Countries!$B$3:$C$140,2,FALSE)</f>
        <v>Europe</v>
      </c>
      <c r="E3010" s="3" t="s">
        <v>25</v>
      </c>
      <c r="F3010" s="3" t="str">
        <f>VLOOKUP(E3010,Countries!$B$3:$C$140,2,FALSE)</f>
        <v>Europe</v>
      </c>
      <c r="G3010" s="4">
        <v>22</v>
      </c>
      <c r="H3010" s="4">
        <v>2219707.0198050002</v>
      </c>
    </row>
    <row r="3011" spans="2:8" x14ac:dyDescent="0.2">
      <c r="B3011" s="3" t="s">
        <v>160</v>
      </c>
      <c r="C3011" s="3" t="s">
        <v>26</v>
      </c>
      <c r="D3011" s="3" t="str">
        <f>VLOOKUP(C3011,Countries!$B$3:$C$140,2,FALSE)</f>
        <v>Europe</v>
      </c>
      <c r="E3011" s="3" t="s">
        <v>46</v>
      </c>
      <c r="F3011" s="3" t="str">
        <f>VLOOKUP(E3011,Countries!$B$3:$C$140,2,FALSE)</f>
        <v>Europe/Asia</v>
      </c>
      <c r="G3011" s="4">
        <v>10</v>
      </c>
      <c r="H3011" s="4">
        <v>0</v>
      </c>
    </row>
    <row r="3012" spans="2:8" x14ac:dyDescent="0.2">
      <c r="B3012" s="3" t="s">
        <v>160</v>
      </c>
      <c r="C3012" s="3" t="s">
        <v>26</v>
      </c>
      <c r="D3012" s="3" t="str">
        <f>VLOOKUP(C3012,Countries!$B$3:$C$140,2,FALSE)</f>
        <v>Europe</v>
      </c>
      <c r="E3012" s="3" t="s">
        <v>55</v>
      </c>
      <c r="F3012" s="3" t="str">
        <f>VLOOKUP(E3012,Countries!$B$3:$C$140,2,FALSE)</f>
        <v>Europe</v>
      </c>
      <c r="G3012" s="4">
        <v>2</v>
      </c>
      <c r="H3012" s="4">
        <v>0</v>
      </c>
    </row>
    <row r="3013" spans="2:8" x14ac:dyDescent="0.2">
      <c r="B3013" s="3" t="s">
        <v>160</v>
      </c>
      <c r="C3013" s="3" t="s">
        <v>26</v>
      </c>
      <c r="D3013" s="3" t="str">
        <f>VLOOKUP(C3013,Countries!$B$3:$C$140,2,FALSE)</f>
        <v>Europe</v>
      </c>
      <c r="E3013" s="3" t="s">
        <v>47</v>
      </c>
      <c r="F3013" s="3" t="str">
        <f>VLOOKUP(E3013,Countries!$B$3:$C$140,2,FALSE)</f>
        <v>Africa</v>
      </c>
      <c r="G3013" s="4">
        <v>6</v>
      </c>
      <c r="H3013" s="4">
        <v>63000</v>
      </c>
    </row>
    <row r="3014" spans="2:8" x14ac:dyDescent="0.2">
      <c r="B3014" s="3" t="s">
        <v>160</v>
      </c>
      <c r="C3014" s="3" t="s">
        <v>26</v>
      </c>
      <c r="D3014" s="3" t="str">
        <f>VLOOKUP(C3014,Countries!$B$3:$C$140,2,FALSE)</f>
        <v>Europe</v>
      </c>
      <c r="E3014" s="3" t="s">
        <v>28</v>
      </c>
      <c r="F3014" s="3" t="str">
        <f>VLOOKUP(E3014,Countries!$B$3:$C$140,2,FALSE)</f>
        <v>Europe</v>
      </c>
      <c r="G3014" s="4">
        <v>10</v>
      </c>
      <c r="H3014" s="4">
        <v>0</v>
      </c>
    </row>
    <row r="3015" spans="2:8" x14ac:dyDescent="0.2">
      <c r="B3015" s="3" t="s">
        <v>160</v>
      </c>
      <c r="C3015" s="3" t="s">
        <v>26</v>
      </c>
      <c r="D3015" s="3" t="str">
        <f>VLOOKUP(C3015,Countries!$B$3:$C$140,2,FALSE)</f>
        <v>Europe</v>
      </c>
      <c r="E3015" s="3" t="s">
        <v>29</v>
      </c>
      <c r="F3015" s="3" t="str">
        <f>VLOOKUP(E3015,Countries!$B$3:$C$140,2,FALSE)</f>
        <v>Europe</v>
      </c>
      <c r="G3015" s="4">
        <v>6</v>
      </c>
      <c r="H3015" s="4">
        <v>0</v>
      </c>
    </row>
    <row r="3016" spans="2:8" x14ac:dyDescent="0.2">
      <c r="B3016" s="3" t="s">
        <v>160</v>
      </c>
      <c r="C3016" s="3" t="s">
        <v>26</v>
      </c>
      <c r="D3016" s="3" t="str">
        <f>VLOOKUP(C3016,Countries!$B$3:$C$140,2,FALSE)</f>
        <v>Europe</v>
      </c>
      <c r="E3016" s="3" t="s">
        <v>56</v>
      </c>
      <c r="F3016" s="3" t="str">
        <f>VLOOKUP(E3016,Countries!$B$3:$C$140,2,FALSE)</f>
        <v>Europe</v>
      </c>
      <c r="G3016" s="4">
        <v>2</v>
      </c>
      <c r="H3016" s="4">
        <v>0</v>
      </c>
    </row>
    <row r="3017" spans="2:8" x14ac:dyDescent="0.2">
      <c r="B3017" s="3" t="s">
        <v>160</v>
      </c>
      <c r="C3017" s="3" t="s">
        <v>26</v>
      </c>
      <c r="D3017" s="3" t="str">
        <f>VLOOKUP(C3017,Countries!$B$3:$C$140,2,FALSE)</f>
        <v>Europe</v>
      </c>
      <c r="E3017" s="3" t="s">
        <v>30</v>
      </c>
      <c r="F3017" s="3" t="str">
        <f>VLOOKUP(E3017,Countries!$B$3:$C$140,2,FALSE)</f>
        <v>Europe</v>
      </c>
      <c r="G3017" s="4">
        <v>2</v>
      </c>
      <c r="H3017" s="4">
        <v>0</v>
      </c>
    </row>
    <row r="3018" spans="2:8" x14ac:dyDescent="0.2">
      <c r="B3018" s="3" t="s">
        <v>160</v>
      </c>
      <c r="C3018" s="3" t="s">
        <v>26</v>
      </c>
      <c r="D3018" s="3" t="str">
        <f>VLOOKUP(C3018,Countries!$B$3:$C$140,2,FALSE)</f>
        <v>Europe</v>
      </c>
      <c r="E3018" s="3" t="s">
        <v>31</v>
      </c>
      <c r="F3018" s="3" t="str">
        <f>VLOOKUP(E3018,Countries!$B$3:$C$140,2,FALSE)</f>
        <v>Europe</v>
      </c>
      <c r="G3018" s="4">
        <v>2</v>
      </c>
      <c r="H3018" s="4">
        <v>0</v>
      </c>
    </row>
    <row r="3019" spans="2:8" x14ac:dyDescent="0.2">
      <c r="B3019" s="3" t="s">
        <v>160</v>
      </c>
      <c r="C3019" s="3" t="s">
        <v>26</v>
      </c>
      <c r="D3019" s="3" t="str">
        <f>VLOOKUP(C3019,Countries!$B$3:$C$140,2,FALSE)</f>
        <v>Europe</v>
      </c>
      <c r="E3019" s="3" t="s">
        <v>139</v>
      </c>
      <c r="F3019" s="3" t="str">
        <f>VLOOKUP(E3019,Countries!$B$3:$C$140,2,FALSE)</f>
        <v>Asia</v>
      </c>
      <c r="G3019" s="4">
        <v>2</v>
      </c>
      <c r="H3019" s="4">
        <v>0</v>
      </c>
    </row>
    <row r="3020" spans="2:8" x14ac:dyDescent="0.2">
      <c r="B3020" s="3" t="s">
        <v>160</v>
      </c>
      <c r="C3020" s="3" t="s">
        <v>26</v>
      </c>
      <c r="D3020" s="3" t="str">
        <f>VLOOKUP(C3020,Countries!$B$3:$C$140,2,FALSE)</f>
        <v>Europe</v>
      </c>
      <c r="E3020" s="3" t="s">
        <v>112</v>
      </c>
      <c r="F3020" s="3" t="str">
        <f>VLOOKUP(E3020,Countries!$B$3:$C$140,2,FALSE)</f>
        <v>Asia</v>
      </c>
      <c r="G3020" s="4">
        <v>2</v>
      </c>
      <c r="H3020" s="4">
        <v>0</v>
      </c>
    </row>
    <row r="3021" spans="2:8" x14ac:dyDescent="0.2">
      <c r="B3021" s="3" t="s">
        <v>160</v>
      </c>
      <c r="C3021" s="3" t="s">
        <v>26</v>
      </c>
      <c r="D3021" s="3" t="str">
        <f>VLOOKUP(C3021,Countries!$B$3:$C$140,2,FALSE)</f>
        <v>Europe</v>
      </c>
      <c r="E3021" s="3" t="s">
        <v>104</v>
      </c>
      <c r="F3021" s="3" t="str">
        <f>VLOOKUP(E3021,Countries!$B$3:$C$140,2,FALSE)</f>
        <v>Africa</v>
      </c>
      <c r="G3021" s="4">
        <v>4</v>
      </c>
      <c r="H3021" s="4">
        <v>150000</v>
      </c>
    </row>
    <row r="3022" spans="2:8" x14ac:dyDescent="0.2">
      <c r="B3022" s="3" t="s">
        <v>160</v>
      </c>
      <c r="C3022" s="3" t="s">
        <v>26</v>
      </c>
      <c r="D3022" s="3" t="str">
        <f>VLOOKUP(C3022,Countries!$B$3:$C$140,2,FALSE)</f>
        <v>Europe</v>
      </c>
      <c r="E3022" s="3" t="s">
        <v>57</v>
      </c>
      <c r="F3022" s="3" t="str">
        <f>VLOOKUP(E3022,Countries!$B$3:$C$140,2,FALSE)</f>
        <v>Europe/Asia</v>
      </c>
      <c r="G3022" s="4">
        <v>6</v>
      </c>
      <c r="H3022" s="4">
        <v>0</v>
      </c>
    </row>
    <row r="3023" spans="2:8" x14ac:dyDescent="0.2">
      <c r="B3023" s="3" t="s">
        <v>160</v>
      </c>
      <c r="C3023" s="3" t="s">
        <v>26</v>
      </c>
      <c r="D3023" s="3" t="str">
        <f>VLOOKUP(C3023,Countries!$B$3:$C$140,2,FALSE)</f>
        <v>Europe</v>
      </c>
      <c r="E3023" s="3" t="s">
        <v>32</v>
      </c>
      <c r="F3023" s="3" t="str">
        <f>VLOOKUP(E3023,Countries!$B$3:$C$140,2,FALSE)</f>
        <v>Europe</v>
      </c>
      <c r="G3023" s="4">
        <v>10</v>
      </c>
      <c r="H3023" s="4">
        <v>0</v>
      </c>
    </row>
    <row r="3024" spans="2:8" x14ac:dyDescent="0.2">
      <c r="B3024" s="3" t="s">
        <v>160</v>
      </c>
      <c r="C3024" s="3" t="s">
        <v>46</v>
      </c>
      <c r="D3024" s="3" t="str">
        <f>VLOOKUP(C3024,Countries!$B$3:$C$140,2,FALSE)</f>
        <v>Europe/Asia</v>
      </c>
      <c r="E3024" s="3" t="s">
        <v>69</v>
      </c>
      <c r="F3024" s="3" t="str">
        <f>VLOOKUP(E3024,Countries!$B$3:$C$140,2,FALSE)</f>
        <v>South America</v>
      </c>
      <c r="G3024" s="4">
        <v>4</v>
      </c>
      <c r="H3024" s="4">
        <v>20100000</v>
      </c>
    </row>
    <row r="3025" spans="2:8" x14ac:dyDescent="0.2">
      <c r="B3025" s="3" t="s">
        <v>160</v>
      </c>
      <c r="C3025" s="3" t="s">
        <v>46</v>
      </c>
      <c r="D3025" s="3" t="str">
        <f>VLOOKUP(C3025,Countries!$B$3:$C$140,2,FALSE)</f>
        <v>Europe/Asia</v>
      </c>
      <c r="E3025" s="3" t="s">
        <v>34</v>
      </c>
      <c r="F3025" s="3" t="str">
        <f>VLOOKUP(E3025,Countries!$B$3:$C$140,2,FALSE)</f>
        <v>Asia</v>
      </c>
      <c r="G3025" s="4">
        <v>8</v>
      </c>
      <c r="H3025" s="4">
        <v>0</v>
      </c>
    </row>
    <row r="3026" spans="2:8" x14ac:dyDescent="0.2">
      <c r="B3026" s="3" t="s">
        <v>160</v>
      </c>
      <c r="C3026" s="3" t="s">
        <v>46</v>
      </c>
      <c r="D3026" s="3" t="str">
        <f>VLOOKUP(C3026,Countries!$B$3:$C$140,2,FALSE)</f>
        <v>Europe/Asia</v>
      </c>
      <c r="E3026" s="3" t="s">
        <v>3</v>
      </c>
      <c r="F3026" s="3" t="str">
        <f>VLOOKUP(E3026,Countries!$B$3:$C$140,2,FALSE)</f>
        <v>Europe</v>
      </c>
      <c r="G3026" s="4">
        <v>4</v>
      </c>
      <c r="H3026" s="4">
        <v>15219924.011370001</v>
      </c>
    </row>
    <row r="3027" spans="2:8" x14ac:dyDescent="0.2">
      <c r="B3027" s="3" t="s">
        <v>160</v>
      </c>
      <c r="C3027" s="3" t="s">
        <v>46</v>
      </c>
      <c r="D3027" s="3" t="str">
        <f>VLOOKUP(C3027,Countries!$B$3:$C$140,2,FALSE)</f>
        <v>Europe/Asia</v>
      </c>
      <c r="E3027" s="3" t="s">
        <v>4</v>
      </c>
      <c r="F3027" s="3" t="str">
        <f>VLOOKUP(E3027,Countries!$B$3:$C$140,2,FALSE)</f>
        <v>Asia</v>
      </c>
      <c r="G3027" s="4">
        <v>12</v>
      </c>
      <c r="H3027" s="4">
        <v>0</v>
      </c>
    </row>
    <row r="3028" spans="2:8" x14ac:dyDescent="0.2">
      <c r="B3028" s="3" t="s">
        <v>160</v>
      </c>
      <c r="C3028" s="3" t="s">
        <v>46</v>
      </c>
      <c r="D3028" s="3" t="str">
        <f>VLOOKUP(C3028,Countries!$B$3:$C$140,2,FALSE)</f>
        <v>Europe/Asia</v>
      </c>
      <c r="E3028" s="3" t="s">
        <v>35</v>
      </c>
      <c r="F3028" s="3" t="str">
        <f>VLOOKUP(E3028,Countries!$B$3:$C$140,2,FALSE)</f>
        <v>Europe</v>
      </c>
      <c r="G3028" s="4">
        <v>4</v>
      </c>
      <c r="H3028" s="4">
        <v>11412884.2785</v>
      </c>
    </row>
    <row r="3029" spans="2:8" x14ac:dyDescent="0.2">
      <c r="B3029" s="3" t="s">
        <v>160</v>
      </c>
      <c r="C3029" s="3" t="s">
        <v>46</v>
      </c>
      <c r="D3029" s="3" t="str">
        <f>VLOOKUP(C3029,Countries!$B$3:$C$140,2,FALSE)</f>
        <v>Europe/Asia</v>
      </c>
      <c r="E3029" s="3" t="s">
        <v>59</v>
      </c>
      <c r="F3029" s="3" t="str">
        <f>VLOOKUP(E3029,Countries!$B$3:$C$140,2,FALSE)</f>
        <v>Europe</v>
      </c>
      <c r="G3029" s="4">
        <v>24</v>
      </c>
      <c r="H3029" s="4">
        <v>12540421.84729524</v>
      </c>
    </row>
    <row r="3030" spans="2:8" x14ac:dyDescent="0.2">
      <c r="B3030" s="3" t="s">
        <v>160</v>
      </c>
      <c r="C3030" s="3" t="s">
        <v>46</v>
      </c>
      <c r="D3030" s="3" t="str">
        <f>VLOOKUP(C3030,Countries!$B$3:$C$140,2,FALSE)</f>
        <v>Europe/Asia</v>
      </c>
      <c r="E3030" s="3" t="s">
        <v>7</v>
      </c>
      <c r="F3030" s="3" t="str">
        <f>VLOOKUP(E3030,Countries!$B$3:$C$140,2,FALSE)</f>
        <v>South America</v>
      </c>
      <c r="G3030" s="4">
        <v>20</v>
      </c>
      <c r="H3030" s="4">
        <v>121875376.23981361</v>
      </c>
    </row>
    <row r="3031" spans="2:8" x14ac:dyDescent="0.2">
      <c r="B3031" s="3" t="s">
        <v>160</v>
      </c>
      <c r="C3031" s="3" t="s">
        <v>46</v>
      </c>
      <c r="D3031" s="3" t="str">
        <f>VLOOKUP(C3031,Countries!$B$3:$C$140,2,FALSE)</f>
        <v>Europe/Asia</v>
      </c>
      <c r="E3031" s="3" t="s">
        <v>36</v>
      </c>
      <c r="F3031" s="3" t="str">
        <f>VLOOKUP(E3031,Countries!$B$3:$C$140,2,FALSE)</f>
        <v>Europe</v>
      </c>
      <c r="G3031" s="4">
        <v>4</v>
      </c>
      <c r="H3031" s="4">
        <v>807166.18901999993</v>
      </c>
    </row>
    <row r="3032" spans="2:8" x14ac:dyDescent="0.2">
      <c r="B3032" s="3" t="s">
        <v>160</v>
      </c>
      <c r="C3032" s="3" t="s">
        <v>46</v>
      </c>
      <c r="D3032" s="3" t="str">
        <f>VLOOKUP(C3032,Countries!$B$3:$C$140,2,FALSE)</f>
        <v>Europe/Asia</v>
      </c>
      <c r="E3032" s="3" t="s">
        <v>8</v>
      </c>
      <c r="F3032" s="3" t="str">
        <f>VLOOKUP(E3032,Countries!$B$3:$C$140,2,FALSE)</f>
        <v>North America</v>
      </c>
      <c r="G3032" s="4">
        <v>2</v>
      </c>
      <c r="H3032" s="4">
        <v>0</v>
      </c>
    </row>
    <row r="3033" spans="2:8" x14ac:dyDescent="0.2">
      <c r="B3033" s="3" t="s">
        <v>160</v>
      </c>
      <c r="C3033" s="3" t="s">
        <v>46</v>
      </c>
      <c r="D3033" s="3" t="str">
        <f>VLOOKUP(C3033,Countries!$B$3:$C$140,2,FALSE)</f>
        <v>Europe/Asia</v>
      </c>
      <c r="E3033" s="3" t="s">
        <v>62</v>
      </c>
      <c r="F3033" s="3" t="str">
        <f>VLOOKUP(E3033,Countries!$B$3:$C$140,2,FALSE)</f>
        <v>Asia</v>
      </c>
      <c r="G3033" s="4">
        <v>2</v>
      </c>
      <c r="H3033" s="4">
        <v>10089577.362749999</v>
      </c>
    </row>
    <row r="3034" spans="2:8" x14ac:dyDescent="0.2">
      <c r="B3034" s="3" t="s">
        <v>160</v>
      </c>
      <c r="C3034" s="3" t="s">
        <v>46</v>
      </c>
      <c r="D3034" s="3" t="str">
        <f>VLOOKUP(C3034,Countries!$B$3:$C$140,2,FALSE)</f>
        <v>Europe/Asia</v>
      </c>
      <c r="E3034" s="3" t="s">
        <v>49</v>
      </c>
      <c r="F3034" s="3" t="str">
        <f>VLOOKUP(E3034,Countries!$B$3:$C$140,2,FALSE)</f>
        <v>Europe</v>
      </c>
      <c r="G3034" s="4">
        <v>2</v>
      </c>
      <c r="H3034" s="4">
        <v>1500000</v>
      </c>
    </row>
    <row r="3035" spans="2:8" x14ac:dyDescent="0.2">
      <c r="B3035" s="3" t="s">
        <v>160</v>
      </c>
      <c r="C3035" s="3" t="s">
        <v>46</v>
      </c>
      <c r="D3035" s="3" t="str">
        <f>VLOOKUP(C3035,Countries!$B$3:$C$140,2,FALSE)</f>
        <v>Europe/Asia</v>
      </c>
      <c r="E3035" s="3" t="s">
        <v>10</v>
      </c>
      <c r="F3035" s="3" t="str">
        <f>VLOOKUP(E3035,Countries!$B$3:$C$140,2,FALSE)</f>
        <v>Europe</v>
      </c>
      <c r="G3035" s="4">
        <v>2</v>
      </c>
      <c r="H3035" s="4">
        <v>27362933.807778001</v>
      </c>
    </row>
    <row r="3036" spans="2:8" x14ac:dyDescent="0.2">
      <c r="B3036" s="3" t="s">
        <v>160</v>
      </c>
      <c r="C3036" s="3" t="s">
        <v>46</v>
      </c>
      <c r="D3036" s="3" t="str">
        <f>VLOOKUP(C3036,Countries!$B$3:$C$140,2,FALSE)</f>
        <v>Europe/Asia</v>
      </c>
      <c r="E3036" s="3" t="s">
        <v>107</v>
      </c>
      <c r="F3036" s="3" t="str">
        <f>VLOOKUP(E3036,Countries!$B$3:$C$140,2,FALSE)</f>
        <v>South America</v>
      </c>
      <c r="G3036" s="4">
        <v>2</v>
      </c>
      <c r="H3036" s="4">
        <v>0</v>
      </c>
    </row>
    <row r="3037" spans="2:8" x14ac:dyDescent="0.2">
      <c r="B3037" s="3" t="s">
        <v>160</v>
      </c>
      <c r="C3037" s="3" t="s">
        <v>46</v>
      </c>
      <c r="D3037" s="3" t="str">
        <f>VLOOKUP(C3037,Countries!$B$3:$C$140,2,FALSE)</f>
        <v>Europe/Asia</v>
      </c>
      <c r="E3037" s="3" t="s">
        <v>50</v>
      </c>
      <c r="F3037" s="3" t="str">
        <f>VLOOKUP(E3037,Countries!$B$3:$C$140,2,FALSE)</f>
        <v>Europe</v>
      </c>
      <c r="G3037" s="4">
        <v>6</v>
      </c>
      <c r="H3037" s="4">
        <v>29259774.351975001</v>
      </c>
    </row>
    <row r="3038" spans="2:8" x14ac:dyDescent="0.2">
      <c r="B3038" s="3" t="s">
        <v>160</v>
      </c>
      <c r="C3038" s="3" t="s">
        <v>46</v>
      </c>
      <c r="D3038" s="3" t="str">
        <f>VLOOKUP(C3038,Countries!$B$3:$C$140,2,FALSE)</f>
        <v>Europe/Asia</v>
      </c>
      <c r="E3038" s="3" t="s">
        <v>11</v>
      </c>
      <c r="F3038" s="3" t="str">
        <f>VLOOKUP(E3038,Countries!$B$3:$C$140,2,FALSE)</f>
        <v>Europe</v>
      </c>
      <c r="G3038" s="4">
        <v>16</v>
      </c>
      <c r="H3038" s="4">
        <v>114540927.69510001</v>
      </c>
    </row>
    <row r="3039" spans="2:8" x14ac:dyDescent="0.2">
      <c r="B3039" s="3" t="s">
        <v>160</v>
      </c>
      <c r="C3039" s="3" t="s">
        <v>46</v>
      </c>
      <c r="D3039" s="3" t="str">
        <f>VLOOKUP(C3039,Countries!$B$3:$C$140,2,FALSE)</f>
        <v>Europe/Asia</v>
      </c>
      <c r="E3039" s="3" t="s">
        <v>38</v>
      </c>
      <c r="F3039" s="3" t="str">
        <f>VLOOKUP(E3039,Countries!$B$3:$C$140,2,FALSE)</f>
        <v>Europe</v>
      </c>
      <c r="G3039" s="4">
        <v>6</v>
      </c>
      <c r="H3039" s="4">
        <v>0</v>
      </c>
    </row>
    <row r="3040" spans="2:8" x14ac:dyDescent="0.2">
      <c r="B3040" s="3" t="s">
        <v>160</v>
      </c>
      <c r="C3040" s="3" t="s">
        <v>46</v>
      </c>
      <c r="D3040" s="3" t="str">
        <f>VLOOKUP(C3040,Countries!$B$3:$C$140,2,FALSE)</f>
        <v>Europe/Asia</v>
      </c>
      <c r="E3040" s="3" t="s">
        <v>73</v>
      </c>
      <c r="F3040" s="3" t="str">
        <f>VLOOKUP(E3040,Countries!$B$3:$C$140,2,FALSE)</f>
        <v>Europe</v>
      </c>
      <c r="G3040" s="4">
        <v>2</v>
      </c>
      <c r="H3040" s="4">
        <v>0</v>
      </c>
    </row>
    <row r="3041" spans="2:8" x14ac:dyDescent="0.2">
      <c r="B3041" s="3" t="s">
        <v>160</v>
      </c>
      <c r="C3041" s="3" t="s">
        <v>46</v>
      </c>
      <c r="D3041" s="3" t="str">
        <f>VLOOKUP(C3041,Countries!$B$3:$C$140,2,FALSE)</f>
        <v>Europe/Asia</v>
      </c>
      <c r="E3041" s="3" t="s">
        <v>12</v>
      </c>
      <c r="F3041" s="3" t="str">
        <f>VLOOKUP(E3041,Countries!$B$3:$C$140,2,FALSE)</f>
        <v>Europe</v>
      </c>
      <c r="G3041" s="4">
        <v>12</v>
      </c>
      <c r="H3041" s="4">
        <v>69354447.295244992</v>
      </c>
    </row>
    <row r="3042" spans="2:8" x14ac:dyDescent="0.2">
      <c r="B3042" s="3" t="s">
        <v>160</v>
      </c>
      <c r="C3042" s="3" t="s">
        <v>46</v>
      </c>
      <c r="D3042" s="3" t="str">
        <f>VLOOKUP(C3042,Countries!$B$3:$C$140,2,FALSE)</f>
        <v>Europe/Asia</v>
      </c>
      <c r="E3042" s="3" t="s">
        <v>114</v>
      </c>
      <c r="F3042" s="3" t="str">
        <f>VLOOKUP(E3042,Countries!$B$3:$C$140,2,FALSE)</f>
        <v>Africa</v>
      </c>
      <c r="G3042" s="4">
        <v>2</v>
      </c>
      <c r="H3042" s="4">
        <v>450000</v>
      </c>
    </row>
    <row r="3043" spans="2:8" x14ac:dyDescent="0.2">
      <c r="B3043" s="3" t="s">
        <v>160</v>
      </c>
      <c r="C3043" s="3" t="s">
        <v>46</v>
      </c>
      <c r="D3043" s="3" t="str">
        <f>VLOOKUP(C3043,Countries!$B$3:$C$140,2,FALSE)</f>
        <v>Europe/Asia</v>
      </c>
      <c r="E3043" s="3" t="s">
        <v>39</v>
      </c>
      <c r="F3043" s="3" t="str">
        <f>VLOOKUP(E3043,Countries!$B$3:$C$140,2,FALSE)</f>
        <v>Europe/Asia</v>
      </c>
      <c r="G3043" s="4">
        <v>14</v>
      </c>
      <c r="H3043" s="4">
        <v>0</v>
      </c>
    </row>
    <row r="3044" spans="2:8" x14ac:dyDescent="0.2">
      <c r="B3044" s="3" t="s">
        <v>160</v>
      </c>
      <c r="C3044" s="3" t="s">
        <v>46</v>
      </c>
      <c r="D3044" s="3" t="str">
        <f>VLOOKUP(C3044,Countries!$B$3:$C$140,2,FALSE)</f>
        <v>Europe/Asia</v>
      </c>
      <c r="E3044" s="3" t="s">
        <v>13</v>
      </c>
      <c r="F3044" s="3" t="str">
        <f>VLOOKUP(E3044,Countries!$B$3:$C$140,2,FALSE)</f>
        <v>Europe</v>
      </c>
      <c r="G3044" s="4">
        <v>12</v>
      </c>
      <c r="H3044" s="4">
        <v>32286647.560799997</v>
      </c>
    </row>
    <row r="3045" spans="2:8" x14ac:dyDescent="0.2">
      <c r="B3045" s="3" t="s">
        <v>160</v>
      </c>
      <c r="C3045" s="3" t="s">
        <v>46</v>
      </c>
      <c r="D3045" s="3" t="str">
        <f>VLOOKUP(C3045,Countries!$B$3:$C$140,2,FALSE)</f>
        <v>Europe/Asia</v>
      </c>
      <c r="E3045" s="3" t="s">
        <v>64</v>
      </c>
      <c r="F3045" s="3" t="str">
        <f>VLOOKUP(E3045,Countries!$B$3:$C$140,2,FALSE)</f>
        <v>Africa</v>
      </c>
      <c r="G3045" s="4">
        <v>2</v>
      </c>
      <c r="H3045" s="4">
        <v>0</v>
      </c>
    </row>
    <row r="3046" spans="2:8" x14ac:dyDescent="0.2">
      <c r="B3046" s="3" t="s">
        <v>160</v>
      </c>
      <c r="C3046" s="3" t="s">
        <v>46</v>
      </c>
      <c r="D3046" s="3" t="str">
        <f>VLOOKUP(C3046,Countries!$B$3:$C$140,2,FALSE)</f>
        <v>Europe/Asia</v>
      </c>
      <c r="E3046" s="3" t="s">
        <v>14</v>
      </c>
      <c r="F3046" s="3" t="str">
        <f>VLOOKUP(E3046,Countries!$B$3:$C$140,2,FALSE)</f>
        <v>Europe</v>
      </c>
      <c r="G3046" s="4">
        <v>4</v>
      </c>
      <c r="H3046" s="4">
        <v>0</v>
      </c>
    </row>
    <row r="3047" spans="2:8" x14ac:dyDescent="0.2">
      <c r="B3047" s="3" t="s">
        <v>160</v>
      </c>
      <c r="C3047" s="3" t="s">
        <v>46</v>
      </c>
      <c r="D3047" s="3" t="str">
        <f>VLOOKUP(C3047,Countries!$B$3:$C$140,2,FALSE)</f>
        <v>Europe/Asia</v>
      </c>
      <c r="E3047" s="3" t="s">
        <v>15</v>
      </c>
      <c r="F3047" s="3" t="str">
        <f>VLOOKUP(E3047,Countries!$B$3:$C$140,2,FALSE)</f>
        <v>Europe</v>
      </c>
      <c r="G3047" s="4">
        <v>4</v>
      </c>
      <c r="H3047" s="4">
        <v>0</v>
      </c>
    </row>
    <row r="3048" spans="2:8" x14ac:dyDescent="0.2">
      <c r="B3048" s="3" t="s">
        <v>160</v>
      </c>
      <c r="C3048" s="3" t="s">
        <v>46</v>
      </c>
      <c r="D3048" s="3" t="str">
        <f>VLOOKUP(C3048,Countries!$B$3:$C$140,2,FALSE)</f>
        <v>Europe/Asia</v>
      </c>
      <c r="E3048" s="3" t="s">
        <v>16</v>
      </c>
      <c r="F3048" s="3" t="str">
        <f>VLOOKUP(E3048,Countries!$B$3:$C$140,2,FALSE)</f>
        <v>Asia</v>
      </c>
      <c r="G3048" s="4">
        <v>2</v>
      </c>
      <c r="H3048" s="4">
        <v>0</v>
      </c>
    </row>
    <row r="3049" spans="2:8" x14ac:dyDescent="0.2">
      <c r="B3049" s="3" t="s">
        <v>160</v>
      </c>
      <c r="C3049" s="3" t="s">
        <v>46</v>
      </c>
      <c r="D3049" s="3" t="str">
        <f>VLOOKUP(C3049,Countries!$B$3:$C$140,2,FALSE)</f>
        <v>Europe/Asia</v>
      </c>
      <c r="E3049" s="3" t="s">
        <v>51</v>
      </c>
      <c r="F3049" s="3" t="str">
        <f>VLOOKUP(E3049,Countries!$B$3:$C$140,2,FALSE)</f>
        <v>Asia</v>
      </c>
      <c r="G3049" s="4">
        <v>4</v>
      </c>
      <c r="H3049" s="4">
        <v>8071661.8901999993</v>
      </c>
    </row>
    <row r="3050" spans="2:8" x14ac:dyDescent="0.2">
      <c r="B3050" s="3" t="s">
        <v>160</v>
      </c>
      <c r="C3050" s="3" t="s">
        <v>46</v>
      </c>
      <c r="D3050" s="3" t="str">
        <f>VLOOKUP(C3050,Countries!$B$3:$C$140,2,FALSE)</f>
        <v>Europe/Asia</v>
      </c>
      <c r="E3050" s="3" t="s">
        <v>17</v>
      </c>
      <c r="F3050" s="3" t="str">
        <f>VLOOKUP(E3050,Countries!$B$3:$C$140,2,FALSE)</f>
        <v>Europe</v>
      </c>
      <c r="G3050" s="4">
        <v>4</v>
      </c>
      <c r="H3050" s="4">
        <v>25697406.39147</v>
      </c>
    </row>
    <row r="3051" spans="2:8" x14ac:dyDescent="0.2">
      <c r="B3051" s="3" t="s">
        <v>160</v>
      </c>
      <c r="C3051" s="3" t="s">
        <v>46</v>
      </c>
      <c r="D3051" s="3" t="str">
        <f>VLOOKUP(C3051,Countries!$B$3:$C$140,2,FALSE)</f>
        <v>Europe/Asia</v>
      </c>
      <c r="E3051" s="3" t="s">
        <v>40</v>
      </c>
      <c r="F3051" s="3" t="str">
        <f>VLOOKUP(E3051,Countries!$B$3:$C$140,2,FALSE)</f>
        <v>Asia</v>
      </c>
      <c r="G3051" s="4">
        <v>6</v>
      </c>
      <c r="H3051" s="4">
        <v>600000</v>
      </c>
    </row>
    <row r="3052" spans="2:8" x14ac:dyDescent="0.2">
      <c r="B3052" s="3" t="s">
        <v>160</v>
      </c>
      <c r="C3052" s="3" t="s">
        <v>46</v>
      </c>
      <c r="D3052" s="3" t="str">
        <f>VLOOKUP(C3052,Countries!$B$3:$C$140,2,FALSE)</f>
        <v>Europe/Asia</v>
      </c>
      <c r="E3052" s="3" t="s">
        <v>121</v>
      </c>
      <c r="F3052" s="3" t="str">
        <f>VLOOKUP(E3052,Countries!$B$3:$C$140,2,FALSE)</f>
        <v>Asia</v>
      </c>
      <c r="G3052" s="4">
        <v>2</v>
      </c>
      <c r="H3052" s="4">
        <v>195988.81653000001</v>
      </c>
    </row>
    <row r="3053" spans="2:8" x14ac:dyDescent="0.2">
      <c r="B3053" s="3" t="s">
        <v>160</v>
      </c>
      <c r="C3053" s="3" t="s">
        <v>46</v>
      </c>
      <c r="D3053" s="3" t="str">
        <f>VLOOKUP(C3053,Countries!$B$3:$C$140,2,FALSE)</f>
        <v>Europe/Asia</v>
      </c>
      <c r="E3053" s="3" t="s">
        <v>66</v>
      </c>
      <c r="F3053" s="3" t="str">
        <f>VLOOKUP(E3053,Countries!$B$3:$C$140,2,FALSE)</f>
        <v>Europe</v>
      </c>
      <c r="G3053" s="4">
        <v>2</v>
      </c>
      <c r="H3053" s="4">
        <v>0</v>
      </c>
    </row>
    <row r="3054" spans="2:8" x14ac:dyDescent="0.2">
      <c r="B3054" s="3" t="s">
        <v>160</v>
      </c>
      <c r="C3054" s="3" t="s">
        <v>46</v>
      </c>
      <c r="D3054" s="3" t="str">
        <f>VLOOKUP(C3054,Countries!$B$3:$C$140,2,FALSE)</f>
        <v>Europe/Asia</v>
      </c>
      <c r="E3054" s="3" t="s">
        <v>52</v>
      </c>
      <c r="F3054" s="3" t="str">
        <f>VLOOKUP(E3054,Countries!$B$3:$C$140,2,FALSE)</f>
        <v>Europe</v>
      </c>
      <c r="G3054" s="4">
        <v>36</v>
      </c>
      <c r="H3054" s="4">
        <v>1831449.6723</v>
      </c>
    </row>
    <row r="3055" spans="2:8" x14ac:dyDescent="0.2">
      <c r="B3055" s="3" t="s">
        <v>160</v>
      </c>
      <c r="C3055" s="3" t="s">
        <v>46</v>
      </c>
      <c r="D3055" s="3" t="str">
        <f>VLOOKUP(C3055,Countries!$B$3:$C$140,2,FALSE)</f>
        <v>Europe/Asia</v>
      </c>
      <c r="E3055" s="3" t="s">
        <v>43</v>
      </c>
      <c r="F3055" s="3" t="str">
        <f>VLOOKUP(E3055,Countries!$B$3:$C$140,2,FALSE)</f>
        <v>Europe</v>
      </c>
      <c r="G3055" s="4">
        <v>16</v>
      </c>
      <c r="H3055" s="4">
        <v>4200830.9451000001</v>
      </c>
    </row>
    <row r="3056" spans="2:8" x14ac:dyDescent="0.2">
      <c r="B3056" s="3" t="s">
        <v>160</v>
      </c>
      <c r="C3056" s="3" t="s">
        <v>46</v>
      </c>
      <c r="D3056" s="3" t="str">
        <f>VLOOKUP(C3056,Countries!$B$3:$C$140,2,FALSE)</f>
        <v>Europe/Asia</v>
      </c>
      <c r="E3056" s="3" t="s">
        <v>23</v>
      </c>
      <c r="F3056" s="3" t="str">
        <f>VLOOKUP(E3056,Countries!$B$3:$C$140,2,FALSE)</f>
        <v>Europe</v>
      </c>
      <c r="G3056" s="4">
        <v>4</v>
      </c>
      <c r="H3056" s="4">
        <v>5235016.0824899999</v>
      </c>
    </row>
    <row r="3057" spans="2:8" x14ac:dyDescent="0.2">
      <c r="B3057" s="3" t="s">
        <v>160</v>
      </c>
      <c r="C3057" s="3" t="s">
        <v>46</v>
      </c>
      <c r="D3057" s="3" t="str">
        <f>VLOOKUP(C3057,Countries!$B$3:$C$140,2,FALSE)</f>
        <v>Europe/Asia</v>
      </c>
      <c r="E3057" s="3" t="s">
        <v>53</v>
      </c>
      <c r="F3057" s="3" t="str">
        <f>VLOOKUP(E3057,Countries!$B$3:$C$140,2,FALSE)</f>
        <v>Europe</v>
      </c>
      <c r="G3057" s="4">
        <v>10</v>
      </c>
      <c r="H3057" s="4">
        <v>30268732.088249996</v>
      </c>
    </row>
    <row r="3058" spans="2:8" x14ac:dyDescent="0.2">
      <c r="B3058" s="3" t="s">
        <v>160</v>
      </c>
      <c r="C3058" s="3" t="s">
        <v>46</v>
      </c>
      <c r="D3058" s="3" t="str">
        <f>VLOOKUP(C3058,Countries!$B$3:$C$140,2,FALSE)</f>
        <v>Europe/Asia</v>
      </c>
      <c r="E3058" s="3" t="s">
        <v>79</v>
      </c>
      <c r="F3058" s="3" t="str">
        <f>VLOOKUP(E3058,Countries!$B$3:$C$140,2,FALSE)</f>
        <v>South America</v>
      </c>
      <c r="G3058" s="4">
        <v>4</v>
      </c>
      <c r="H3058" s="4">
        <v>18000000</v>
      </c>
    </row>
    <row r="3059" spans="2:8" x14ac:dyDescent="0.2">
      <c r="B3059" s="3" t="s">
        <v>160</v>
      </c>
      <c r="C3059" s="3" t="s">
        <v>46</v>
      </c>
      <c r="D3059" s="3" t="str">
        <f>VLOOKUP(C3059,Countries!$B$3:$C$140,2,FALSE)</f>
        <v>Europe/Asia</v>
      </c>
      <c r="E3059" s="3" t="s">
        <v>54</v>
      </c>
      <c r="F3059" s="3" t="str">
        <f>VLOOKUP(E3059,Countries!$B$3:$C$140,2,FALSE)</f>
        <v>Europe</v>
      </c>
      <c r="G3059" s="4">
        <v>8</v>
      </c>
      <c r="H3059" s="4">
        <v>4035830.9450999997</v>
      </c>
    </row>
    <row r="3060" spans="2:8" x14ac:dyDescent="0.2">
      <c r="B3060" s="3" t="s">
        <v>160</v>
      </c>
      <c r="C3060" s="3" t="s">
        <v>46</v>
      </c>
      <c r="D3060" s="3" t="str">
        <f>VLOOKUP(C3060,Countries!$B$3:$C$140,2,FALSE)</f>
        <v>Europe/Asia</v>
      </c>
      <c r="E3060" s="3" t="s">
        <v>25</v>
      </c>
      <c r="F3060" s="3" t="str">
        <f>VLOOKUP(E3060,Countries!$B$3:$C$140,2,FALSE)</f>
        <v>Europe</v>
      </c>
      <c r="G3060" s="4">
        <v>14</v>
      </c>
      <c r="H3060" s="4">
        <v>318615570.59568596</v>
      </c>
    </row>
    <row r="3061" spans="2:8" x14ac:dyDescent="0.2">
      <c r="B3061" s="3" t="s">
        <v>160</v>
      </c>
      <c r="C3061" s="3" t="s">
        <v>46</v>
      </c>
      <c r="D3061" s="3" t="str">
        <f>VLOOKUP(C3061,Countries!$B$3:$C$140,2,FALSE)</f>
        <v>Europe/Asia</v>
      </c>
      <c r="E3061" s="3" t="s">
        <v>26</v>
      </c>
      <c r="F3061" s="3" t="str">
        <f>VLOOKUP(E3061,Countries!$B$3:$C$140,2,FALSE)</f>
        <v>Europe</v>
      </c>
      <c r="G3061" s="4">
        <v>14</v>
      </c>
      <c r="H3061" s="4">
        <v>1880032.664628</v>
      </c>
    </row>
    <row r="3062" spans="2:8" x14ac:dyDescent="0.2">
      <c r="B3062" s="3" t="s">
        <v>160</v>
      </c>
      <c r="C3062" s="3" t="s">
        <v>46</v>
      </c>
      <c r="D3062" s="3" t="str">
        <f>VLOOKUP(C3062,Countries!$B$3:$C$140,2,FALSE)</f>
        <v>Europe/Asia</v>
      </c>
      <c r="E3062" s="3" t="s">
        <v>82</v>
      </c>
      <c r="F3062" s="3" t="e">
        <f>VLOOKUP(E3062,Countries!$B$3:$C$140,2,FALSE)</f>
        <v>#N/A</v>
      </c>
      <c r="G3062" s="4">
        <v>2</v>
      </c>
      <c r="H3062" s="4">
        <v>2421498.5670600003</v>
      </c>
    </row>
    <row r="3063" spans="2:8" x14ac:dyDescent="0.2">
      <c r="B3063" s="3" t="s">
        <v>160</v>
      </c>
      <c r="C3063" s="3" t="s">
        <v>46</v>
      </c>
      <c r="D3063" s="3" t="str">
        <f>VLOOKUP(C3063,Countries!$B$3:$C$140,2,FALSE)</f>
        <v>Europe/Asia</v>
      </c>
      <c r="E3063" s="3" t="s">
        <v>55</v>
      </c>
      <c r="F3063" s="3" t="str">
        <f>VLOOKUP(E3063,Countries!$B$3:$C$140,2,FALSE)</f>
        <v>Europe</v>
      </c>
      <c r="G3063" s="4">
        <v>2</v>
      </c>
      <c r="H3063" s="4">
        <v>0</v>
      </c>
    </row>
    <row r="3064" spans="2:8" x14ac:dyDescent="0.2">
      <c r="B3064" s="3" t="s">
        <v>160</v>
      </c>
      <c r="C3064" s="3" t="s">
        <v>46</v>
      </c>
      <c r="D3064" s="3" t="str">
        <f>VLOOKUP(C3064,Countries!$B$3:$C$140,2,FALSE)</f>
        <v>Europe/Asia</v>
      </c>
      <c r="E3064" s="3" t="s">
        <v>98</v>
      </c>
      <c r="F3064" s="3" t="str">
        <f>VLOOKUP(E3064,Countries!$B$3:$C$140,2,FALSE)</f>
        <v>North America</v>
      </c>
      <c r="G3064" s="4">
        <v>2</v>
      </c>
      <c r="H3064" s="4">
        <v>300000</v>
      </c>
    </row>
    <row r="3065" spans="2:8" x14ac:dyDescent="0.2">
      <c r="B3065" s="3" t="s">
        <v>160</v>
      </c>
      <c r="C3065" s="3" t="s">
        <v>46</v>
      </c>
      <c r="D3065" s="3" t="str">
        <f>VLOOKUP(C3065,Countries!$B$3:$C$140,2,FALSE)</f>
        <v>Europe/Asia</v>
      </c>
      <c r="E3065" s="3" t="s">
        <v>28</v>
      </c>
      <c r="F3065" s="3" t="str">
        <f>VLOOKUP(E3065,Countries!$B$3:$C$140,2,FALSE)</f>
        <v>Europe</v>
      </c>
      <c r="G3065" s="4">
        <v>4</v>
      </c>
      <c r="H3065" s="4">
        <v>6070253.4782999996</v>
      </c>
    </row>
    <row r="3066" spans="2:8" x14ac:dyDescent="0.2">
      <c r="B3066" s="3" t="s">
        <v>160</v>
      </c>
      <c r="C3066" s="3" t="s">
        <v>46</v>
      </c>
      <c r="D3066" s="3" t="str">
        <f>VLOOKUP(C3066,Countries!$B$3:$C$140,2,FALSE)</f>
        <v>Europe/Asia</v>
      </c>
      <c r="E3066" s="3" t="s">
        <v>29</v>
      </c>
      <c r="F3066" s="3" t="str">
        <f>VLOOKUP(E3066,Countries!$B$3:$C$140,2,FALSE)</f>
        <v>Europe</v>
      </c>
      <c r="G3066" s="4">
        <v>2</v>
      </c>
      <c r="H3066" s="4">
        <v>2548123.1644049999</v>
      </c>
    </row>
    <row r="3067" spans="2:8" x14ac:dyDescent="0.2">
      <c r="B3067" s="3" t="s">
        <v>160</v>
      </c>
      <c r="C3067" s="3" t="s">
        <v>46</v>
      </c>
      <c r="D3067" s="3" t="str">
        <f>VLOOKUP(C3067,Countries!$B$3:$C$140,2,FALSE)</f>
        <v>Europe/Asia</v>
      </c>
      <c r="E3067" s="3" t="s">
        <v>56</v>
      </c>
      <c r="F3067" s="3" t="str">
        <f>VLOOKUP(E3067,Countries!$B$3:$C$140,2,FALSE)</f>
        <v>Europe</v>
      </c>
      <c r="G3067" s="4">
        <v>2</v>
      </c>
      <c r="H3067" s="4">
        <v>0</v>
      </c>
    </row>
    <row r="3068" spans="2:8" x14ac:dyDescent="0.2">
      <c r="B3068" s="3" t="s">
        <v>160</v>
      </c>
      <c r="C3068" s="3" t="s">
        <v>46</v>
      </c>
      <c r="D3068" s="3" t="str">
        <f>VLOOKUP(C3068,Countries!$B$3:$C$140,2,FALSE)</f>
        <v>Europe/Asia</v>
      </c>
      <c r="E3068" s="3" t="s">
        <v>31</v>
      </c>
      <c r="F3068" s="3" t="str">
        <f>VLOOKUP(E3068,Countries!$B$3:$C$140,2,FALSE)</f>
        <v>Europe</v>
      </c>
      <c r="G3068" s="4">
        <v>2</v>
      </c>
      <c r="H3068" s="4">
        <v>0</v>
      </c>
    </row>
    <row r="3069" spans="2:8" x14ac:dyDescent="0.2">
      <c r="B3069" s="3" t="s">
        <v>160</v>
      </c>
      <c r="C3069" s="3" t="s">
        <v>46</v>
      </c>
      <c r="D3069" s="3" t="str">
        <f>VLOOKUP(C3069,Countries!$B$3:$C$140,2,FALSE)</f>
        <v>Europe/Asia</v>
      </c>
      <c r="E3069" s="3" t="s">
        <v>104</v>
      </c>
      <c r="F3069" s="3" t="str">
        <f>VLOOKUP(E3069,Countries!$B$3:$C$140,2,FALSE)</f>
        <v>Africa</v>
      </c>
      <c r="G3069" s="4">
        <v>2</v>
      </c>
      <c r="H3069" s="4">
        <v>3430456.3033349998</v>
      </c>
    </row>
    <row r="3070" spans="2:8" x14ac:dyDescent="0.2">
      <c r="B3070" s="3" t="s">
        <v>160</v>
      </c>
      <c r="C3070" s="3" t="s">
        <v>46</v>
      </c>
      <c r="D3070" s="3" t="str">
        <f>VLOOKUP(C3070,Countries!$B$3:$C$140,2,FALSE)</f>
        <v>Europe/Asia</v>
      </c>
      <c r="E3070" s="3" t="s">
        <v>57</v>
      </c>
      <c r="F3070" s="3" t="str">
        <f>VLOOKUP(E3070,Countries!$B$3:$C$140,2,FALSE)</f>
        <v>Europe/Asia</v>
      </c>
      <c r="G3070" s="4">
        <v>4</v>
      </c>
      <c r="H3070" s="4">
        <v>5246580.2286300007</v>
      </c>
    </row>
    <row r="3071" spans="2:8" x14ac:dyDescent="0.2">
      <c r="B3071" s="3" t="s">
        <v>160</v>
      </c>
      <c r="C3071" s="3" t="s">
        <v>46</v>
      </c>
      <c r="D3071" s="3" t="str">
        <f>VLOOKUP(C3071,Countries!$B$3:$C$140,2,FALSE)</f>
        <v>Europe/Asia</v>
      </c>
      <c r="E3071" s="3" t="s">
        <v>32</v>
      </c>
      <c r="F3071" s="3" t="str">
        <f>VLOOKUP(E3071,Countries!$B$3:$C$140,2,FALSE)</f>
        <v>Europe</v>
      </c>
      <c r="G3071" s="4">
        <v>42</v>
      </c>
      <c r="H3071" s="4">
        <v>139000865.37239999</v>
      </c>
    </row>
    <row r="3072" spans="2:8" x14ac:dyDescent="0.2">
      <c r="B3072" s="3" t="s">
        <v>160</v>
      </c>
      <c r="C3072" s="3" t="s">
        <v>46</v>
      </c>
      <c r="D3072" s="3" t="str">
        <f>VLOOKUP(C3072,Countries!$B$3:$C$140,2,FALSE)</f>
        <v>Europe/Asia</v>
      </c>
      <c r="E3072" s="3" t="s">
        <v>58</v>
      </c>
      <c r="F3072" s="3" t="str">
        <f>VLOOKUP(E3072,Countries!$B$3:$C$140,2,FALSE)</f>
        <v>South America</v>
      </c>
      <c r="G3072" s="4">
        <v>2</v>
      </c>
      <c r="H3072" s="4">
        <v>9800473.7092499994</v>
      </c>
    </row>
    <row r="3073" spans="2:8" x14ac:dyDescent="0.2">
      <c r="B3073" s="3" t="s">
        <v>160</v>
      </c>
      <c r="C3073" s="3" t="s">
        <v>46</v>
      </c>
      <c r="D3073" s="3" t="str">
        <f>VLOOKUP(C3073,Countries!$B$3:$C$140,2,FALSE)</f>
        <v>Europe/Asia</v>
      </c>
      <c r="E3073" s="3" t="s">
        <v>87</v>
      </c>
      <c r="F3073" s="3" t="str">
        <f>VLOOKUP(E3073,Countries!$B$3:$C$140,2,FALSE)</f>
        <v>Asia</v>
      </c>
      <c r="G3073" s="4">
        <v>8</v>
      </c>
      <c r="H3073" s="4">
        <v>0</v>
      </c>
    </row>
    <row r="3074" spans="2:8" x14ac:dyDescent="0.2">
      <c r="B3074" s="3" t="s">
        <v>160</v>
      </c>
      <c r="C3074" s="3" t="s">
        <v>55</v>
      </c>
      <c r="D3074" s="3" t="str">
        <f>VLOOKUP(C3074,Countries!$B$3:$C$140,2,FALSE)</f>
        <v>Europe</v>
      </c>
      <c r="E3074" s="3" t="s">
        <v>48</v>
      </c>
      <c r="F3074" s="3" t="str">
        <f>VLOOKUP(E3074,Countries!$B$3:$C$140,2,FALSE)</f>
        <v>Oceania</v>
      </c>
      <c r="G3074" s="4">
        <v>12</v>
      </c>
      <c r="H3074" s="4">
        <v>2205945</v>
      </c>
    </row>
    <row r="3075" spans="2:8" x14ac:dyDescent="0.2">
      <c r="B3075" s="3" t="s">
        <v>160</v>
      </c>
      <c r="C3075" s="3" t="s">
        <v>55</v>
      </c>
      <c r="D3075" s="3" t="str">
        <f>VLOOKUP(C3075,Countries!$B$3:$C$140,2,FALSE)</f>
        <v>Europe</v>
      </c>
      <c r="E3075" s="3" t="s">
        <v>4</v>
      </c>
      <c r="F3075" s="3" t="str">
        <f>VLOOKUP(E3075,Countries!$B$3:$C$140,2,FALSE)</f>
        <v>Asia</v>
      </c>
      <c r="G3075" s="4">
        <v>2</v>
      </c>
      <c r="H3075" s="4">
        <v>0</v>
      </c>
    </row>
    <row r="3076" spans="2:8" x14ac:dyDescent="0.2">
      <c r="B3076" s="3" t="s">
        <v>160</v>
      </c>
      <c r="C3076" s="3" t="s">
        <v>55</v>
      </c>
      <c r="D3076" s="3" t="str">
        <f>VLOOKUP(C3076,Countries!$B$3:$C$140,2,FALSE)</f>
        <v>Europe</v>
      </c>
      <c r="E3076" s="3" t="s">
        <v>35</v>
      </c>
      <c r="F3076" s="3" t="str">
        <f>VLOOKUP(E3076,Countries!$B$3:$C$140,2,FALSE)</f>
        <v>Europe</v>
      </c>
      <c r="G3076" s="4">
        <v>4</v>
      </c>
      <c r="H3076" s="4">
        <v>0</v>
      </c>
    </row>
    <row r="3077" spans="2:8" x14ac:dyDescent="0.2">
      <c r="B3077" s="3" t="s">
        <v>160</v>
      </c>
      <c r="C3077" s="3" t="s">
        <v>55</v>
      </c>
      <c r="D3077" s="3" t="str">
        <f>VLOOKUP(C3077,Countries!$B$3:$C$140,2,FALSE)</f>
        <v>Europe</v>
      </c>
      <c r="E3077" s="3" t="s">
        <v>7</v>
      </c>
      <c r="F3077" s="3" t="str">
        <f>VLOOKUP(E3077,Countries!$B$3:$C$140,2,FALSE)</f>
        <v>South America</v>
      </c>
      <c r="G3077" s="4">
        <v>2</v>
      </c>
      <c r="H3077" s="4">
        <v>0</v>
      </c>
    </row>
    <row r="3078" spans="2:8" x14ac:dyDescent="0.2">
      <c r="B3078" s="3" t="s">
        <v>160</v>
      </c>
      <c r="C3078" s="3" t="s">
        <v>55</v>
      </c>
      <c r="D3078" s="3" t="str">
        <f>VLOOKUP(C3078,Countries!$B$3:$C$140,2,FALSE)</f>
        <v>Europe</v>
      </c>
      <c r="E3078" s="3" t="s">
        <v>36</v>
      </c>
      <c r="F3078" s="3" t="str">
        <f>VLOOKUP(E3078,Countries!$B$3:$C$140,2,FALSE)</f>
        <v>Europe</v>
      </c>
      <c r="G3078" s="4">
        <v>4</v>
      </c>
      <c r="H3078" s="4">
        <v>0</v>
      </c>
    </row>
    <row r="3079" spans="2:8" x14ac:dyDescent="0.2">
      <c r="B3079" s="3" t="s">
        <v>160</v>
      </c>
      <c r="C3079" s="3" t="s">
        <v>55</v>
      </c>
      <c r="D3079" s="3" t="str">
        <f>VLOOKUP(C3079,Countries!$B$3:$C$140,2,FALSE)</f>
        <v>Europe</v>
      </c>
      <c r="E3079" s="3" t="s">
        <v>9</v>
      </c>
      <c r="F3079" s="3" t="str">
        <f>VLOOKUP(E3079,Countries!$B$3:$C$140,2,FALSE)</f>
        <v>Europe</v>
      </c>
      <c r="G3079" s="4">
        <v>2</v>
      </c>
      <c r="H3079" s="4">
        <v>0</v>
      </c>
    </row>
    <row r="3080" spans="2:8" x14ac:dyDescent="0.2">
      <c r="B3080" s="3" t="s">
        <v>160</v>
      </c>
      <c r="C3080" s="3" t="s">
        <v>55</v>
      </c>
      <c r="D3080" s="3" t="str">
        <f>VLOOKUP(C3080,Countries!$B$3:$C$140,2,FALSE)</f>
        <v>Europe</v>
      </c>
      <c r="E3080" s="3" t="s">
        <v>50</v>
      </c>
      <c r="F3080" s="3" t="str">
        <f>VLOOKUP(E3080,Countries!$B$3:$C$140,2,FALSE)</f>
        <v>Europe</v>
      </c>
      <c r="G3080" s="4">
        <v>160</v>
      </c>
      <c r="H3080" s="4">
        <v>540267.11207764503</v>
      </c>
    </row>
    <row r="3081" spans="2:8" x14ac:dyDescent="0.2">
      <c r="B3081" s="3" t="s">
        <v>160</v>
      </c>
      <c r="C3081" s="3" t="s">
        <v>55</v>
      </c>
      <c r="D3081" s="3" t="str">
        <f>VLOOKUP(C3081,Countries!$B$3:$C$140,2,FALSE)</f>
        <v>Europe</v>
      </c>
      <c r="E3081" s="3" t="s">
        <v>11</v>
      </c>
      <c r="F3081" s="3" t="str">
        <f>VLOOKUP(E3081,Countries!$B$3:$C$140,2,FALSE)</f>
        <v>Europe</v>
      </c>
      <c r="G3081" s="4">
        <v>18</v>
      </c>
      <c r="H3081" s="4">
        <v>1756145.0782349999</v>
      </c>
    </row>
    <row r="3082" spans="2:8" x14ac:dyDescent="0.2">
      <c r="B3082" s="3" t="s">
        <v>160</v>
      </c>
      <c r="C3082" s="3" t="s">
        <v>55</v>
      </c>
      <c r="D3082" s="3" t="str">
        <f>VLOOKUP(C3082,Countries!$B$3:$C$140,2,FALSE)</f>
        <v>Europe</v>
      </c>
      <c r="E3082" s="3" t="s">
        <v>73</v>
      </c>
      <c r="F3082" s="3" t="str">
        <f>VLOOKUP(E3082,Countries!$B$3:$C$140,2,FALSE)</f>
        <v>Europe</v>
      </c>
      <c r="G3082" s="4">
        <v>4</v>
      </c>
      <c r="H3082" s="4">
        <v>0</v>
      </c>
    </row>
    <row r="3083" spans="2:8" x14ac:dyDescent="0.2">
      <c r="B3083" s="3" t="s">
        <v>160</v>
      </c>
      <c r="C3083" s="3" t="s">
        <v>55</v>
      </c>
      <c r="D3083" s="3" t="str">
        <f>VLOOKUP(C3083,Countries!$B$3:$C$140,2,FALSE)</f>
        <v>Europe</v>
      </c>
      <c r="E3083" s="3" t="s">
        <v>12</v>
      </c>
      <c r="F3083" s="3" t="str">
        <f>VLOOKUP(E3083,Countries!$B$3:$C$140,2,FALSE)</f>
        <v>Europe</v>
      </c>
      <c r="G3083" s="4">
        <v>6</v>
      </c>
      <c r="H3083" s="4">
        <v>0</v>
      </c>
    </row>
    <row r="3084" spans="2:8" x14ac:dyDescent="0.2">
      <c r="B3084" s="3" t="s">
        <v>160</v>
      </c>
      <c r="C3084" s="3" t="s">
        <v>55</v>
      </c>
      <c r="D3084" s="3" t="str">
        <f>VLOOKUP(C3084,Countries!$B$3:$C$140,2,FALSE)</f>
        <v>Europe</v>
      </c>
      <c r="E3084" s="3" t="s">
        <v>97</v>
      </c>
      <c r="F3084" s="3" t="str">
        <f>VLOOKUP(E3084,Countries!$B$3:$C$140,2,FALSE)</f>
        <v>Europe</v>
      </c>
      <c r="G3084" s="4">
        <v>2</v>
      </c>
      <c r="H3084" s="4">
        <v>0</v>
      </c>
    </row>
    <row r="3085" spans="2:8" x14ac:dyDescent="0.2">
      <c r="B3085" s="3" t="s">
        <v>160</v>
      </c>
      <c r="C3085" s="3" t="s">
        <v>55</v>
      </c>
      <c r="D3085" s="3" t="str">
        <f>VLOOKUP(C3085,Countries!$B$3:$C$140,2,FALSE)</f>
        <v>Europe</v>
      </c>
      <c r="E3085" s="3" t="s">
        <v>13</v>
      </c>
      <c r="F3085" s="3" t="str">
        <f>VLOOKUP(E3085,Countries!$B$3:$C$140,2,FALSE)</f>
        <v>Europe</v>
      </c>
      <c r="G3085" s="4">
        <v>2</v>
      </c>
      <c r="H3085" s="4">
        <v>0</v>
      </c>
    </row>
    <row r="3086" spans="2:8" x14ac:dyDescent="0.2">
      <c r="B3086" s="3" t="s">
        <v>160</v>
      </c>
      <c r="C3086" s="3" t="s">
        <v>55</v>
      </c>
      <c r="D3086" s="3" t="str">
        <f>VLOOKUP(C3086,Countries!$B$3:$C$140,2,FALSE)</f>
        <v>Europe</v>
      </c>
      <c r="E3086" s="3" t="s">
        <v>14</v>
      </c>
      <c r="F3086" s="3" t="str">
        <f>VLOOKUP(E3086,Countries!$B$3:$C$140,2,FALSE)</f>
        <v>Europe</v>
      </c>
      <c r="G3086" s="4">
        <v>6</v>
      </c>
      <c r="H3086" s="4">
        <v>0</v>
      </c>
    </row>
    <row r="3087" spans="2:8" x14ac:dyDescent="0.2">
      <c r="B3087" s="3" t="s">
        <v>160</v>
      </c>
      <c r="C3087" s="3" t="s">
        <v>55</v>
      </c>
      <c r="D3087" s="3" t="str">
        <f>VLOOKUP(C3087,Countries!$B$3:$C$140,2,FALSE)</f>
        <v>Europe</v>
      </c>
      <c r="E3087" s="3" t="s">
        <v>101</v>
      </c>
      <c r="F3087" s="3" t="str">
        <f>VLOOKUP(E3087,Countries!$B$3:$C$140,2,FALSE)</f>
        <v>Europe</v>
      </c>
      <c r="G3087" s="4">
        <v>12</v>
      </c>
      <c r="H3087" s="4">
        <v>863732.56912709994</v>
      </c>
    </row>
    <row r="3088" spans="2:8" x14ac:dyDescent="0.2">
      <c r="B3088" s="3" t="s">
        <v>160</v>
      </c>
      <c r="C3088" s="3" t="s">
        <v>55</v>
      </c>
      <c r="D3088" s="3" t="str">
        <f>VLOOKUP(C3088,Countries!$B$3:$C$140,2,FALSE)</f>
        <v>Europe</v>
      </c>
      <c r="E3088" s="3" t="s">
        <v>75</v>
      </c>
      <c r="F3088" s="3" t="str">
        <f>VLOOKUP(E3088,Countries!$B$3:$C$140,2,FALSE)</f>
        <v>Europe</v>
      </c>
      <c r="G3088" s="4">
        <v>4</v>
      </c>
      <c r="H3088" s="4">
        <v>0</v>
      </c>
    </row>
    <row r="3089" spans="2:8" x14ac:dyDescent="0.2">
      <c r="B3089" s="3" t="s">
        <v>160</v>
      </c>
      <c r="C3089" s="3" t="s">
        <v>55</v>
      </c>
      <c r="D3089" s="3" t="str">
        <f>VLOOKUP(C3089,Countries!$B$3:$C$140,2,FALSE)</f>
        <v>Europe</v>
      </c>
      <c r="E3089" s="3" t="s">
        <v>51</v>
      </c>
      <c r="F3089" s="3" t="str">
        <f>VLOOKUP(E3089,Countries!$B$3:$C$140,2,FALSE)</f>
        <v>Asia</v>
      </c>
      <c r="G3089" s="4">
        <v>2</v>
      </c>
      <c r="H3089" s="4">
        <v>4035830.9450999997</v>
      </c>
    </row>
    <row r="3090" spans="2:8" x14ac:dyDescent="0.2">
      <c r="B3090" s="3" t="s">
        <v>160</v>
      </c>
      <c r="C3090" s="3" t="s">
        <v>55</v>
      </c>
      <c r="D3090" s="3" t="str">
        <f>VLOOKUP(C3090,Countries!$B$3:$C$140,2,FALSE)</f>
        <v>Europe</v>
      </c>
      <c r="E3090" s="3" t="s">
        <v>17</v>
      </c>
      <c r="F3090" s="3" t="str">
        <f>VLOOKUP(E3090,Countries!$B$3:$C$140,2,FALSE)</f>
        <v>Europe</v>
      </c>
      <c r="G3090" s="4">
        <v>12</v>
      </c>
      <c r="H3090" s="4">
        <v>0</v>
      </c>
    </row>
    <row r="3091" spans="2:8" x14ac:dyDescent="0.2">
      <c r="B3091" s="3" t="s">
        <v>160</v>
      </c>
      <c r="C3091" s="3" t="s">
        <v>55</v>
      </c>
      <c r="D3091" s="3" t="str">
        <f>VLOOKUP(C3091,Countries!$B$3:$C$140,2,FALSE)</f>
        <v>Europe</v>
      </c>
      <c r="E3091" s="3" t="s">
        <v>66</v>
      </c>
      <c r="F3091" s="3" t="str">
        <f>VLOOKUP(E3091,Countries!$B$3:$C$140,2,FALSE)</f>
        <v>Europe</v>
      </c>
      <c r="G3091" s="4">
        <v>2</v>
      </c>
      <c r="H3091" s="4">
        <v>0</v>
      </c>
    </row>
    <row r="3092" spans="2:8" x14ac:dyDescent="0.2">
      <c r="B3092" s="3" t="s">
        <v>160</v>
      </c>
      <c r="C3092" s="3" t="s">
        <v>55</v>
      </c>
      <c r="D3092" s="3" t="str">
        <f>VLOOKUP(C3092,Countries!$B$3:$C$140,2,FALSE)</f>
        <v>Europe</v>
      </c>
      <c r="E3092" s="3" t="s">
        <v>77</v>
      </c>
      <c r="F3092" s="3" t="str">
        <f>VLOOKUP(E3092,Countries!$B$3:$C$140,2,FALSE)</f>
        <v>Europe</v>
      </c>
      <c r="G3092" s="4">
        <v>2</v>
      </c>
      <c r="H3092" s="4">
        <v>0</v>
      </c>
    </row>
    <row r="3093" spans="2:8" x14ac:dyDescent="0.2">
      <c r="B3093" s="3" t="s">
        <v>160</v>
      </c>
      <c r="C3093" s="3" t="s">
        <v>55</v>
      </c>
      <c r="D3093" s="3" t="str">
        <f>VLOOKUP(C3093,Countries!$B$3:$C$140,2,FALSE)</f>
        <v>Europe</v>
      </c>
      <c r="E3093" s="3" t="s">
        <v>53</v>
      </c>
      <c r="F3093" s="3" t="str">
        <f>VLOOKUP(E3093,Countries!$B$3:$C$140,2,FALSE)</f>
        <v>Europe</v>
      </c>
      <c r="G3093" s="4">
        <v>2</v>
      </c>
      <c r="H3093" s="4">
        <v>0</v>
      </c>
    </row>
    <row r="3094" spans="2:8" x14ac:dyDescent="0.2">
      <c r="B3094" s="3" t="s">
        <v>160</v>
      </c>
      <c r="C3094" s="3" t="s">
        <v>55</v>
      </c>
      <c r="D3094" s="3" t="str">
        <f>VLOOKUP(C3094,Countries!$B$3:$C$140,2,FALSE)</f>
        <v>Europe</v>
      </c>
      <c r="E3094" s="3" t="s">
        <v>24</v>
      </c>
      <c r="F3094" s="3" t="str">
        <f>VLOOKUP(E3094,Countries!$B$3:$C$140,2,FALSE)</f>
        <v>Africa</v>
      </c>
      <c r="G3094" s="4">
        <v>4</v>
      </c>
      <c r="H3094" s="4">
        <v>0</v>
      </c>
    </row>
    <row r="3095" spans="2:8" x14ac:dyDescent="0.2">
      <c r="B3095" s="3" t="s">
        <v>160</v>
      </c>
      <c r="C3095" s="3" t="s">
        <v>55</v>
      </c>
      <c r="D3095" s="3" t="str">
        <f>VLOOKUP(C3095,Countries!$B$3:$C$140,2,FALSE)</f>
        <v>Europe</v>
      </c>
      <c r="E3095" s="3" t="s">
        <v>78</v>
      </c>
      <c r="F3095" s="3" t="str">
        <f>VLOOKUP(E3095,Countries!$B$3:$C$140,2,FALSE)</f>
        <v>Europe</v>
      </c>
      <c r="G3095" s="4">
        <v>2</v>
      </c>
      <c r="H3095" s="4">
        <v>0</v>
      </c>
    </row>
    <row r="3096" spans="2:8" x14ac:dyDescent="0.2">
      <c r="B3096" s="3" t="s">
        <v>160</v>
      </c>
      <c r="C3096" s="3" t="s">
        <v>55</v>
      </c>
      <c r="D3096" s="3" t="str">
        <f>VLOOKUP(C3096,Countries!$B$3:$C$140,2,FALSE)</f>
        <v>Europe</v>
      </c>
      <c r="E3096" s="3" t="s">
        <v>54</v>
      </c>
      <c r="F3096" s="3" t="str">
        <f>VLOOKUP(E3096,Countries!$B$3:$C$140,2,FALSE)</f>
        <v>Europe</v>
      </c>
      <c r="G3096" s="4">
        <v>2</v>
      </c>
      <c r="H3096" s="4">
        <v>0</v>
      </c>
    </row>
    <row r="3097" spans="2:8" x14ac:dyDescent="0.2">
      <c r="B3097" s="3" t="s">
        <v>160</v>
      </c>
      <c r="C3097" s="3" t="s">
        <v>55</v>
      </c>
      <c r="D3097" s="3" t="str">
        <f>VLOOKUP(C3097,Countries!$B$3:$C$140,2,FALSE)</f>
        <v>Europe</v>
      </c>
      <c r="E3097" s="3" t="s">
        <v>25</v>
      </c>
      <c r="F3097" s="3" t="str">
        <f>VLOOKUP(E3097,Countries!$B$3:$C$140,2,FALSE)</f>
        <v>Europe</v>
      </c>
      <c r="G3097" s="4">
        <v>2</v>
      </c>
      <c r="H3097" s="4">
        <v>0</v>
      </c>
    </row>
    <row r="3098" spans="2:8" x14ac:dyDescent="0.2">
      <c r="B3098" s="3" t="s">
        <v>160</v>
      </c>
      <c r="C3098" s="3" t="s">
        <v>55</v>
      </c>
      <c r="D3098" s="3" t="str">
        <f>VLOOKUP(C3098,Countries!$B$3:$C$140,2,FALSE)</f>
        <v>Europe</v>
      </c>
      <c r="E3098" s="3" t="s">
        <v>29</v>
      </c>
      <c r="F3098" s="3" t="str">
        <f>VLOOKUP(E3098,Countries!$B$3:$C$140,2,FALSE)</f>
        <v>Europe</v>
      </c>
      <c r="G3098" s="4">
        <v>6</v>
      </c>
      <c r="H3098" s="4">
        <v>0</v>
      </c>
    </row>
    <row r="3099" spans="2:8" x14ac:dyDescent="0.2">
      <c r="B3099" s="3" t="s">
        <v>160</v>
      </c>
      <c r="C3099" s="3" t="s">
        <v>55</v>
      </c>
      <c r="D3099" s="3" t="str">
        <f>VLOOKUP(C3099,Countries!$B$3:$C$140,2,FALSE)</f>
        <v>Europe</v>
      </c>
      <c r="E3099" s="3" t="s">
        <v>31</v>
      </c>
      <c r="F3099" s="3" t="str">
        <f>VLOOKUP(E3099,Countries!$B$3:$C$140,2,FALSE)</f>
        <v>Europe</v>
      </c>
      <c r="G3099" s="4">
        <v>6</v>
      </c>
      <c r="H3099" s="4">
        <v>0</v>
      </c>
    </row>
    <row r="3100" spans="2:8" x14ac:dyDescent="0.2">
      <c r="B3100" s="3" t="s">
        <v>160</v>
      </c>
      <c r="C3100" s="3" t="s">
        <v>55</v>
      </c>
      <c r="D3100" s="3" t="str">
        <f>VLOOKUP(C3100,Countries!$B$3:$C$140,2,FALSE)</f>
        <v>Europe</v>
      </c>
      <c r="E3100" s="3" t="s">
        <v>33</v>
      </c>
      <c r="F3100" s="3" t="str">
        <f>VLOOKUP(E3100,Countries!$B$3:$C$140,2,FALSE)</f>
        <v>North America</v>
      </c>
      <c r="G3100" s="4">
        <v>8</v>
      </c>
      <c r="H3100" s="4">
        <v>0</v>
      </c>
    </row>
    <row r="3101" spans="2:8" x14ac:dyDescent="0.2">
      <c r="B3101" s="3" t="s">
        <v>160</v>
      </c>
      <c r="C3101" s="3" t="s">
        <v>55</v>
      </c>
      <c r="D3101" s="3" t="str">
        <f>VLOOKUP(C3101,Countries!$B$3:$C$140,2,FALSE)</f>
        <v>Europe</v>
      </c>
      <c r="E3101" s="3" t="s">
        <v>86</v>
      </c>
      <c r="F3101" s="3" t="str">
        <f>VLOOKUP(E3101,Countries!$B$3:$C$140,2,FALSE)</f>
        <v>Europe</v>
      </c>
      <c r="G3101" s="4">
        <v>6</v>
      </c>
      <c r="H3101" s="4">
        <v>0</v>
      </c>
    </row>
    <row r="3102" spans="2:8" x14ac:dyDescent="0.2">
      <c r="B3102" s="3" t="s">
        <v>160</v>
      </c>
      <c r="C3102" s="3" t="s">
        <v>28</v>
      </c>
      <c r="D3102" s="3" t="str">
        <f>VLOOKUP(C3102,Countries!$B$3:$C$140,2,FALSE)</f>
        <v>Europe</v>
      </c>
      <c r="E3102" s="3" t="s">
        <v>2</v>
      </c>
      <c r="F3102" s="3" t="str">
        <f>VLOOKUP(E3102,Countries!$B$3:$C$140,2,FALSE)</f>
        <v>Europe</v>
      </c>
      <c r="G3102" s="4">
        <v>2</v>
      </c>
      <c r="H3102" s="4">
        <v>0</v>
      </c>
    </row>
    <row r="3103" spans="2:8" x14ac:dyDescent="0.2">
      <c r="B3103" s="3" t="s">
        <v>160</v>
      </c>
      <c r="C3103" s="3" t="s">
        <v>28</v>
      </c>
      <c r="D3103" s="3" t="str">
        <f>VLOOKUP(C3103,Countries!$B$3:$C$140,2,FALSE)</f>
        <v>Europe</v>
      </c>
      <c r="E3103" s="3" t="s">
        <v>113</v>
      </c>
      <c r="F3103" s="3" t="str">
        <f>VLOOKUP(E3103,Countries!$B$3:$C$140,2,FALSE)</f>
        <v>Africa</v>
      </c>
      <c r="G3103" s="4">
        <v>2</v>
      </c>
      <c r="H3103" s="4">
        <v>0</v>
      </c>
    </row>
    <row r="3104" spans="2:8" x14ac:dyDescent="0.2">
      <c r="B3104" s="3" t="s">
        <v>160</v>
      </c>
      <c r="C3104" s="3" t="s">
        <v>28</v>
      </c>
      <c r="D3104" s="3" t="str">
        <f>VLOOKUP(C3104,Countries!$B$3:$C$140,2,FALSE)</f>
        <v>Europe</v>
      </c>
      <c r="E3104" s="3" t="s">
        <v>48</v>
      </c>
      <c r="F3104" s="3" t="str">
        <f>VLOOKUP(E3104,Countries!$B$3:$C$140,2,FALSE)</f>
        <v>Oceania</v>
      </c>
      <c r="G3104" s="4">
        <v>2</v>
      </c>
      <c r="H3104" s="4">
        <v>1412540.830785</v>
      </c>
    </row>
    <row r="3105" spans="2:8" x14ac:dyDescent="0.2">
      <c r="B3105" s="3" t="s">
        <v>160</v>
      </c>
      <c r="C3105" s="3" t="s">
        <v>28</v>
      </c>
      <c r="D3105" s="3" t="str">
        <f>VLOOKUP(C3105,Countries!$B$3:$C$140,2,FALSE)</f>
        <v>Europe</v>
      </c>
      <c r="E3105" s="3" t="s">
        <v>4</v>
      </c>
      <c r="F3105" s="3" t="str">
        <f>VLOOKUP(E3105,Countries!$B$3:$C$140,2,FALSE)</f>
        <v>Asia</v>
      </c>
      <c r="G3105" s="4">
        <v>6</v>
      </c>
      <c r="H3105" s="4">
        <v>0</v>
      </c>
    </row>
    <row r="3106" spans="2:8" x14ac:dyDescent="0.2">
      <c r="B3106" s="3" t="s">
        <v>160</v>
      </c>
      <c r="C3106" s="3" t="s">
        <v>28</v>
      </c>
      <c r="D3106" s="3" t="str">
        <f>VLOOKUP(C3106,Countries!$B$3:$C$140,2,FALSE)</f>
        <v>Europe</v>
      </c>
      <c r="E3106" s="3" t="s">
        <v>6</v>
      </c>
      <c r="F3106" s="3" t="str">
        <f>VLOOKUP(E3106,Countries!$B$3:$C$140,2,FALSE)</f>
        <v>Europe</v>
      </c>
      <c r="G3106" s="4">
        <v>28</v>
      </c>
      <c r="H3106" s="4">
        <v>88788.280792199992</v>
      </c>
    </row>
    <row r="3107" spans="2:8" x14ac:dyDescent="0.2">
      <c r="B3107" s="3" t="s">
        <v>160</v>
      </c>
      <c r="C3107" s="3" t="s">
        <v>28</v>
      </c>
      <c r="D3107" s="3" t="str">
        <f>VLOOKUP(C3107,Countries!$B$3:$C$140,2,FALSE)</f>
        <v>Europe</v>
      </c>
      <c r="E3107" s="3" t="s">
        <v>7</v>
      </c>
      <c r="F3107" s="3" t="str">
        <f>VLOOKUP(E3107,Countries!$B$3:$C$140,2,FALSE)</f>
        <v>South America</v>
      </c>
      <c r="G3107" s="4">
        <v>4</v>
      </c>
      <c r="H3107" s="4">
        <v>0</v>
      </c>
    </row>
    <row r="3108" spans="2:8" x14ac:dyDescent="0.2">
      <c r="B3108" s="3" t="s">
        <v>160</v>
      </c>
      <c r="C3108" s="3" t="s">
        <v>28</v>
      </c>
      <c r="D3108" s="3" t="str">
        <f>VLOOKUP(C3108,Countries!$B$3:$C$140,2,FALSE)</f>
        <v>Europe</v>
      </c>
      <c r="E3108" s="3" t="s">
        <v>36</v>
      </c>
      <c r="F3108" s="3" t="str">
        <f>VLOOKUP(E3108,Countries!$B$3:$C$140,2,FALSE)</f>
        <v>Europe</v>
      </c>
      <c r="G3108" s="4">
        <v>4</v>
      </c>
      <c r="H3108" s="4">
        <v>0</v>
      </c>
    </row>
    <row r="3109" spans="2:8" x14ac:dyDescent="0.2">
      <c r="B3109" s="3" t="s">
        <v>160</v>
      </c>
      <c r="C3109" s="3" t="s">
        <v>28</v>
      </c>
      <c r="D3109" s="3" t="str">
        <f>VLOOKUP(C3109,Countries!$B$3:$C$140,2,FALSE)</f>
        <v>Europe</v>
      </c>
      <c r="E3109" s="3" t="s">
        <v>89</v>
      </c>
      <c r="F3109" s="3" t="str">
        <f>VLOOKUP(E3109,Countries!$B$3:$C$140,2,FALSE)</f>
        <v>Asia</v>
      </c>
      <c r="G3109" s="4">
        <v>4</v>
      </c>
      <c r="H3109" s="4">
        <v>0</v>
      </c>
    </row>
    <row r="3110" spans="2:8" x14ac:dyDescent="0.2">
      <c r="B3110" s="3" t="s">
        <v>160</v>
      </c>
      <c r="C3110" s="3" t="s">
        <v>28</v>
      </c>
      <c r="D3110" s="3" t="str">
        <f>VLOOKUP(C3110,Countries!$B$3:$C$140,2,FALSE)</f>
        <v>Europe</v>
      </c>
      <c r="E3110" s="3" t="s">
        <v>106</v>
      </c>
      <c r="F3110" s="3" t="str">
        <f>VLOOKUP(E3110,Countries!$B$3:$C$140,2,FALSE)</f>
        <v>Africa</v>
      </c>
      <c r="G3110" s="4">
        <v>4</v>
      </c>
      <c r="H3110" s="4">
        <v>32286.647560800004</v>
      </c>
    </row>
    <row r="3111" spans="2:8" x14ac:dyDescent="0.2">
      <c r="B3111" s="3" t="s">
        <v>160</v>
      </c>
      <c r="C3111" s="3" t="s">
        <v>28</v>
      </c>
      <c r="D3111" s="3" t="str">
        <f>VLOOKUP(C3111,Countries!$B$3:$C$140,2,FALSE)</f>
        <v>Europe</v>
      </c>
      <c r="E3111" s="3" t="s">
        <v>9</v>
      </c>
      <c r="F3111" s="3" t="str">
        <f>VLOOKUP(E3111,Countries!$B$3:$C$140,2,FALSE)</f>
        <v>Europe</v>
      </c>
      <c r="G3111" s="4">
        <v>2</v>
      </c>
      <c r="H3111" s="4">
        <v>0</v>
      </c>
    </row>
    <row r="3112" spans="2:8" x14ac:dyDescent="0.2">
      <c r="B3112" s="3" t="s">
        <v>160</v>
      </c>
      <c r="C3112" s="3" t="s">
        <v>28</v>
      </c>
      <c r="D3112" s="3" t="str">
        <f>VLOOKUP(C3112,Countries!$B$3:$C$140,2,FALSE)</f>
        <v>Europe</v>
      </c>
      <c r="E3112" s="3" t="s">
        <v>62</v>
      </c>
      <c r="F3112" s="3" t="str">
        <f>VLOOKUP(E3112,Countries!$B$3:$C$140,2,FALSE)</f>
        <v>Asia</v>
      </c>
      <c r="G3112" s="4">
        <v>8</v>
      </c>
      <c r="H3112" s="4">
        <v>0</v>
      </c>
    </row>
    <row r="3113" spans="2:8" x14ac:dyDescent="0.2">
      <c r="B3113" s="3" t="s">
        <v>160</v>
      </c>
      <c r="C3113" s="3" t="s">
        <v>28</v>
      </c>
      <c r="D3113" s="3" t="str">
        <f>VLOOKUP(C3113,Countries!$B$3:$C$140,2,FALSE)</f>
        <v>Europe</v>
      </c>
      <c r="E3113" s="3" t="s">
        <v>49</v>
      </c>
      <c r="F3113" s="3" t="str">
        <f>VLOOKUP(E3113,Countries!$B$3:$C$140,2,FALSE)</f>
        <v>Europe</v>
      </c>
      <c r="G3113" s="4">
        <v>2</v>
      </c>
      <c r="H3113" s="4">
        <v>40358.309451000001</v>
      </c>
    </row>
    <row r="3114" spans="2:8" x14ac:dyDescent="0.2">
      <c r="B3114" s="3" t="s">
        <v>160</v>
      </c>
      <c r="C3114" s="3" t="s">
        <v>28</v>
      </c>
      <c r="D3114" s="3" t="str">
        <f>VLOOKUP(C3114,Countries!$B$3:$C$140,2,FALSE)</f>
        <v>Europe</v>
      </c>
      <c r="E3114" s="3" t="s">
        <v>50</v>
      </c>
      <c r="F3114" s="3" t="str">
        <f>VLOOKUP(E3114,Countries!$B$3:$C$140,2,FALSE)</f>
        <v>Europe</v>
      </c>
      <c r="G3114" s="4">
        <v>4</v>
      </c>
      <c r="H3114" s="4">
        <v>0</v>
      </c>
    </row>
    <row r="3115" spans="2:8" x14ac:dyDescent="0.2">
      <c r="B3115" s="3" t="s">
        <v>160</v>
      </c>
      <c r="C3115" s="3" t="s">
        <v>28</v>
      </c>
      <c r="D3115" s="3" t="str">
        <f>VLOOKUP(C3115,Countries!$B$3:$C$140,2,FALSE)</f>
        <v>Europe</v>
      </c>
      <c r="E3115" s="3" t="s">
        <v>11</v>
      </c>
      <c r="F3115" s="3" t="str">
        <f>VLOOKUP(E3115,Countries!$B$3:$C$140,2,FALSE)</f>
        <v>Europe</v>
      </c>
      <c r="G3115" s="4">
        <v>2</v>
      </c>
      <c r="H3115" s="4">
        <v>0</v>
      </c>
    </row>
    <row r="3116" spans="2:8" x14ac:dyDescent="0.2">
      <c r="B3116" s="3" t="s">
        <v>160</v>
      </c>
      <c r="C3116" s="3" t="s">
        <v>28</v>
      </c>
      <c r="D3116" s="3" t="str">
        <f>VLOOKUP(C3116,Countries!$B$3:$C$140,2,FALSE)</f>
        <v>Europe</v>
      </c>
      <c r="E3116" s="3" t="s">
        <v>12</v>
      </c>
      <c r="F3116" s="3" t="str">
        <f>VLOOKUP(E3116,Countries!$B$3:$C$140,2,FALSE)</f>
        <v>Europe</v>
      </c>
      <c r="G3116" s="4">
        <v>2</v>
      </c>
      <c r="H3116" s="4">
        <v>0</v>
      </c>
    </row>
    <row r="3117" spans="2:8" x14ac:dyDescent="0.2">
      <c r="B3117" s="3" t="s">
        <v>160</v>
      </c>
      <c r="C3117" s="3" t="s">
        <v>28</v>
      </c>
      <c r="D3117" s="3" t="str">
        <f>VLOOKUP(C3117,Countries!$B$3:$C$140,2,FALSE)</f>
        <v>Europe</v>
      </c>
      <c r="E3117" s="3" t="s">
        <v>64</v>
      </c>
      <c r="F3117" s="3" t="str">
        <f>VLOOKUP(E3117,Countries!$B$3:$C$140,2,FALSE)</f>
        <v>Africa</v>
      </c>
      <c r="G3117" s="4">
        <v>2</v>
      </c>
      <c r="H3117" s="4">
        <v>0</v>
      </c>
    </row>
    <row r="3118" spans="2:8" x14ac:dyDescent="0.2">
      <c r="B3118" s="3" t="s">
        <v>160</v>
      </c>
      <c r="C3118" s="3" t="s">
        <v>28</v>
      </c>
      <c r="D3118" s="3" t="str">
        <f>VLOOKUP(C3118,Countries!$B$3:$C$140,2,FALSE)</f>
        <v>Europe</v>
      </c>
      <c r="E3118" s="3" t="s">
        <v>14</v>
      </c>
      <c r="F3118" s="3" t="str">
        <f>VLOOKUP(E3118,Countries!$B$3:$C$140,2,FALSE)</f>
        <v>Europe</v>
      </c>
      <c r="G3118" s="4">
        <v>8</v>
      </c>
      <c r="H3118" s="4">
        <v>0</v>
      </c>
    </row>
    <row r="3119" spans="2:8" x14ac:dyDescent="0.2">
      <c r="B3119" s="3" t="s">
        <v>160</v>
      </c>
      <c r="C3119" s="3" t="s">
        <v>28</v>
      </c>
      <c r="D3119" s="3" t="str">
        <f>VLOOKUP(C3119,Countries!$B$3:$C$140,2,FALSE)</f>
        <v>Europe</v>
      </c>
      <c r="E3119" s="3" t="s">
        <v>65</v>
      </c>
      <c r="F3119" s="3" t="str">
        <f>VLOOKUP(E3119,Countries!$B$3:$C$140,2,FALSE)</f>
        <v>Asia</v>
      </c>
      <c r="G3119" s="4">
        <v>2</v>
      </c>
      <c r="H3119" s="4">
        <v>0</v>
      </c>
    </row>
    <row r="3120" spans="2:8" x14ac:dyDescent="0.2">
      <c r="B3120" s="3" t="s">
        <v>160</v>
      </c>
      <c r="C3120" s="3" t="s">
        <v>28</v>
      </c>
      <c r="D3120" s="3" t="str">
        <f>VLOOKUP(C3120,Countries!$B$3:$C$140,2,FALSE)</f>
        <v>Europe</v>
      </c>
      <c r="E3120" s="3" t="s">
        <v>108</v>
      </c>
      <c r="F3120" s="3" t="str">
        <f>VLOOKUP(E3120,Countries!$B$3:$C$140,2,FALSE)</f>
        <v>North America</v>
      </c>
      <c r="G3120" s="4">
        <v>2</v>
      </c>
      <c r="H3120" s="4">
        <v>377844.85276199999</v>
      </c>
    </row>
    <row r="3121" spans="2:8" x14ac:dyDescent="0.2">
      <c r="B3121" s="3" t="s">
        <v>160</v>
      </c>
      <c r="C3121" s="3" t="s">
        <v>28</v>
      </c>
      <c r="D3121" s="3" t="str">
        <f>VLOOKUP(C3121,Countries!$B$3:$C$140,2,FALSE)</f>
        <v>Europe</v>
      </c>
      <c r="E3121" s="3" t="s">
        <v>15</v>
      </c>
      <c r="F3121" s="3" t="str">
        <f>VLOOKUP(E3121,Countries!$B$3:$C$140,2,FALSE)</f>
        <v>Europe</v>
      </c>
      <c r="G3121" s="4">
        <v>4</v>
      </c>
      <c r="H3121" s="4">
        <v>0</v>
      </c>
    </row>
    <row r="3122" spans="2:8" x14ac:dyDescent="0.2">
      <c r="B3122" s="3" t="s">
        <v>160</v>
      </c>
      <c r="C3122" s="3" t="s">
        <v>28</v>
      </c>
      <c r="D3122" s="3" t="str">
        <f>VLOOKUP(C3122,Countries!$B$3:$C$140,2,FALSE)</f>
        <v>Europe</v>
      </c>
      <c r="E3122" s="3" t="s">
        <v>16</v>
      </c>
      <c r="F3122" s="3" t="str">
        <f>VLOOKUP(E3122,Countries!$B$3:$C$140,2,FALSE)</f>
        <v>Asia</v>
      </c>
      <c r="G3122" s="4">
        <v>4</v>
      </c>
      <c r="H3122" s="4">
        <v>0</v>
      </c>
    </row>
    <row r="3123" spans="2:8" x14ac:dyDescent="0.2">
      <c r="B3123" s="3" t="s">
        <v>160</v>
      </c>
      <c r="C3123" s="3" t="s">
        <v>28</v>
      </c>
      <c r="D3123" s="3" t="str">
        <f>VLOOKUP(C3123,Countries!$B$3:$C$140,2,FALSE)</f>
        <v>Europe</v>
      </c>
      <c r="E3123" s="3" t="s">
        <v>51</v>
      </c>
      <c r="F3123" s="3" t="str">
        <f>VLOOKUP(E3123,Countries!$B$3:$C$140,2,FALSE)</f>
        <v>Asia</v>
      </c>
      <c r="G3123" s="4">
        <v>10</v>
      </c>
      <c r="H3123" s="4">
        <v>0</v>
      </c>
    </row>
    <row r="3124" spans="2:8" x14ac:dyDescent="0.2">
      <c r="B3124" s="3" t="s">
        <v>160</v>
      </c>
      <c r="C3124" s="3" t="s">
        <v>28</v>
      </c>
      <c r="D3124" s="3" t="str">
        <f>VLOOKUP(C3124,Countries!$B$3:$C$140,2,FALSE)</f>
        <v>Europe</v>
      </c>
      <c r="E3124" s="3" t="s">
        <v>40</v>
      </c>
      <c r="F3124" s="3" t="str">
        <f>VLOOKUP(E3124,Countries!$B$3:$C$140,2,FALSE)</f>
        <v>Asia</v>
      </c>
      <c r="G3124" s="4">
        <v>12</v>
      </c>
      <c r="H3124" s="4">
        <v>0</v>
      </c>
    </row>
    <row r="3125" spans="2:8" x14ac:dyDescent="0.2">
      <c r="B3125" s="3" t="s">
        <v>160</v>
      </c>
      <c r="C3125" s="3" t="s">
        <v>28</v>
      </c>
      <c r="D3125" s="3" t="str">
        <f>VLOOKUP(C3125,Countries!$B$3:$C$140,2,FALSE)</f>
        <v>Europe</v>
      </c>
      <c r="E3125" s="3" t="s">
        <v>18</v>
      </c>
      <c r="F3125" s="3" t="str">
        <f>VLOOKUP(E3125,Countries!$B$3:$C$140,2,FALSE)</f>
        <v>Africa</v>
      </c>
      <c r="G3125" s="4">
        <v>2</v>
      </c>
      <c r="H3125" s="4">
        <v>0</v>
      </c>
    </row>
    <row r="3126" spans="2:8" x14ac:dyDescent="0.2">
      <c r="B3126" s="3" t="s">
        <v>160</v>
      </c>
      <c r="C3126" s="3" t="s">
        <v>28</v>
      </c>
      <c r="D3126" s="3" t="str">
        <f>VLOOKUP(C3126,Countries!$B$3:$C$140,2,FALSE)</f>
        <v>Europe</v>
      </c>
      <c r="E3126" s="3" t="s">
        <v>117</v>
      </c>
      <c r="F3126" s="3" t="str">
        <f>VLOOKUP(E3126,Countries!$B$3:$C$140,2,FALSE)</f>
        <v>Asia</v>
      </c>
      <c r="G3126" s="4">
        <v>2</v>
      </c>
      <c r="H3126" s="4">
        <v>0</v>
      </c>
    </row>
    <row r="3127" spans="2:8" x14ac:dyDescent="0.2">
      <c r="B3127" s="3" t="s">
        <v>160</v>
      </c>
      <c r="C3127" s="3" t="s">
        <v>28</v>
      </c>
      <c r="D3127" s="3" t="str">
        <f>VLOOKUP(C3127,Countries!$B$3:$C$140,2,FALSE)</f>
        <v>Europe</v>
      </c>
      <c r="E3127" s="3" t="s">
        <v>43</v>
      </c>
      <c r="F3127" s="3" t="str">
        <f>VLOOKUP(E3127,Countries!$B$3:$C$140,2,FALSE)</f>
        <v>Europe</v>
      </c>
      <c r="G3127" s="4">
        <v>2</v>
      </c>
      <c r="H3127" s="4">
        <v>0</v>
      </c>
    </row>
    <row r="3128" spans="2:8" x14ac:dyDescent="0.2">
      <c r="B3128" s="3" t="s">
        <v>160</v>
      </c>
      <c r="C3128" s="3" t="s">
        <v>28</v>
      </c>
      <c r="D3128" s="3" t="str">
        <f>VLOOKUP(C3128,Countries!$B$3:$C$140,2,FALSE)</f>
        <v>Europe</v>
      </c>
      <c r="E3128" s="3" t="s">
        <v>21</v>
      </c>
      <c r="F3128" s="3" t="str">
        <f>VLOOKUP(E3128,Countries!$B$3:$C$140,2,FALSE)</f>
        <v>Europe</v>
      </c>
      <c r="G3128" s="4">
        <v>4</v>
      </c>
      <c r="H3128" s="4">
        <v>161433.237804</v>
      </c>
    </row>
    <row r="3129" spans="2:8" x14ac:dyDescent="0.2">
      <c r="B3129" s="3" t="s">
        <v>160</v>
      </c>
      <c r="C3129" s="3" t="s">
        <v>28</v>
      </c>
      <c r="D3129" s="3" t="str">
        <f>VLOOKUP(C3129,Countries!$B$3:$C$140,2,FALSE)</f>
        <v>Europe</v>
      </c>
      <c r="E3129" s="3" t="s">
        <v>23</v>
      </c>
      <c r="F3129" s="3" t="str">
        <f>VLOOKUP(E3129,Countries!$B$3:$C$140,2,FALSE)</f>
        <v>Europe</v>
      </c>
      <c r="G3129" s="4">
        <v>20</v>
      </c>
      <c r="H3129" s="4">
        <v>425911.45486200007</v>
      </c>
    </row>
    <row r="3130" spans="2:8" x14ac:dyDescent="0.2">
      <c r="B3130" s="3" t="s">
        <v>160</v>
      </c>
      <c r="C3130" s="3" t="s">
        <v>28</v>
      </c>
      <c r="D3130" s="3" t="str">
        <f>VLOOKUP(C3130,Countries!$B$3:$C$140,2,FALSE)</f>
        <v>Europe</v>
      </c>
      <c r="E3130" s="3" t="s">
        <v>54</v>
      </c>
      <c r="F3130" s="3" t="str">
        <f>VLOOKUP(E3130,Countries!$B$3:$C$140,2,FALSE)</f>
        <v>Europe</v>
      </c>
      <c r="G3130" s="4">
        <v>10</v>
      </c>
      <c r="H3130" s="4">
        <v>0</v>
      </c>
    </row>
    <row r="3131" spans="2:8" x14ac:dyDescent="0.2">
      <c r="B3131" s="3" t="s">
        <v>160</v>
      </c>
      <c r="C3131" s="3" t="s">
        <v>28</v>
      </c>
      <c r="D3131" s="3" t="str">
        <f>VLOOKUP(C3131,Countries!$B$3:$C$140,2,FALSE)</f>
        <v>Europe</v>
      </c>
      <c r="E3131" s="3" t="s">
        <v>25</v>
      </c>
      <c r="F3131" s="3" t="str">
        <f>VLOOKUP(E3131,Countries!$B$3:$C$140,2,FALSE)</f>
        <v>Europe</v>
      </c>
      <c r="G3131" s="4">
        <v>12</v>
      </c>
      <c r="H3131" s="4">
        <v>0</v>
      </c>
    </row>
    <row r="3132" spans="2:8" x14ac:dyDescent="0.2">
      <c r="B3132" s="3" t="s">
        <v>160</v>
      </c>
      <c r="C3132" s="3" t="s">
        <v>28</v>
      </c>
      <c r="D3132" s="3" t="str">
        <f>VLOOKUP(C3132,Countries!$B$3:$C$140,2,FALSE)</f>
        <v>Europe</v>
      </c>
      <c r="E3132" s="3" t="s">
        <v>26</v>
      </c>
      <c r="F3132" s="3" t="str">
        <f>VLOOKUP(E3132,Countries!$B$3:$C$140,2,FALSE)</f>
        <v>Europe</v>
      </c>
      <c r="G3132" s="4">
        <v>4</v>
      </c>
      <c r="H3132" s="4">
        <v>0</v>
      </c>
    </row>
    <row r="3133" spans="2:8" x14ac:dyDescent="0.2">
      <c r="B3133" s="3" t="s">
        <v>160</v>
      </c>
      <c r="C3133" s="3" t="s">
        <v>28</v>
      </c>
      <c r="D3133" s="3" t="str">
        <f>VLOOKUP(C3133,Countries!$B$3:$C$140,2,FALSE)</f>
        <v>Europe</v>
      </c>
      <c r="E3133" s="3" t="s">
        <v>46</v>
      </c>
      <c r="F3133" s="3" t="str">
        <f>VLOOKUP(E3133,Countries!$B$3:$C$140,2,FALSE)</f>
        <v>Europe/Asia</v>
      </c>
      <c r="G3133" s="4">
        <v>12</v>
      </c>
      <c r="H3133" s="4">
        <v>0</v>
      </c>
    </row>
    <row r="3134" spans="2:8" x14ac:dyDescent="0.2">
      <c r="B3134" s="3" t="s">
        <v>160</v>
      </c>
      <c r="C3134" s="3" t="s">
        <v>28</v>
      </c>
      <c r="D3134" s="3" t="str">
        <f>VLOOKUP(C3134,Countries!$B$3:$C$140,2,FALSE)</f>
        <v>Europe</v>
      </c>
      <c r="E3134" s="3" t="s">
        <v>47</v>
      </c>
      <c r="F3134" s="3" t="str">
        <f>VLOOKUP(E3134,Countries!$B$3:$C$140,2,FALSE)</f>
        <v>Africa</v>
      </c>
      <c r="G3134" s="4">
        <v>2</v>
      </c>
      <c r="H3134" s="4">
        <v>0</v>
      </c>
    </row>
    <row r="3135" spans="2:8" x14ac:dyDescent="0.2">
      <c r="B3135" s="3" t="s">
        <v>160</v>
      </c>
      <c r="C3135" s="3" t="s">
        <v>28</v>
      </c>
      <c r="D3135" s="3" t="str">
        <f>VLOOKUP(C3135,Countries!$B$3:$C$140,2,FALSE)</f>
        <v>Europe</v>
      </c>
      <c r="E3135" s="3" t="s">
        <v>90</v>
      </c>
      <c r="F3135" s="3" t="str">
        <f>VLOOKUP(E3135,Countries!$B$3:$C$140,2,FALSE)</f>
        <v>Asia</v>
      </c>
      <c r="G3135" s="4">
        <v>2</v>
      </c>
      <c r="H3135" s="4">
        <v>0</v>
      </c>
    </row>
    <row r="3136" spans="2:8" x14ac:dyDescent="0.2">
      <c r="B3136" s="3" t="s">
        <v>160</v>
      </c>
      <c r="C3136" s="3" t="s">
        <v>28</v>
      </c>
      <c r="D3136" s="3" t="str">
        <f>VLOOKUP(C3136,Countries!$B$3:$C$140,2,FALSE)</f>
        <v>Europe</v>
      </c>
      <c r="E3136" s="3" t="s">
        <v>98</v>
      </c>
      <c r="F3136" s="3" t="str">
        <f>VLOOKUP(E3136,Countries!$B$3:$C$140,2,FALSE)</f>
        <v>North America</v>
      </c>
      <c r="G3136" s="4">
        <v>2</v>
      </c>
      <c r="H3136" s="4">
        <v>0</v>
      </c>
    </row>
    <row r="3137" spans="2:8" x14ac:dyDescent="0.2">
      <c r="B3137" s="3" t="s">
        <v>160</v>
      </c>
      <c r="C3137" s="3" t="s">
        <v>28</v>
      </c>
      <c r="D3137" s="3" t="str">
        <f>VLOOKUP(C3137,Countries!$B$3:$C$140,2,FALSE)</f>
        <v>Europe</v>
      </c>
      <c r="E3137" s="3" t="s">
        <v>29</v>
      </c>
      <c r="F3137" s="3" t="str">
        <f>VLOOKUP(E3137,Countries!$B$3:$C$140,2,FALSE)</f>
        <v>Europe</v>
      </c>
      <c r="G3137" s="4">
        <v>2</v>
      </c>
      <c r="H3137" s="4">
        <v>0</v>
      </c>
    </row>
    <row r="3138" spans="2:8" x14ac:dyDescent="0.2">
      <c r="B3138" s="3" t="s">
        <v>160</v>
      </c>
      <c r="C3138" s="3" t="s">
        <v>28</v>
      </c>
      <c r="D3138" s="3" t="str">
        <f>VLOOKUP(C3138,Countries!$B$3:$C$140,2,FALSE)</f>
        <v>Europe</v>
      </c>
      <c r="E3138" s="3" t="s">
        <v>56</v>
      </c>
      <c r="F3138" s="3" t="str">
        <f>VLOOKUP(E3138,Countries!$B$3:$C$140,2,FALSE)</f>
        <v>Europe</v>
      </c>
      <c r="G3138" s="4">
        <v>8</v>
      </c>
      <c r="H3138" s="4">
        <v>0</v>
      </c>
    </row>
    <row r="3139" spans="2:8" x14ac:dyDescent="0.2">
      <c r="B3139" s="3" t="s">
        <v>160</v>
      </c>
      <c r="C3139" s="3" t="s">
        <v>28</v>
      </c>
      <c r="D3139" s="3" t="str">
        <f>VLOOKUP(C3139,Countries!$B$3:$C$140,2,FALSE)</f>
        <v>Europe</v>
      </c>
      <c r="E3139" s="3" t="s">
        <v>30</v>
      </c>
      <c r="F3139" s="3" t="str">
        <f>VLOOKUP(E3139,Countries!$B$3:$C$140,2,FALSE)</f>
        <v>Europe</v>
      </c>
      <c r="G3139" s="4">
        <v>6</v>
      </c>
      <c r="H3139" s="4">
        <v>201791.54725499998</v>
      </c>
    </row>
    <row r="3140" spans="2:8" x14ac:dyDescent="0.2">
      <c r="B3140" s="3" t="s">
        <v>160</v>
      </c>
      <c r="C3140" s="3" t="s">
        <v>28</v>
      </c>
      <c r="D3140" s="3" t="str">
        <f>VLOOKUP(C3140,Countries!$B$3:$C$140,2,FALSE)</f>
        <v>Europe</v>
      </c>
      <c r="E3140" s="3" t="s">
        <v>31</v>
      </c>
      <c r="F3140" s="3" t="str">
        <f>VLOOKUP(E3140,Countries!$B$3:$C$140,2,FALSE)</f>
        <v>Europe</v>
      </c>
      <c r="G3140" s="4">
        <v>2</v>
      </c>
      <c r="H3140" s="4">
        <v>0</v>
      </c>
    </row>
    <row r="3141" spans="2:8" x14ac:dyDescent="0.2">
      <c r="B3141" s="3" t="s">
        <v>160</v>
      </c>
      <c r="C3141" s="3" t="s">
        <v>28</v>
      </c>
      <c r="D3141" s="3" t="str">
        <f>VLOOKUP(C3141,Countries!$B$3:$C$140,2,FALSE)</f>
        <v>Europe</v>
      </c>
      <c r="E3141" s="3" t="s">
        <v>105</v>
      </c>
      <c r="F3141" s="3" t="str">
        <f>VLOOKUP(E3141,Countries!$B$3:$C$140,2,FALSE)</f>
        <v>Asia</v>
      </c>
      <c r="G3141" s="4">
        <v>2</v>
      </c>
      <c r="H3141" s="4">
        <v>0</v>
      </c>
    </row>
    <row r="3142" spans="2:8" x14ac:dyDescent="0.2">
      <c r="B3142" s="3" t="s">
        <v>160</v>
      </c>
      <c r="C3142" s="3" t="s">
        <v>29</v>
      </c>
      <c r="D3142" s="3" t="str">
        <f>VLOOKUP(C3142,Countries!$B$3:$C$140,2,FALSE)</f>
        <v>Europe</v>
      </c>
      <c r="E3142" s="3" t="s">
        <v>69</v>
      </c>
      <c r="F3142" s="3" t="str">
        <f>VLOOKUP(E3142,Countries!$B$3:$C$140,2,FALSE)</f>
        <v>South America</v>
      </c>
      <c r="G3142" s="4">
        <v>4</v>
      </c>
      <c r="H3142" s="4">
        <v>4842997.1341200005</v>
      </c>
    </row>
    <row r="3143" spans="2:8" x14ac:dyDescent="0.2">
      <c r="B3143" s="3" t="s">
        <v>160</v>
      </c>
      <c r="C3143" s="3" t="s">
        <v>29</v>
      </c>
      <c r="D3143" s="3" t="str">
        <f>VLOOKUP(C3143,Countries!$B$3:$C$140,2,FALSE)</f>
        <v>Europe</v>
      </c>
      <c r="E3143" s="3" t="s">
        <v>3</v>
      </c>
      <c r="F3143" s="3" t="str">
        <f>VLOOKUP(E3143,Countries!$B$3:$C$140,2,FALSE)</f>
        <v>Europe</v>
      </c>
      <c r="G3143" s="4">
        <v>6</v>
      </c>
      <c r="H3143" s="4">
        <v>1878784.2365486221</v>
      </c>
    </row>
    <row r="3144" spans="2:8" x14ac:dyDescent="0.2">
      <c r="B3144" s="3" t="s">
        <v>160</v>
      </c>
      <c r="C3144" s="3" t="s">
        <v>29</v>
      </c>
      <c r="D3144" s="3" t="str">
        <f>VLOOKUP(C3144,Countries!$B$3:$C$140,2,FALSE)</f>
        <v>Europe</v>
      </c>
      <c r="E3144" s="3" t="s">
        <v>4</v>
      </c>
      <c r="F3144" s="3" t="str">
        <f>VLOOKUP(E3144,Countries!$B$3:$C$140,2,FALSE)</f>
        <v>Asia</v>
      </c>
      <c r="G3144" s="4">
        <v>4</v>
      </c>
      <c r="H3144" s="4">
        <v>0</v>
      </c>
    </row>
    <row r="3145" spans="2:8" x14ac:dyDescent="0.2">
      <c r="B3145" s="3" t="s">
        <v>160</v>
      </c>
      <c r="C3145" s="3" t="s">
        <v>29</v>
      </c>
      <c r="D3145" s="3" t="str">
        <f>VLOOKUP(C3145,Countries!$B$3:$C$140,2,FALSE)</f>
        <v>Europe</v>
      </c>
      <c r="E3145" s="3" t="s">
        <v>6</v>
      </c>
      <c r="F3145" s="3" t="str">
        <f>VLOOKUP(E3145,Countries!$B$3:$C$140,2,FALSE)</f>
        <v>Europe</v>
      </c>
      <c r="G3145" s="4">
        <v>2</v>
      </c>
      <c r="H3145" s="4">
        <v>0</v>
      </c>
    </row>
    <row r="3146" spans="2:8" x14ac:dyDescent="0.2">
      <c r="B3146" s="3" t="s">
        <v>160</v>
      </c>
      <c r="C3146" s="3" t="s">
        <v>29</v>
      </c>
      <c r="D3146" s="3" t="str">
        <f>VLOOKUP(C3146,Countries!$B$3:$C$140,2,FALSE)</f>
        <v>Europe</v>
      </c>
      <c r="E3146" s="3" t="s">
        <v>7</v>
      </c>
      <c r="F3146" s="3" t="str">
        <f>VLOOKUP(E3146,Countries!$B$3:$C$140,2,FALSE)</f>
        <v>South America</v>
      </c>
      <c r="G3146" s="4">
        <v>14</v>
      </c>
      <c r="H3146" s="4">
        <v>1392865.7812759229</v>
      </c>
    </row>
    <row r="3147" spans="2:8" x14ac:dyDescent="0.2">
      <c r="B3147" s="3" t="s">
        <v>160</v>
      </c>
      <c r="C3147" s="3" t="s">
        <v>29</v>
      </c>
      <c r="D3147" s="3" t="str">
        <f>VLOOKUP(C3147,Countries!$B$3:$C$140,2,FALSE)</f>
        <v>Europe</v>
      </c>
      <c r="E3147" s="3" t="s">
        <v>8</v>
      </c>
      <c r="F3147" s="3" t="str">
        <f>VLOOKUP(E3147,Countries!$B$3:$C$140,2,FALSE)</f>
        <v>North America</v>
      </c>
      <c r="G3147" s="4">
        <v>2</v>
      </c>
      <c r="H3147" s="4">
        <v>345000</v>
      </c>
    </row>
    <row r="3148" spans="2:8" x14ac:dyDescent="0.2">
      <c r="B3148" s="3" t="s">
        <v>160</v>
      </c>
      <c r="C3148" s="3" t="s">
        <v>29</v>
      </c>
      <c r="D3148" s="3" t="str">
        <f>VLOOKUP(C3148,Countries!$B$3:$C$140,2,FALSE)</f>
        <v>Europe</v>
      </c>
      <c r="E3148" s="3" t="s">
        <v>88</v>
      </c>
      <c r="F3148" s="3" t="str">
        <f>VLOOKUP(E3148,Countries!$B$3:$C$140,2,FALSE)</f>
        <v>South America</v>
      </c>
      <c r="G3148" s="4">
        <v>2</v>
      </c>
      <c r="H3148" s="4">
        <v>13500000</v>
      </c>
    </row>
    <row r="3149" spans="2:8" x14ac:dyDescent="0.2">
      <c r="B3149" s="3" t="s">
        <v>160</v>
      </c>
      <c r="C3149" s="3" t="s">
        <v>29</v>
      </c>
      <c r="D3149" s="3" t="str">
        <f>VLOOKUP(C3149,Countries!$B$3:$C$140,2,FALSE)</f>
        <v>Europe</v>
      </c>
      <c r="E3149" s="3" t="s">
        <v>89</v>
      </c>
      <c r="F3149" s="3" t="str">
        <f>VLOOKUP(E3149,Countries!$B$3:$C$140,2,FALSE)</f>
        <v>Asia</v>
      </c>
      <c r="G3149" s="4">
        <v>2</v>
      </c>
      <c r="H3149" s="4">
        <v>0</v>
      </c>
    </row>
    <row r="3150" spans="2:8" x14ac:dyDescent="0.2">
      <c r="B3150" s="3" t="s">
        <v>160</v>
      </c>
      <c r="C3150" s="3" t="s">
        <v>29</v>
      </c>
      <c r="D3150" s="3" t="str">
        <f>VLOOKUP(C3150,Countries!$B$3:$C$140,2,FALSE)</f>
        <v>Europe</v>
      </c>
      <c r="E3150" s="3" t="s">
        <v>9</v>
      </c>
      <c r="F3150" s="3" t="str">
        <f>VLOOKUP(E3150,Countries!$B$3:$C$140,2,FALSE)</f>
        <v>Europe</v>
      </c>
      <c r="G3150" s="4">
        <v>2</v>
      </c>
      <c r="H3150" s="4">
        <v>0</v>
      </c>
    </row>
    <row r="3151" spans="2:8" x14ac:dyDescent="0.2">
      <c r="B3151" s="3" t="s">
        <v>160</v>
      </c>
      <c r="C3151" s="3" t="s">
        <v>29</v>
      </c>
      <c r="D3151" s="3" t="str">
        <f>VLOOKUP(C3151,Countries!$B$3:$C$140,2,FALSE)</f>
        <v>Europe</v>
      </c>
      <c r="E3151" s="3" t="s">
        <v>62</v>
      </c>
      <c r="F3151" s="3" t="str">
        <f>VLOOKUP(E3151,Countries!$B$3:$C$140,2,FALSE)</f>
        <v>Asia</v>
      </c>
      <c r="G3151" s="4">
        <v>2</v>
      </c>
      <c r="H3151" s="4">
        <v>0</v>
      </c>
    </row>
    <row r="3152" spans="2:8" x14ac:dyDescent="0.2">
      <c r="B3152" s="3" t="s">
        <v>160</v>
      </c>
      <c r="C3152" s="3" t="s">
        <v>29</v>
      </c>
      <c r="D3152" s="3" t="str">
        <f>VLOOKUP(C3152,Countries!$B$3:$C$140,2,FALSE)</f>
        <v>Europe</v>
      </c>
      <c r="E3152" s="3" t="s">
        <v>49</v>
      </c>
      <c r="F3152" s="3" t="str">
        <f>VLOOKUP(E3152,Countries!$B$3:$C$140,2,FALSE)</f>
        <v>Europe</v>
      </c>
      <c r="G3152" s="4">
        <v>2</v>
      </c>
      <c r="H3152" s="4">
        <v>0</v>
      </c>
    </row>
    <row r="3153" spans="2:8" x14ac:dyDescent="0.2">
      <c r="B3153" s="3" t="s">
        <v>160</v>
      </c>
      <c r="C3153" s="3" t="s">
        <v>29</v>
      </c>
      <c r="D3153" s="3" t="str">
        <f>VLOOKUP(C3153,Countries!$B$3:$C$140,2,FALSE)</f>
        <v>Europe</v>
      </c>
      <c r="E3153" s="3" t="s">
        <v>63</v>
      </c>
      <c r="F3153" s="3" t="str">
        <f>VLOOKUP(E3153,Countries!$B$3:$C$140,2,FALSE)</f>
        <v>Africa</v>
      </c>
      <c r="G3153" s="4">
        <v>6</v>
      </c>
      <c r="H3153" s="4">
        <v>9864327.6028935015</v>
      </c>
    </row>
    <row r="3154" spans="2:8" x14ac:dyDescent="0.2">
      <c r="B3154" s="3" t="s">
        <v>160</v>
      </c>
      <c r="C3154" s="3" t="s">
        <v>29</v>
      </c>
      <c r="D3154" s="3" t="str">
        <f>VLOOKUP(C3154,Countries!$B$3:$C$140,2,FALSE)</f>
        <v>Europe</v>
      </c>
      <c r="E3154" s="3" t="s">
        <v>50</v>
      </c>
      <c r="F3154" s="3" t="str">
        <f>VLOOKUP(E3154,Countries!$B$3:$C$140,2,FALSE)</f>
        <v>Europe</v>
      </c>
      <c r="G3154" s="4">
        <v>8</v>
      </c>
      <c r="H3154" s="4">
        <v>0</v>
      </c>
    </row>
    <row r="3155" spans="2:8" x14ac:dyDescent="0.2">
      <c r="B3155" s="3" t="s">
        <v>160</v>
      </c>
      <c r="C3155" s="3" t="s">
        <v>29</v>
      </c>
      <c r="D3155" s="3" t="str">
        <f>VLOOKUP(C3155,Countries!$B$3:$C$140,2,FALSE)</f>
        <v>Europe</v>
      </c>
      <c r="E3155" s="3" t="s">
        <v>11</v>
      </c>
      <c r="F3155" s="3" t="str">
        <f>VLOOKUP(E3155,Countries!$B$3:$C$140,2,FALSE)</f>
        <v>Europe</v>
      </c>
      <c r="G3155" s="4">
        <v>6</v>
      </c>
      <c r="H3155" s="4">
        <v>0</v>
      </c>
    </row>
    <row r="3156" spans="2:8" x14ac:dyDescent="0.2">
      <c r="B3156" s="3" t="s">
        <v>160</v>
      </c>
      <c r="C3156" s="3" t="s">
        <v>29</v>
      </c>
      <c r="D3156" s="3" t="str">
        <f>VLOOKUP(C3156,Countries!$B$3:$C$140,2,FALSE)</f>
        <v>Europe</v>
      </c>
      <c r="E3156" s="3" t="s">
        <v>73</v>
      </c>
      <c r="F3156" s="3" t="str">
        <f>VLOOKUP(E3156,Countries!$B$3:$C$140,2,FALSE)</f>
        <v>Europe</v>
      </c>
      <c r="G3156" s="4">
        <v>4</v>
      </c>
      <c r="H3156" s="4">
        <v>0</v>
      </c>
    </row>
    <row r="3157" spans="2:8" x14ac:dyDescent="0.2">
      <c r="B3157" s="3" t="s">
        <v>160</v>
      </c>
      <c r="C3157" s="3" t="s">
        <v>29</v>
      </c>
      <c r="D3157" s="3" t="str">
        <f>VLOOKUP(C3157,Countries!$B$3:$C$140,2,FALSE)</f>
        <v>Europe</v>
      </c>
      <c r="E3157" s="3" t="s">
        <v>12</v>
      </c>
      <c r="F3157" s="3" t="str">
        <f>VLOOKUP(E3157,Countries!$B$3:$C$140,2,FALSE)</f>
        <v>Europe</v>
      </c>
      <c r="G3157" s="4">
        <v>24</v>
      </c>
      <c r="H3157" s="4">
        <v>6457329.5121599995</v>
      </c>
    </row>
    <row r="3158" spans="2:8" x14ac:dyDescent="0.2">
      <c r="B3158" s="3" t="s">
        <v>160</v>
      </c>
      <c r="C3158" s="3" t="s">
        <v>29</v>
      </c>
      <c r="D3158" s="3" t="str">
        <f>VLOOKUP(C3158,Countries!$B$3:$C$140,2,FALSE)</f>
        <v>Europe</v>
      </c>
      <c r="E3158" s="3" t="s">
        <v>13</v>
      </c>
      <c r="F3158" s="3" t="str">
        <f>VLOOKUP(E3158,Countries!$B$3:$C$140,2,FALSE)</f>
        <v>Europe</v>
      </c>
      <c r="G3158" s="4">
        <v>16</v>
      </c>
      <c r="H3158" s="4">
        <v>2636209.0790880001</v>
      </c>
    </row>
    <row r="3159" spans="2:8" x14ac:dyDescent="0.2">
      <c r="B3159" s="3" t="s">
        <v>160</v>
      </c>
      <c r="C3159" s="3" t="s">
        <v>29</v>
      </c>
      <c r="D3159" s="3" t="str">
        <f>VLOOKUP(C3159,Countries!$B$3:$C$140,2,FALSE)</f>
        <v>Europe</v>
      </c>
      <c r="E3159" s="3" t="s">
        <v>14</v>
      </c>
      <c r="F3159" s="3" t="str">
        <f>VLOOKUP(E3159,Countries!$B$3:$C$140,2,FALSE)</f>
        <v>Europe</v>
      </c>
      <c r="G3159" s="4">
        <v>2</v>
      </c>
      <c r="H3159" s="4">
        <v>0</v>
      </c>
    </row>
    <row r="3160" spans="2:8" x14ac:dyDescent="0.2">
      <c r="B3160" s="3" t="s">
        <v>160</v>
      </c>
      <c r="C3160" s="3" t="s">
        <v>29</v>
      </c>
      <c r="D3160" s="3" t="str">
        <f>VLOOKUP(C3160,Countries!$B$3:$C$140,2,FALSE)</f>
        <v>Europe</v>
      </c>
      <c r="E3160" s="3" t="s">
        <v>15</v>
      </c>
      <c r="F3160" s="3" t="str">
        <f>VLOOKUP(E3160,Countries!$B$3:$C$140,2,FALSE)</f>
        <v>Europe</v>
      </c>
      <c r="G3160" s="4">
        <v>4</v>
      </c>
      <c r="H3160" s="4">
        <v>0</v>
      </c>
    </row>
    <row r="3161" spans="2:8" x14ac:dyDescent="0.2">
      <c r="B3161" s="3" t="s">
        <v>160</v>
      </c>
      <c r="C3161" s="3" t="s">
        <v>29</v>
      </c>
      <c r="D3161" s="3" t="str">
        <f>VLOOKUP(C3161,Countries!$B$3:$C$140,2,FALSE)</f>
        <v>Europe</v>
      </c>
      <c r="E3161" s="3" t="s">
        <v>17</v>
      </c>
      <c r="F3161" s="3" t="str">
        <f>VLOOKUP(E3161,Countries!$B$3:$C$140,2,FALSE)</f>
        <v>Europe</v>
      </c>
      <c r="G3161" s="4">
        <v>46</v>
      </c>
      <c r="H3161" s="4">
        <v>0</v>
      </c>
    </row>
    <row r="3162" spans="2:8" x14ac:dyDescent="0.2">
      <c r="B3162" s="3" t="s">
        <v>160</v>
      </c>
      <c r="C3162" s="3" t="s">
        <v>29</v>
      </c>
      <c r="D3162" s="3" t="str">
        <f>VLOOKUP(C3162,Countries!$B$3:$C$140,2,FALSE)</f>
        <v>Europe</v>
      </c>
      <c r="E3162" s="3" t="s">
        <v>92</v>
      </c>
      <c r="F3162" s="3" t="str">
        <f>VLOOKUP(E3162,Countries!$B$3:$C$140,2,FALSE)</f>
        <v>Asia</v>
      </c>
      <c r="G3162" s="4">
        <v>2</v>
      </c>
      <c r="H3162" s="4">
        <v>2473117.6511999997</v>
      </c>
    </row>
    <row r="3163" spans="2:8" x14ac:dyDescent="0.2">
      <c r="B3163" s="3" t="s">
        <v>160</v>
      </c>
      <c r="C3163" s="3" t="s">
        <v>29</v>
      </c>
      <c r="D3163" s="3" t="str">
        <f>VLOOKUP(C3163,Countries!$B$3:$C$140,2,FALSE)</f>
        <v>Europe</v>
      </c>
      <c r="E3163" s="3" t="s">
        <v>53</v>
      </c>
      <c r="F3163" s="3" t="str">
        <f>VLOOKUP(E3163,Countries!$B$3:$C$140,2,FALSE)</f>
        <v>Europe</v>
      </c>
      <c r="G3163" s="4">
        <v>2</v>
      </c>
      <c r="H3163" s="4">
        <v>6105759.2059500003</v>
      </c>
    </row>
    <row r="3164" spans="2:8" x14ac:dyDescent="0.2">
      <c r="B3164" s="3" t="s">
        <v>160</v>
      </c>
      <c r="C3164" s="3" t="s">
        <v>29</v>
      </c>
      <c r="D3164" s="3" t="str">
        <f>VLOOKUP(C3164,Countries!$B$3:$C$140,2,FALSE)</f>
        <v>Europe</v>
      </c>
      <c r="E3164" s="3" t="s">
        <v>25</v>
      </c>
      <c r="F3164" s="3" t="str">
        <f>VLOOKUP(E3164,Countries!$B$3:$C$140,2,FALSE)</f>
        <v>Europe</v>
      </c>
      <c r="G3164" s="4">
        <v>6</v>
      </c>
      <c r="H3164" s="4">
        <v>536086.31014448102</v>
      </c>
    </row>
    <row r="3165" spans="2:8" x14ac:dyDescent="0.2">
      <c r="B3165" s="3" t="s">
        <v>160</v>
      </c>
      <c r="C3165" s="3" t="s">
        <v>29</v>
      </c>
      <c r="D3165" s="3" t="str">
        <f>VLOOKUP(C3165,Countries!$B$3:$C$140,2,FALSE)</f>
        <v>Europe</v>
      </c>
      <c r="E3165" s="3" t="s">
        <v>26</v>
      </c>
      <c r="F3165" s="3" t="str">
        <f>VLOOKUP(E3165,Countries!$B$3:$C$140,2,FALSE)</f>
        <v>Europe</v>
      </c>
      <c r="G3165" s="4">
        <v>2</v>
      </c>
      <c r="H3165" s="4">
        <v>0</v>
      </c>
    </row>
    <row r="3166" spans="2:8" x14ac:dyDescent="0.2">
      <c r="B3166" s="3" t="s">
        <v>160</v>
      </c>
      <c r="C3166" s="3" t="s">
        <v>29</v>
      </c>
      <c r="D3166" s="3" t="str">
        <f>VLOOKUP(C3166,Countries!$B$3:$C$140,2,FALSE)</f>
        <v>Europe</v>
      </c>
      <c r="E3166" s="3" t="s">
        <v>55</v>
      </c>
      <c r="F3166" s="3" t="str">
        <f>VLOOKUP(E3166,Countries!$B$3:$C$140,2,FALSE)</f>
        <v>Europe</v>
      </c>
      <c r="G3166" s="4">
        <v>2</v>
      </c>
      <c r="H3166" s="4">
        <v>0</v>
      </c>
    </row>
    <row r="3167" spans="2:8" x14ac:dyDescent="0.2">
      <c r="B3167" s="3" t="s">
        <v>160</v>
      </c>
      <c r="C3167" s="3" t="s">
        <v>29</v>
      </c>
      <c r="D3167" s="3" t="str">
        <f>VLOOKUP(C3167,Countries!$B$3:$C$140,2,FALSE)</f>
        <v>Europe</v>
      </c>
      <c r="E3167" s="3" t="s">
        <v>47</v>
      </c>
      <c r="F3167" s="3" t="str">
        <f>VLOOKUP(E3167,Countries!$B$3:$C$140,2,FALSE)</f>
        <v>Africa</v>
      </c>
      <c r="G3167" s="4">
        <v>2</v>
      </c>
      <c r="H3167" s="4">
        <v>0</v>
      </c>
    </row>
    <row r="3168" spans="2:8" x14ac:dyDescent="0.2">
      <c r="B3168" s="3" t="s">
        <v>160</v>
      </c>
      <c r="C3168" s="3" t="s">
        <v>29</v>
      </c>
      <c r="D3168" s="3" t="str">
        <f>VLOOKUP(C3168,Countries!$B$3:$C$140,2,FALSE)</f>
        <v>Europe</v>
      </c>
      <c r="E3168" s="3" t="s">
        <v>28</v>
      </c>
      <c r="F3168" s="3" t="str">
        <f>VLOOKUP(E3168,Countries!$B$3:$C$140,2,FALSE)</f>
        <v>Europe</v>
      </c>
      <c r="G3168" s="4">
        <v>8</v>
      </c>
      <c r="H3168" s="4">
        <v>0</v>
      </c>
    </row>
    <row r="3169" spans="2:8" x14ac:dyDescent="0.2">
      <c r="B3169" s="3" t="s">
        <v>160</v>
      </c>
      <c r="C3169" s="3" t="s">
        <v>29</v>
      </c>
      <c r="D3169" s="3" t="str">
        <f>VLOOKUP(C3169,Countries!$B$3:$C$140,2,FALSE)</f>
        <v>Europe</v>
      </c>
      <c r="E3169" s="3" t="s">
        <v>56</v>
      </c>
      <c r="F3169" s="3" t="str">
        <f>VLOOKUP(E3169,Countries!$B$3:$C$140,2,FALSE)</f>
        <v>Europe</v>
      </c>
      <c r="G3169" s="4">
        <v>2</v>
      </c>
      <c r="H3169" s="4">
        <v>0</v>
      </c>
    </row>
    <row r="3170" spans="2:8" x14ac:dyDescent="0.2">
      <c r="B3170" s="3" t="s">
        <v>160</v>
      </c>
      <c r="C3170" s="3" t="s">
        <v>29</v>
      </c>
      <c r="D3170" s="3" t="str">
        <f>VLOOKUP(C3170,Countries!$B$3:$C$140,2,FALSE)</f>
        <v>Europe</v>
      </c>
      <c r="E3170" s="3" t="s">
        <v>104</v>
      </c>
      <c r="F3170" s="3" t="str">
        <f>VLOOKUP(E3170,Countries!$B$3:$C$140,2,FALSE)</f>
        <v>Africa</v>
      </c>
      <c r="G3170" s="4">
        <v>8</v>
      </c>
      <c r="H3170" s="4">
        <v>4035830.9450999997</v>
      </c>
    </row>
    <row r="3171" spans="2:8" x14ac:dyDescent="0.2">
      <c r="B3171" s="3" t="s">
        <v>160</v>
      </c>
      <c r="C3171" s="3" t="s">
        <v>29</v>
      </c>
      <c r="D3171" s="3" t="str">
        <f>VLOOKUP(C3171,Countries!$B$3:$C$140,2,FALSE)</f>
        <v>Europe</v>
      </c>
      <c r="E3171" s="3" t="s">
        <v>32</v>
      </c>
      <c r="F3171" s="3" t="str">
        <f>VLOOKUP(E3171,Countries!$B$3:$C$140,2,FALSE)</f>
        <v>Europe</v>
      </c>
      <c r="G3171" s="4">
        <v>2</v>
      </c>
      <c r="H3171" s="4">
        <v>0</v>
      </c>
    </row>
    <row r="3172" spans="2:8" x14ac:dyDescent="0.2">
      <c r="B3172" s="3" t="s">
        <v>160</v>
      </c>
      <c r="C3172" s="3" t="s">
        <v>29</v>
      </c>
      <c r="D3172" s="3" t="str">
        <f>VLOOKUP(C3172,Countries!$B$3:$C$140,2,FALSE)</f>
        <v>Europe</v>
      </c>
      <c r="E3172" s="3" t="s">
        <v>33</v>
      </c>
      <c r="F3172" s="3" t="str">
        <f>VLOOKUP(E3172,Countries!$B$3:$C$140,2,FALSE)</f>
        <v>North America</v>
      </c>
      <c r="G3172" s="4">
        <v>2</v>
      </c>
      <c r="H3172" s="4">
        <v>0</v>
      </c>
    </row>
    <row r="3173" spans="2:8" x14ac:dyDescent="0.2">
      <c r="B3173" s="3" t="s">
        <v>160</v>
      </c>
      <c r="C3173" s="3" t="s">
        <v>56</v>
      </c>
      <c r="D3173" s="3" t="str">
        <f>VLOOKUP(C3173,Countries!$B$3:$C$140,2,FALSE)</f>
        <v>Europe</v>
      </c>
      <c r="E3173" s="3" t="s">
        <v>69</v>
      </c>
      <c r="F3173" s="3" t="str">
        <f>VLOOKUP(E3173,Countries!$B$3:$C$140,2,FALSE)</f>
        <v>South America</v>
      </c>
      <c r="G3173" s="4">
        <v>2</v>
      </c>
      <c r="H3173" s="4">
        <v>0</v>
      </c>
    </row>
    <row r="3174" spans="2:8" x14ac:dyDescent="0.2">
      <c r="B3174" s="3" t="s">
        <v>160</v>
      </c>
      <c r="C3174" s="3" t="s">
        <v>56</v>
      </c>
      <c r="D3174" s="3" t="str">
        <f>VLOOKUP(C3174,Countries!$B$3:$C$140,2,FALSE)</f>
        <v>Europe</v>
      </c>
      <c r="E3174" s="3" t="s">
        <v>3</v>
      </c>
      <c r="F3174" s="3" t="str">
        <f>VLOOKUP(E3174,Countries!$B$3:$C$140,2,FALSE)</f>
        <v>Europe</v>
      </c>
      <c r="G3174" s="4">
        <v>2</v>
      </c>
      <c r="H3174" s="4">
        <v>0</v>
      </c>
    </row>
    <row r="3175" spans="2:8" x14ac:dyDescent="0.2">
      <c r="B3175" s="3" t="s">
        <v>160</v>
      </c>
      <c r="C3175" s="3" t="s">
        <v>56</v>
      </c>
      <c r="D3175" s="3" t="str">
        <f>VLOOKUP(C3175,Countries!$B$3:$C$140,2,FALSE)</f>
        <v>Europe</v>
      </c>
      <c r="E3175" s="3" t="s">
        <v>4</v>
      </c>
      <c r="F3175" s="3" t="str">
        <f>VLOOKUP(E3175,Countries!$B$3:$C$140,2,FALSE)</f>
        <v>Asia</v>
      </c>
      <c r="G3175" s="4">
        <v>2</v>
      </c>
      <c r="H3175" s="4">
        <v>0</v>
      </c>
    </row>
    <row r="3176" spans="2:8" x14ac:dyDescent="0.2">
      <c r="B3176" s="3" t="s">
        <v>160</v>
      </c>
      <c r="C3176" s="3" t="s">
        <v>56</v>
      </c>
      <c r="D3176" s="3" t="str">
        <f>VLOOKUP(C3176,Countries!$B$3:$C$140,2,FALSE)</f>
        <v>Europe</v>
      </c>
      <c r="E3176" s="3" t="s">
        <v>7</v>
      </c>
      <c r="F3176" s="3" t="str">
        <f>VLOOKUP(E3176,Countries!$B$3:$C$140,2,FALSE)</f>
        <v>South America</v>
      </c>
      <c r="G3176" s="4">
        <v>2</v>
      </c>
      <c r="H3176" s="4">
        <v>195556.71171</v>
      </c>
    </row>
    <row r="3177" spans="2:8" x14ac:dyDescent="0.2">
      <c r="B3177" s="3" t="s">
        <v>160</v>
      </c>
      <c r="C3177" s="3" t="s">
        <v>56</v>
      </c>
      <c r="D3177" s="3" t="str">
        <f>VLOOKUP(C3177,Countries!$B$3:$C$140,2,FALSE)</f>
        <v>Europe</v>
      </c>
      <c r="E3177" s="3" t="s">
        <v>36</v>
      </c>
      <c r="F3177" s="3" t="str">
        <f>VLOOKUP(E3177,Countries!$B$3:$C$140,2,FALSE)</f>
        <v>Europe</v>
      </c>
      <c r="G3177" s="4">
        <v>2</v>
      </c>
      <c r="H3177" s="4">
        <v>0</v>
      </c>
    </row>
    <row r="3178" spans="2:8" x14ac:dyDescent="0.2">
      <c r="B3178" s="3" t="s">
        <v>160</v>
      </c>
      <c r="C3178" s="3" t="s">
        <v>56</v>
      </c>
      <c r="D3178" s="3" t="str">
        <f>VLOOKUP(C3178,Countries!$B$3:$C$140,2,FALSE)</f>
        <v>Europe</v>
      </c>
      <c r="E3178" s="3" t="s">
        <v>62</v>
      </c>
      <c r="F3178" s="3" t="str">
        <f>VLOOKUP(E3178,Countries!$B$3:$C$140,2,FALSE)</f>
        <v>Asia</v>
      </c>
      <c r="G3178" s="4">
        <v>2</v>
      </c>
      <c r="H3178" s="4">
        <v>0</v>
      </c>
    </row>
    <row r="3179" spans="2:8" x14ac:dyDescent="0.2">
      <c r="B3179" s="3" t="s">
        <v>160</v>
      </c>
      <c r="C3179" s="3" t="s">
        <v>56</v>
      </c>
      <c r="D3179" s="3" t="str">
        <f>VLOOKUP(C3179,Countries!$B$3:$C$140,2,FALSE)</f>
        <v>Europe</v>
      </c>
      <c r="E3179" s="3" t="s">
        <v>49</v>
      </c>
      <c r="F3179" s="3" t="str">
        <f>VLOOKUP(E3179,Countries!$B$3:$C$140,2,FALSE)</f>
        <v>Europe</v>
      </c>
      <c r="G3179" s="4">
        <v>74</v>
      </c>
      <c r="H3179" s="4">
        <v>612118.57576704607</v>
      </c>
    </row>
    <row r="3180" spans="2:8" x14ac:dyDescent="0.2">
      <c r="B3180" s="3" t="s">
        <v>160</v>
      </c>
      <c r="C3180" s="3" t="s">
        <v>56</v>
      </c>
      <c r="D3180" s="3" t="str">
        <f>VLOOKUP(C3180,Countries!$B$3:$C$140,2,FALSE)</f>
        <v>Europe</v>
      </c>
      <c r="E3180" s="3" t="s">
        <v>11</v>
      </c>
      <c r="F3180" s="3" t="str">
        <f>VLOOKUP(E3180,Countries!$B$3:$C$140,2,FALSE)</f>
        <v>Europe</v>
      </c>
      <c r="G3180" s="4">
        <v>2</v>
      </c>
      <c r="H3180" s="4">
        <v>0</v>
      </c>
    </row>
    <row r="3181" spans="2:8" x14ac:dyDescent="0.2">
      <c r="B3181" s="3" t="s">
        <v>160</v>
      </c>
      <c r="C3181" s="3" t="s">
        <v>56</v>
      </c>
      <c r="D3181" s="3" t="str">
        <f>VLOOKUP(C3181,Countries!$B$3:$C$140,2,FALSE)</f>
        <v>Europe</v>
      </c>
      <c r="E3181" s="3" t="s">
        <v>13</v>
      </c>
      <c r="F3181" s="3" t="str">
        <f>VLOOKUP(E3181,Countries!$B$3:$C$140,2,FALSE)</f>
        <v>Europe</v>
      </c>
      <c r="G3181" s="4">
        <v>6</v>
      </c>
      <c r="H3181" s="4">
        <v>0</v>
      </c>
    </row>
    <row r="3182" spans="2:8" x14ac:dyDescent="0.2">
      <c r="B3182" s="3" t="s">
        <v>160</v>
      </c>
      <c r="C3182" s="3" t="s">
        <v>56</v>
      </c>
      <c r="D3182" s="3" t="str">
        <f>VLOOKUP(C3182,Countries!$B$3:$C$140,2,FALSE)</f>
        <v>Europe</v>
      </c>
      <c r="E3182" s="3" t="s">
        <v>15</v>
      </c>
      <c r="F3182" s="3" t="str">
        <f>VLOOKUP(E3182,Countries!$B$3:$C$140,2,FALSE)</f>
        <v>Europe</v>
      </c>
      <c r="G3182" s="4">
        <v>10</v>
      </c>
      <c r="H3182" s="4">
        <v>39473.510012999999</v>
      </c>
    </row>
    <row r="3183" spans="2:8" x14ac:dyDescent="0.2">
      <c r="B3183" s="3" t="s">
        <v>160</v>
      </c>
      <c r="C3183" s="3" t="s">
        <v>56</v>
      </c>
      <c r="D3183" s="3" t="str">
        <f>VLOOKUP(C3183,Countries!$B$3:$C$140,2,FALSE)</f>
        <v>Europe</v>
      </c>
      <c r="E3183" s="3" t="s">
        <v>17</v>
      </c>
      <c r="F3183" s="3" t="str">
        <f>VLOOKUP(E3183,Countries!$B$3:$C$140,2,FALSE)</f>
        <v>Europe</v>
      </c>
      <c r="G3183" s="4">
        <v>2</v>
      </c>
      <c r="H3183" s="4">
        <v>0</v>
      </c>
    </row>
    <row r="3184" spans="2:8" x14ac:dyDescent="0.2">
      <c r="B3184" s="3" t="s">
        <v>160</v>
      </c>
      <c r="C3184" s="3" t="s">
        <v>56</v>
      </c>
      <c r="D3184" s="3" t="str">
        <f>VLOOKUP(C3184,Countries!$B$3:$C$140,2,FALSE)</f>
        <v>Europe</v>
      </c>
      <c r="E3184" s="3" t="s">
        <v>53</v>
      </c>
      <c r="F3184" s="3" t="str">
        <f>VLOOKUP(E3184,Countries!$B$3:$C$140,2,FALSE)</f>
        <v>Europe</v>
      </c>
      <c r="G3184" s="4">
        <v>6</v>
      </c>
      <c r="H3184" s="4">
        <v>161433.237804</v>
      </c>
    </row>
    <row r="3185" spans="2:8" x14ac:dyDescent="0.2">
      <c r="B3185" s="3" t="s">
        <v>160</v>
      </c>
      <c r="C3185" s="3" t="s">
        <v>56</v>
      </c>
      <c r="D3185" s="3" t="str">
        <f>VLOOKUP(C3185,Countries!$B$3:$C$140,2,FALSE)</f>
        <v>Europe</v>
      </c>
      <c r="E3185" s="3" t="s">
        <v>54</v>
      </c>
      <c r="F3185" s="3" t="str">
        <f>VLOOKUP(E3185,Countries!$B$3:$C$140,2,FALSE)</f>
        <v>Europe</v>
      </c>
      <c r="G3185" s="4">
        <v>10</v>
      </c>
      <c r="H3185" s="4">
        <v>0</v>
      </c>
    </row>
    <row r="3186" spans="2:8" x14ac:dyDescent="0.2">
      <c r="B3186" s="3" t="s">
        <v>160</v>
      </c>
      <c r="C3186" s="3" t="s">
        <v>56</v>
      </c>
      <c r="D3186" s="3" t="str">
        <f>VLOOKUP(C3186,Countries!$B$3:$C$140,2,FALSE)</f>
        <v>Europe</v>
      </c>
      <c r="E3186" s="3" t="s">
        <v>25</v>
      </c>
      <c r="F3186" s="3" t="str">
        <f>VLOOKUP(E3186,Countries!$B$3:$C$140,2,FALSE)</f>
        <v>Europe</v>
      </c>
      <c r="G3186" s="4">
        <v>2</v>
      </c>
      <c r="H3186" s="4">
        <v>0</v>
      </c>
    </row>
    <row r="3187" spans="2:8" x14ac:dyDescent="0.2">
      <c r="B3187" s="3" t="s">
        <v>160</v>
      </c>
      <c r="C3187" s="3" t="s">
        <v>56</v>
      </c>
      <c r="D3187" s="3" t="str">
        <f>VLOOKUP(C3187,Countries!$B$3:$C$140,2,FALSE)</f>
        <v>Europe</v>
      </c>
      <c r="E3187" s="3" t="s">
        <v>26</v>
      </c>
      <c r="F3187" s="3" t="str">
        <f>VLOOKUP(E3187,Countries!$B$3:$C$140,2,FALSE)</f>
        <v>Europe</v>
      </c>
      <c r="G3187" s="4">
        <v>2</v>
      </c>
      <c r="H3187" s="4">
        <v>0</v>
      </c>
    </row>
    <row r="3188" spans="2:8" x14ac:dyDescent="0.2">
      <c r="B3188" s="3" t="s">
        <v>160</v>
      </c>
      <c r="C3188" s="3" t="s">
        <v>56</v>
      </c>
      <c r="D3188" s="3" t="str">
        <f>VLOOKUP(C3188,Countries!$B$3:$C$140,2,FALSE)</f>
        <v>Europe</v>
      </c>
      <c r="E3188" s="3" t="s">
        <v>46</v>
      </c>
      <c r="F3188" s="3" t="str">
        <f>VLOOKUP(E3188,Countries!$B$3:$C$140,2,FALSE)</f>
        <v>Europe/Asia</v>
      </c>
      <c r="G3188" s="4">
        <v>2</v>
      </c>
      <c r="H3188" s="4">
        <v>0</v>
      </c>
    </row>
    <row r="3189" spans="2:8" x14ac:dyDescent="0.2">
      <c r="B3189" s="3" t="s">
        <v>160</v>
      </c>
      <c r="C3189" s="3" t="s">
        <v>56</v>
      </c>
      <c r="D3189" s="3" t="str">
        <f>VLOOKUP(C3189,Countries!$B$3:$C$140,2,FALSE)</f>
        <v>Europe</v>
      </c>
      <c r="E3189" s="3" t="s">
        <v>28</v>
      </c>
      <c r="F3189" s="3" t="str">
        <f>VLOOKUP(E3189,Countries!$B$3:$C$140,2,FALSE)</f>
        <v>Europe</v>
      </c>
      <c r="G3189" s="4">
        <v>2</v>
      </c>
      <c r="H3189" s="4">
        <v>0</v>
      </c>
    </row>
    <row r="3190" spans="2:8" x14ac:dyDescent="0.2">
      <c r="B3190" s="3" t="s">
        <v>160</v>
      </c>
      <c r="C3190" s="3" t="s">
        <v>56</v>
      </c>
      <c r="D3190" s="3" t="str">
        <f>VLOOKUP(C3190,Countries!$B$3:$C$140,2,FALSE)</f>
        <v>Europe</v>
      </c>
      <c r="E3190" s="3" t="s">
        <v>32</v>
      </c>
      <c r="F3190" s="3" t="str">
        <f>VLOOKUP(E3190,Countries!$B$3:$C$140,2,FALSE)</f>
        <v>Europe</v>
      </c>
      <c r="G3190" s="4">
        <v>10</v>
      </c>
      <c r="H3190" s="4">
        <v>0</v>
      </c>
    </row>
    <row r="3191" spans="2:8" x14ac:dyDescent="0.2">
      <c r="B3191" s="3" t="s">
        <v>160</v>
      </c>
      <c r="C3191" s="3" t="s">
        <v>30</v>
      </c>
      <c r="D3191" s="3" t="str">
        <f>VLOOKUP(C3191,Countries!$B$3:$C$140,2,FALSE)</f>
        <v>Europe</v>
      </c>
      <c r="E3191" s="3" t="s">
        <v>3</v>
      </c>
      <c r="F3191" s="3" t="str">
        <f>VLOOKUP(E3191,Countries!$B$3:$C$140,2,FALSE)</f>
        <v>Europe</v>
      </c>
      <c r="G3191" s="4">
        <v>2</v>
      </c>
      <c r="H3191" s="4">
        <v>0</v>
      </c>
    </row>
    <row r="3192" spans="2:8" x14ac:dyDescent="0.2">
      <c r="B3192" s="3" t="s">
        <v>160</v>
      </c>
      <c r="C3192" s="3" t="s">
        <v>30</v>
      </c>
      <c r="D3192" s="3" t="str">
        <f>VLOOKUP(C3192,Countries!$B$3:$C$140,2,FALSE)</f>
        <v>Europe</v>
      </c>
      <c r="E3192" s="3" t="s">
        <v>35</v>
      </c>
      <c r="F3192" s="3" t="str">
        <f>VLOOKUP(E3192,Countries!$B$3:$C$140,2,FALSE)</f>
        <v>Europe</v>
      </c>
      <c r="G3192" s="4">
        <v>6</v>
      </c>
      <c r="H3192" s="4">
        <v>0</v>
      </c>
    </row>
    <row r="3193" spans="2:8" x14ac:dyDescent="0.2">
      <c r="B3193" s="3" t="s">
        <v>160</v>
      </c>
      <c r="C3193" s="3" t="s">
        <v>30</v>
      </c>
      <c r="D3193" s="3" t="str">
        <f>VLOOKUP(C3193,Countries!$B$3:$C$140,2,FALSE)</f>
        <v>Europe</v>
      </c>
      <c r="E3193" s="3" t="s">
        <v>6</v>
      </c>
      <c r="F3193" s="3" t="str">
        <f>VLOOKUP(E3193,Countries!$B$3:$C$140,2,FALSE)</f>
        <v>Europe</v>
      </c>
      <c r="G3193" s="4">
        <v>6</v>
      </c>
      <c r="H3193" s="4">
        <v>0</v>
      </c>
    </row>
    <row r="3194" spans="2:8" x14ac:dyDescent="0.2">
      <c r="B3194" s="3" t="s">
        <v>160</v>
      </c>
      <c r="C3194" s="3" t="s">
        <v>30</v>
      </c>
      <c r="D3194" s="3" t="str">
        <f>VLOOKUP(C3194,Countries!$B$3:$C$140,2,FALSE)</f>
        <v>Europe</v>
      </c>
      <c r="E3194" s="3" t="s">
        <v>9</v>
      </c>
      <c r="F3194" s="3" t="str">
        <f>VLOOKUP(E3194,Countries!$B$3:$C$140,2,FALSE)</f>
        <v>Europe</v>
      </c>
      <c r="G3194" s="4">
        <v>18</v>
      </c>
      <c r="H3194" s="4">
        <v>0</v>
      </c>
    </row>
    <row r="3195" spans="2:8" x14ac:dyDescent="0.2">
      <c r="B3195" s="3" t="s">
        <v>160</v>
      </c>
      <c r="C3195" s="3" t="s">
        <v>30</v>
      </c>
      <c r="D3195" s="3" t="str">
        <f>VLOOKUP(C3195,Countries!$B$3:$C$140,2,FALSE)</f>
        <v>Europe</v>
      </c>
      <c r="E3195" s="3" t="s">
        <v>11</v>
      </c>
      <c r="F3195" s="3" t="str">
        <f>VLOOKUP(E3195,Countries!$B$3:$C$140,2,FALSE)</f>
        <v>Europe</v>
      </c>
      <c r="G3195" s="4">
        <v>2</v>
      </c>
      <c r="H3195" s="4">
        <v>0</v>
      </c>
    </row>
    <row r="3196" spans="2:8" x14ac:dyDescent="0.2">
      <c r="B3196" s="3" t="s">
        <v>160</v>
      </c>
      <c r="C3196" s="3" t="s">
        <v>30</v>
      </c>
      <c r="D3196" s="3" t="str">
        <f>VLOOKUP(C3196,Countries!$B$3:$C$140,2,FALSE)</f>
        <v>Europe</v>
      </c>
      <c r="E3196" s="3" t="s">
        <v>12</v>
      </c>
      <c r="F3196" s="3" t="str">
        <f>VLOOKUP(E3196,Countries!$B$3:$C$140,2,FALSE)</f>
        <v>Europe</v>
      </c>
      <c r="G3196" s="4">
        <v>2</v>
      </c>
      <c r="H3196" s="4">
        <v>0</v>
      </c>
    </row>
    <row r="3197" spans="2:8" x14ac:dyDescent="0.2">
      <c r="B3197" s="3" t="s">
        <v>160</v>
      </c>
      <c r="C3197" s="3" t="s">
        <v>30</v>
      </c>
      <c r="D3197" s="3" t="str">
        <f>VLOOKUP(C3197,Countries!$B$3:$C$140,2,FALSE)</f>
        <v>Europe</v>
      </c>
      <c r="E3197" s="3" t="s">
        <v>13</v>
      </c>
      <c r="F3197" s="3" t="str">
        <f>VLOOKUP(E3197,Countries!$B$3:$C$140,2,FALSE)</f>
        <v>Europe</v>
      </c>
      <c r="G3197" s="4">
        <v>4</v>
      </c>
      <c r="H3197" s="4">
        <v>0</v>
      </c>
    </row>
    <row r="3198" spans="2:8" x14ac:dyDescent="0.2">
      <c r="B3198" s="3" t="s">
        <v>160</v>
      </c>
      <c r="C3198" s="3" t="s">
        <v>30</v>
      </c>
      <c r="D3198" s="3" t="str">
        <f>VLOOKUP(C3198,Countries!$B$3:$C$140,2,FALSE)</f>
        <v>Europe</v>
      </c>
      <c r="E3198" s="3" t="s">
        <v>14</v>
      </c>
      <c r="F3198" s="3" t="str">
        <f>VLOOKUP(E3198,Countries!$B$3:$C$140,2,FALSE)</f>
        <v>Europe</v>
      </c>
      <c r="G3198" s="4">
        <v>2</v>
      </c>
      <c r="H3198" s="4">
        <v>0</v>
      </c>
    </row>
    <row r="3199" spans="2:8" x14ac:dyDescent="0.2">
      <c r="B3199" s="3" t="s">
        <v>160</v>
      </c>
      <c r="C3199" s="3" t="s">
        <v>30</v>
      </c>
      <c r="D3199" s="3" t="str">
        <f>VLOOKUP(C3199,Countries!$B$3:$C$140,2,FALSE)</f>
        <v>Europe</v>
      </c>
      <c r="E3199" s="3" t="s">
        <v>15</v>
      </c>
      <c r="F3199" s="3" t="str">
        <f>VLOOKUP(E3199,Countries!$B$3:$C$140,2,FALSE)</f>
        <v>Europe</v>
      </c>
      <c r="G3199" s="4">
        <v>4</v>
      </c>
      <c r="H3199" s="4">
        <v>0</v>
      </c>
    </row>
    <row r="3200" spans="2:8" x14ac:dyDescent="0.2">
      <c r="B3200" s="3" t="s">
        <v>160</v>
      </c>
      <c r="C3200" s="3" t="s">
        <v>30</v>
      </c>
      <c r="D3200" s="3" t="str">
        <f>VLOOKUP(C3200,Countries!$B$3:$C$140,2,FALSE)</f>
        <v>Europe</v>
      </c>
      <c r="E3200" s="3" t="s">
        <v>75</v>
      </c>
      <c r="F3200" s="3" t="str">
        <f>VLOOKUP(E3200,Countries!$B$3:$C$140,2,FALSE)</f>
        <v>Europe</v>
      </c>
      <c r="G3200" s="4">
        <v>2</v>
      </c>
      <c r="H3200" s="4">
        <v>0</v>
      </c>
    </row>
    <row r="3201" spans="2:8" x14ac:dyDescent="0.2">
      <c r="B3201" s="3" t="s">
        <v>160</v>
      </c>
      <c r="C3201" s="3" t="s">
        <v>30</v>
      </c>
      <c r="D3201" s="3" t="str">
        <f>VLOOKUP(C3201,Countries!$B$3:$C$140,2,FALSE)</f>
        <v>Europe</v>
      </c>
      <c r="E3201" s="3" t="s">
        <v>17</v>
      </c>
      <c r="F3201" s="3" t="str">
        <f>VLOOKUP(E3201,Countries!$B$3:$C$140,2,FALSE)</f>
        <v>Europe</v>
      </c>
      <c r="G3201" s="4">
        <v>22</v>
      </c>
      <c r="H3201" s="4">
        <v>0</v>
      </c>
    </row>
    <row r="3202" spans="2:8" x14ac:dyDescent="0.2">
      <c r="B3202" s="3" t="s">
        <v>160</v>
      </c>
      <c r="C3202" s="3" t="s">
        <v>30</v>
      </c>
      <c r="D3202" s="3" t="str">
        <f>VLOOKUP(C3202,Countries!$B$3:$C$140,2,FALSE)</f>
        <v>Europe</v>
      </c>
      <c r="E3202" s="3" t="s">
        <v>40</v>
      </c>
      <c r="F3202" s="3" t="str">
        <f>VLOOKUP(E3202,Countries!$B$3:$C$140,2,FALSE)</f>
        <v>Asia</v>
      </c>
      <c r="G3202" s="4">
        <v>2</v>
      </c>
      <c r="H3202" s="4">
        <v>0</v>
      </c>
    </row>
    <row r="3203" spans="2:8" x14ac:dyDescent="0.2">
      <c r="B3203" s="3" t="s">
        <v>160</v>
      </c>
      <c r="C3203" s="3" t="s">
        <v>30</v>
      </c>
      <c r="D3203" s="3" t="str">
        <f>VLOOKUP(C3203,Countries!$B$3:$C$140,2,FALSE)</f>
        <v>Europe</v>
      </c>
      <c r="E3203" s="3" t="s">
        <v>53</v>
      </c>
      <c r="F3203" s="3" t="str">
        <f>VLOOKUP(E3203,Countries!$B$3:$C$140,2,FALSE)</f>
        <v>Europe</v>
      </c>
      <c r="G3203" s="4">
        <v>10</v>
      </c>
      <c r="H3203" s="4">
        <v>0</v>
      </c>
    </row>
    <row r="3204" spans="2:8" x14ac:dyDescent="0.2">
      <c r="B3204" s="3" t="s">
        <v>160</v>
      </c>
      <c r="C3204" s="3" t="s">
        <v>30</v>
      </c>
      <c r="D3204" s="3" t="str">
        <f>VLOOKUP(C3204,Countries!$B$3:$C$140,2,FALSE)</f>
        <v>Europe</v>
      </c>
      <c r="E3204" s="3" t="s">
        <v>54</v>
      </c>
      <c r="F3204" s="3" t="str">
        <f>VLOOKUP(E3204,Countries!$B$3:$C$140,2,FALSE)</f>
        <v>Europe</v>
      </c>
      <c r="G3204" s="4">
        <v>2</v>
      </c>
      <c r="H3204" s="4">
        <v>0</v>
      </c>
    </row>
    <row r="3205" spans="2:8" x14ac:dyDescent="0.2">
      <c r="B3205" s="3" t="s">
        <v>160</v>
      </c>
      <c r="C3205" s="3" t="s">
        <v>30</v>
      </c>
      <c r="D3205" s="3" t="str">
        <f>VLOOKUP(C3205,Countries!$B$3:$C$140,2,FALSE)</f>
        <v>Europe</v>
      </c>
      <c r="E3205" s="3" t="s">
        <v>25</v>
      </c>
      <c r="F3205" s="3" t="str">
        <f>VLOOKUP(E3205,Countries!$B$3:$C$140,2,FALSE)</f>
        <v>Europe</v>
      </c>
      <c r="G3205" s="4">
        <v>2</v>
      </c>
      <c r="H3205" s="4">
        <v>0</v>
      </c>
    </row>
    <row r="3206" spans="2:8" x14ac:dyDescent="0.2">
      <c r="B3206" s="3" t="s">
        <v>160</v>
      </c>
      <c r="C3206" s="3" t="s">
        <v>30</v>
      </c>
      <c r="D3206" s="3" t="str">
        <f>VLOOKUP(C3206,Countries!$B$3:$C$140,2,FALSE)</f>
        <v>Europe</v>
      </c>
      <c r="E3206" s="3" t="s">
        <v>26</v>
      </c>
      <c r="F3206" s="3" t="str">
        <f>VLOOKUP(E3206,Countries!$B$3:$C$140,2,FALSE)</f>
        <v>Europe</v>
      </c>
      <c r="G3206" s="4">
        <v>2</v>
      </c>
      <c r="H3206" s="4">
        <v>0</v>
      </c>
    </row>
    <row r="3207" spans="2:8" x14ac:dyDescent="0.2">
      <c r="B3207" s="3" t="s">
        <v>160</v>
      </c>
      <c r="C3207" s="3" t="s">
        <v>30</v>
      </c>
      <c r="D3207" s="3" t="str">
        <f>VLOOKUP(C3207,Countries!$B$3:$C$140,2,FALSE)</f>
        <v>Europe</v>
      </c>
      <c r="E3207" s="3" t="s">
        <v>28</v>
      </c>
      <c r="F3207" s="3" t="str">
        <f>VLOOKUP(E3207,Countries!$B$3:$C$140,2,FALSE)</f>
        <v>Europe</v>
      </c>
      <c r="G3207" s="4">
        <v>10</v>
      </c>
      <c r="H3207" s="4">
        <v>0</v>
      </c>
    </row>
    <row r="3208" spans="2:8" x14ac:dyDescent="0.2">
      <c r="B3208" s="3" t="s">
        <v>160</v>
      </c>
      <c r="C3208" s="3" t="s">
        <v>31</v>
      </c>
      <c r="D3208" s="3" t="str">
        <f>VLOOKUP(C3208,Countries!$B$3:$C$140,2,FALSE)</f>
        <v>Europe</v>
      </c>
      <c r="E3208" s="3" t="s">
        <v>2</v>
      </c>
      <c r="F3208" s="3" t="str">
        <f>VLOOKUP(E3208,Countries!$B$3:$C$140,2,FALSE)</f>
        <v>Europe</v>
      </c>
      <c r="G3208" s="4">
        <v>2</v>
      </c>
      <c r="H3208" s="4">
        <v>0</v>
      </c>
    </row>
    <row r="3209" spans="2:8" x14ac:dyDescent="0.2">
      <c r="B3209" s="3" t="s">
        <v>160</v>
      </c>
      <c r="C3209" s="3" t="s">
        <v>31</v>
      </c>
      <c r="D3209" s="3" t="str">
        <f>VLOOKUP(C3209,Countries!$B$3:$C$140,2,FALSE)</f>
        <v>Europe</v>
      </c>
      <c r="E3209" s="3" t="s">
        <v>48</v>
      </c>
      <c r="F3209" s="3" t="str">
        <f>VLOOKUP(E3209,Countries!$B$3:$C$140,2,FALSE)</f>
        <v>Oceania</v>
      </c>
      <c r="G3209" s="4">
        <v>2</v>
      </c>
      <c r="H3209" s="4">
        <v>0</v>
      </c>
    </row>
    <row r="3210" spans="2:8" x14ac:dyDescent="0.2">
      <c r="B3210" s="3" t="s">
        <v>160</v>
      </c>
      <c r="C3210" s="3" t="s">
        <v>31</v>
      </c>
      <c r="D3210" s="3" t="str">
        <f>VLOOKUP(C3210,Countries!$B$3:$C$140,2,FALSE)</f>
        <v>Europe</v>
      </c>
      <c r="E3210" s="3" t="s">
        <v>35</v>
      </c>
      <c r="F3210" s="3" t="str">
        <f>VLOOKUP(E3210,Countries!$B$3:$C$140,2,FALSE)</f>
        <v>Europe</v>
      </c>
      <c r="G3210" s="4">
        <v>8</v>
      </c>
      <c r="H3210" s="4">
        <v>2421498.5670600003</v>
      </c>
    </row>
    <row r="3211" spans="2:8" x14ac:dyDescent="0.2">
      <c r="B3211" s="3" t="s">
        <v>160</v>
      </c>
      <c r="C3211" s="3" t="s">
        <v>31</v>
      </c>
      <c r="D3211" s="3" t="str">
        <f>VLOOKUP(C3211,Countries!$B$3:$C$140,2,FALSE)</f>
        <v>Europe</v>
      </c>
      <c r="E3211" s="3" t="s">
        <v>5</v>
      </c>
      <c r="F3211" s="3" t="str">
        <f>VLOOKUP(E3211,Countries!$B$3:$C$140,2,FALSE)</f>
        <v>Asia</v>
      </c>
      <c r="G3211" s="4">
        <v>2</v>
      </c>
      <c r="H3211" s="4">
        <v>0</v>
      </c>
    </row>
    <row r="3212" spans="2:8" x14ac:dyDescent="0.2">
      <c r="B3212" s="3" t="s">
        <v>160</v>
      </c>
      <c r="C3212" s="3" t="s">
        <v>31</v>
      </c>
      <c r="D3212" s="3" t="str">
        <f>VLOOKUP(C3212,Countries!$B$3:$C$140,2,FALSE)</f>
        <v>Europe</v>
      </c>
      <c r="E3212" s="3" t="s">
        <v>59</v>
      </c>
      <c r="F3212" s="3" t="str">
        <f>VLOOKUP(E3212,Countries!$B$3:$C$140,2,FALSE)</f>
        <v>Europe</v>
      </c>
      <c r="G3212" s="4">
        <v>2</v>
      </c>
      <c r="H3212" s="4">
        <v>1107.2746213200001</v>
      </c>
    </row>
    <row r="3213" spans="2:8" x14ac:dyDescent="0.2">
      <c r="B3213" s="3" t="s">
        <v>160</v>
      </c>
      <c r="C3213" s="3" t="s">
        <v>31</v>
      </c>
      <c r="D3213" s="3" t="str">
        <f>VLOOKUP(C3213,Countries!$B$3:$C$140,2,FALSE)</f>
        <v>Europe</v>
      </c>
      <c r="E3213" s="3" t="s">
        <v>7</v>
      </c>
      <c r="F3213" s="3" t="str">
        <f>VLOOKUP(E3213,Countries!$B$3:$C$140,2,FALSE)</f>
        <v>South America</v>
      </c>
      <c r="G3213" s="4">
        <v>6</v>
      </c>
      <c r="H3213" s="4">
        <v>0</v>
      </c>
    </row>
    <row r="3214" spans="2:8" x14ac:dyDescent="0.2">
      <c r="B3214" s="3" t="s">
        <v>160</v>
      </c>
      <c r="C3214" s="3" t="s">
        <v>31</v>
      </c>
      <c r="D3214" s="3" t="str">
        <f>VLOOKUP(C3214,Countries!$B$3:$C$140,2,FALSE)</f>
        <v>Europe</v>
      </c>
      <c r="E3214" s="3" t="s">
        <v>8</v>
      </c>
      <c r="F3214" s="3" t="str">
        <f>VLOOKUP(E3214,Countries!$B$3:$C$140,2,FALSE)</f>
        <v>North America</v>
      </c>
      <c r="G3214" s="4">
        <v>2</v>
      </c>
      <c r="H3214" s="4">
        <v>0</v>
      </c>
    </row>
    <row r="3215" spans="2:8" x14ac:dyDescent="0.2">
      <c r="B3215" s="3" t="s">
        <v>160</v>
      </c>
      <c r="C3215" s="3" t="s">
        <v>31</v>
      </c>
      <c r="D3215" s="3" t="str">
        <f>VLOOKUP(C3215,Countries!$B$3:$C$140,2,FALSE)</f>
        <v>Europe</v>
      </c>
      <c r="E3215" s="3" t="s">
        <v>89</v>
      </c>
      <c r="F3215" s="3" t="str">
        <f>VLOOKUP(E3215,Countries!$B$3:$C$140,2,FALSE)</f>
        <v>Asia</v>
      </c>
      <c r="G3215" s="4">
        <v>4</v>
      </c>
      <c r="H3215" s="4">
        <v>0</v>
      </c>
    </row>
    <row r="3216" spans="2:8" x14ac:dyDescent="0.2">
      <c r="B3216" s="3" t="s">
        <v>160</v>
      </c>
      <c r="C3216" s="3" t="s">
        <v>31</v>
      </c>
      <c r="D3216" s="3" t="str">
        <f>VLOOKUP(C3216,Countries!$B$3:$C$140,2,FALSE)</f>
        <v>Europe</v>
      </c>
      <c r="E3216" s="3" t="s">
        <v>9</v>
      </c>
      <c r="F3216" s="3" t="str">
        <f>VLOOKUP(E3216,Countries!$B$3:$C$140,2,FALSE)</f>
        <v>Europe</v>
      </c>
      <c r="G3216" s="4">
        <v>4</v>
      </c>
      <c r="H3216" s="4">
        <v>0</v>
      </c>
    </row>
    <row r="3217" spans="2:8" x14ac:dyDescent="0.2">
      <c r="B3217" s="3" t="s">
        <v>160</v>
      </c>
      <c r="C3217" s="3" t="s">
        <v>31</v>
      </c>
      <c r="D3217" s="3" t="str">
        <f>VLOOKUP(C3217,Countries!$B$3:$C$140,2,FALSE)</f>
        <v>Europe</v>
      </c>
      <c r="E3217" s="3" t="s">
        <v>10</v>
      </c>
      <c r="F3217" s="3" t="str">
        <f>VLOOKUP(E3217,Countries!$B$3:$C$140,2,FALSE)</f>
        <v>Europe</v>
      </c>
      <c r="G3217" s="4">
        <v>26</v>
      </c>
      <c r="H3217" s="4">
        <v>594997.46427</v>
      </c>
    </row>
    <row r="3218" spans="2:8" x14ac:dyDescent="0.2">
      <c r="B3218" s="3" t="s">
        <v>160</v>
      </c>
      <c r="C3218" s="3" t="s">
        <v>31</v>
      </c>
      <c r="D3218" s="3" t="str">
        <f>VLOOKUP(C3218,Countries!$B$3:$C$140,2,FALSE)</f>
        <v>Europe</v>
      </c>
      <c r="E3218" s="3" t="s">
        <v>63</v>
      </c>
      <c r="F3218" s="3" t="str">
        <f>VLOOKUP(E3218,Countries!$B$3:$C$140,2,FALSE)</f>
        <v>Africa</v>
      </c>
      <c r="G3218" s="4">
        <v>2</v>
      </c>
      <c r="H3218" s="4">
        <v>0</v>
      </c>
    </row>
    <row r="3219" spans="2:8" x14ac:dyDescent="0.2">
      <c r="B3219" s="3" t="s">
        <v>160</v>
      </c>
      <c r="C3219" s="3" t="s">
        <v>31</v>
      </c>
      <c r="D3219" s="3" t="str">
        <f>VLOOKUP(C3219,Countries!$B$3:$C$140,2,FALSE)</f>
        <v>Europe</v>
      </c>
      <c r="E3219" s="3" t="s">
        <v>50</v>
      </c>
      <c r="F3219" s="3" t="str">
        <f>VLOOKUP(E3219,Countries!$B$3:$C$140,2,FALSE)</f>
        <v>Europe</v>
      </c>
      <c r="G3219" s="4">
        <v>38</v>
      </c>
      <c r="H3219" s="4">
        <v>47024.147850000001</v>
      </c>
    </row>
    <row r="3220" spans="2:8" x14ac:dyDescent="0.2">
      <c r="B3220" s="3" t="s">
        <v>160</v>
      </c>
      <c r="C3220" s="3" t="s">
        <v>31</v>
      </c>
      <c r="D3220" s="3" t="str">
        <f>VLOOKUP(C3220,Countries!$B$3:$C$140,2,FALSE)</f>
        <v>Europe</v>
      </c>
      <c r="E3220" s="3" t="s">
        <v>11</v>
      </c>
      <c r="F3220" s="3" t="str">
        <f>VLOOKUP(E3220,Countries!$B$3:$C$140,2,FALSE)</f>
        <v>Europe</v>
      </c>
      <c r="G3220" s="4">
        <v>18</v>
      </c>
      <c r="H3220" s="4">
        <v>0</v>
      </c>
    </row>
    <row r="3221" spans="2:8" x14ac:dyDescent="0.2">
      <c r="B3221" s="3" t="s">
        <v>160</v>
      </c>
      <c r="C3221" s="3" t="s">
        <v>31</v>
      </c>
      <c r="D3221" s="3" t="str">
        <f>VLOOKUP(C3221,Countries!$B$3:$C$140,2,FALSE)</f>
        <v>Europe</v>
      </c>
      <c r="E3221" s="3" t="s">
        <v>38</v>
      </c>
      <c r="F3221" s="3" t="str">
        <f>VLOOKUP(E3221,Countries!$B$3:$C$140,2,FALSE)</f>
        <v>Europe</v>
      </c>
      <c r="G3221" s="4">
        <v>2</v>
      </c>
      <c r="H3221" s="4">
        <v>0</v>
      </c>
    </row>
    <row r="3222" spans="2:8" x14ac:dyDescent="0.2">
      <c r="B3222" s="3" t="s">
        <v>160</v>
      </c>
      <c r="C3222" s="3" t="s">
        <v>31</v>
      </c>
      <c r="D3222" s="3" t="str">
        <f>VLOOKUP(C3222,Countries!$B$3:$C$140,2,FALSE)</f>
        <v>Europe</v>
      </c>
      <c r="E3222" s="3" t="s">
        <v>73</v>
      </c>
      <c r="F3222" s="3" t="str">
        <f>VLOOKUP(E3222,Countries!$B$3:$C$140,2,FALSE)</f>
        <v>Europe</v>
      </c>
      <c r="G3222" s="4">
        <v>36</v>
      </c>
      <c r="H3222" s="4">
        <v>38801.800403999994</v>
      </c>
    </row>
    <row r="3223" spans="2:8" x14ac:dyDescent="0.2">
      <c r="B3223" s="3" t="s">
        <v>160</v>
      </c>
      <c r="C3223" s="3" t="s">
        <v>31</v>
      </c>
      <c r="D3223" s="3" t="str">
        <f>VLOOKUP(C3223,Countries!$B$3:$C$140,2,FALSE)</f>
        <v>Europe</v>
      </c>
      <c r="E3223" s="3" t="s">
        <v>12</v>
      </c>
      <c r="F3223" s="3" t="str">
        <f>VLOOKUP(E3223,Countries!$B$3:$C$140,2,FALSE)</f>
        <v>Europe</v>
      </c>
      <c r="G3223" s="4">
        <v>2</v>
      </c>
      <c r="H3223" s="4">
        <v>0</v>
      </c>
    </row>
    <row r="3224" spans="2:8" x14ac:dyDescent="0.2">
      <c r="B3224" s="3" t="s">
        <v>160</v>
      </c>
      <c r="C3224" s="3" t="s">
        <v>31</v>
      </c>
      <c r="D3224" s="3" t="str">
        <f>VLOOKUP(C3224,Countries!$B$3:$C$140,2,FALSE)</f>
        <v>Europe</v>
      </c>
      <c r="E3224" s="3" t="s">
        <v>111</v>
      </c>
      <c r="F3224" s="3" t="str">
        <f>VLOOKUP(E3224,Countries!$B$3:$C$140,2,FALSE)</f>
        <v>Africa</v>
      </c>
      <c r="G3224" s="4">
        <v>2</v>
      </c>
      <c r="H3224" s="4">
        <v>0</v>
      </c>
    </row>
    <row r="3225" spans="2:8" x14ac:dyDescent="0.2">
      <c r="B3225" s="3" t="s">
        <v>160</v>
      </c>
      <c r="C3225" s="3" t="s">
        <v>31</v>
      </c>
      <c r="D3225" s="3" t="str">
        <f>VLOOKUP(C3225,Countries!$B$3:$C$140,2,FALSE)</f>
        <v>Europe</v>
      </c>
      <c r="E3225" s="3" t="s">
        <v>13</v>
      </c>
      <c r="F3225" s="3" t="str">
        <f>VLOOKUP(E3225,Countries!$B$3:$C$140,2,FALSE)</f>
        <v>Europe</v>
      </c>
      <c r="G3225" s="4">
        <v>8</v>
      </c>
      <c r="H3225" s="4">
        <v>0</v>
      </c>
    </row>
    <row r="3226" spans="2:8" x14ac:dyDescent="0.2">
      <c r="B3226" s="3" t="s">
        <v>160</v>
      </c>
      <c r="C3226" s="3" t="s">
        <v>31</v>
      </c>
      <c r="D3226" s="3" t="str">
        <f>VLOOKUP(C3226,Countries!$B$3:$C$140,2,FALSE)</f>
        <v>Europe</v>
      </c>
      <c r="E3226" s="3" t="s">
        <v>64</v>
      </c>
      <c r="F3226" s="3" t="str">
        <f>VLOOKUP(E3226,Countries!$B$3:$C$140,2,FALSE)</f>
        <v>Africa</v>
      </c>
      <c r="G3226" s="4">
        <v>18</v>
      </c>
      <c r="H3226" s="4">
        <v>2197334.2046952001</v>
      </c>
    </row>
    <row r="3227" spans="2:8" x14ac:dyDescent="0.2">
      <c r="B3227" s="3" t="s">
        <v>160</v>
      </c>
      <c r="C3227" s="3" t="s">
        <v>31</v>
      </c>
      <c r="D3227" s="3" t="str">
        <f>VLOOKUP(C3227,Countries!$B$3:$C$140,2,FALSE)</f>
        <v>Europe</v>
      </c>
      <c r="E3227" s="3" t="s">
        <v>14</v>
      </c>
      <c r="F3227" s="3" t="str">
        <f>VLOOKUP(E3227,Countries!$B$3:$C$140,2,FALSE)</f>
        <v>Europe</v>
      </c>
      <c r="G3227" s="4">
        <v>10</v>
      </c>
      <c r="H3227" s="4">
        <v>0</v>
      </c>
    </row>
    <row r="3228" spans="2:8" x14ac:dyDescent="0.2">
      <c r="B3228" s="3" t="s">
        <v>160</v>
      </c>
      <c r="C3228" s="3" t="s">
        <v>31</v>
      </c>
      <c r="D3228" s="3" t="str">
        <f>VLOOKUP(C3228,Countries!$B$3:$C$140,2,FALSE)</f>
        <v>Europe</v>
      </c>
      <c r="E3228" s="3" t="s">
        <v>101</v>
      </c>
      <c r="F3228" s="3" t="str">
        <f>VLOOKUP(E3228,Countries!$B$3:$C$140,2,FALSE)</f>
        <v>Europe</v>
      </c>
      <c r="G3228" s="4">
        <v>2</v>
      </c>
      <c r="H3228" s="4">
        <v>0</v>
      </c>
    </row>
    <row r="3229" spans="2:8" x14ac:dyDescent="0.2">
      <c r="B3229" s="3" t="s">
        <v>160</v>
      </c>
      <c r="C3229" s="3" t="s">
        <v>31</v>
      </c>
      <c r="D3229" s="3" t="str">
        <f>VLOOKUP(C3229,Countries!$B$3:$C$140,2,FALSE)</f>
        <v>Europe</v>
      </c>
      <c r="E3229" s="3" t="s">
        <v>16</v>
      </c>
      <c r="F3229" s="3" t="str">
        <f>VLOOKUP(E3229,Countries!$B$3:$C$140,2,FALSE)</f>
        <v>Asia</v>
      </c>
      <c r="G3229" s="4">
        <v>4</v>
      </c>
      <c r="H3229" s="4">
        <v>0</v>
      </c>
    </row>
    <row r="3230" spans="2:8" x14ac:dyDescent="0.2">
      <c r="B3230" s="3" t="s">
        <v>160</v>
      </c>
      <c r="C3230" s="3" t="s">
        <v>31</v>
      </c>
      <c r="D3230" s="3" t="str">
        <f>VLOOKUP(C3230,Countries!$B$3:$C$140,2,FALSE)</f>
        <v>Europe</v>
      </c>
      <c r="E3230" s="3" t="s">
        <v>75</v>
      </c>
      <c r="F3230" s="3" t="str">
        <f>VLOOKUP(E3230,Countries!$B$3:$C$140,2,FALSE)</f>
        <v>Europe</v>
      </c>
      <c r="G3230" s="4">
        <v>8</v>
      </c>
      <c r="H3230" s="4">
        <v>0</v>
      </c>
    </row>
    <row r="3231" spans="2:8" x14ac:dyDescent="0.2">
      <c r="B3231" s="3" t="s">
        <v>160</v>
      </c>
      <c r="C3231" s="3" t="s">
        <v>31</v>
      </c>
      <c r="D3231" s="3" t="str">
        <f>VLOOKUP(C3231,Countries!$B$3:$C$140,2,FALSE)</f>
        <v>Europe</v>
      </c>
      <c r="E3231" s="3" t="s">
        <v>17</v>
      </c>
      <c r="F3231" s="3" t="str">
        <f>VLOOKUP(E3231,Countries!$B$3:$C$140,2,FALSE)</f>
        <v>Europe</v>
      </c>
      <c r="G3231" s="4">
        <v>8</v>
      </c>
      <c r="H3231" s="4">
        <v>0</v>
      </c>
    </row>
    <row r="3232" spans="2:8" x14ac:dyDescent="0.2">
      <c r="B3232" s="3" t="s">
        <v>160</v>
      </c>
      <c r="C3232" s="3" t="s">
        <v>31</v>
      </c>
      <c r="D3232" s="3" t="str">
        <f>VLOOKUP(C3232,Countries!$B$3:$C$140,2,FALSE)</f>
        <v>Europe</v>
      </c>
      <c r="E3232" s="3" t="s">
        <v>102</v>
      </c>
      <c r="F3232" s="3" t="str">
        <f>VLOOKUP(E3232,Countries!$B$3:$C$140,2,FALSE)</f>
        <v>North America</v>
      </c>
      <c r="G3232" s="4">
        <v>2</v>
      </c>
      <c r="H3232" s="4">
        <v>0</v>
      </c>
    </row>
    <row r="3233" spans="2:8" x14ac:dyDescent="0.2">
      <c r="B3233" s="3" t="s">
        <v>160</v>
      </c>
      <c r="C3233" s="3" t="s">
        <v>31</v>
      </c>
      <c r="D3233" s="3" t="str">
        <f>VLOOKUP(C3233,Countries!$B$3:$C$140,2,FALSE)</f>
        <v>Europe</v>
      </c>
      <c r="E3233" s="3" t="s">
        <v>40</v>
      </c>
      <c r="F3233" s="3" t="str">
        <f>VLOOKUP(E3233,Countries!$B$3:$C$140,2,FALSE)</f>
        <v>Asia</v>
      </c>
      <c r="G3233" s="4">
        <v>4</v>
      </c>
      <c r="H3233" s="4">
        <v>0</v>
      </c>
    </row>
    <row r="3234" spans="2:8" x14ac:dyDescent="0.2">
      <c r="B3234" s="3" t="s">
        <v>160</v>
      </c>
      <c r="C3234" s="3" t="s">
        <v>31</v>
      </c>
      <c r="D3234" s="3" t="str">
        <f>VLOOKUP(C3234,Countries!$B$3:$C$140,2,FALSE)</f>
        <v>Europe</v>
      </c>
      <c r="E3234" s="3" t="s">
        <v>20</v>
      </c>
      <c r="F3234" s="3" t="str">
        <f>VLOOKUP(E3234,Countries!$B$3:$C$140,2,FALSE)</f>
        <v>Europe</v>
      </c>
      <c r="G3234" s="4">
        <v>2</v>
      </c>
      <c r="H3234" s="4">
        <v>0</v>
      </c>
    </row>
    <row r="3235" spans="2:8" x14ac:dyDescent="0.2">
      <c r="B3235" s="3" t="s">
        <v>160</v>
      </c>
      <c r="C3235" s="3" t="s">
        <v>31</v>
      </c>
      <c r="D3235" s="3" t="str">
        <f>VLOOKUP(C3235,Countries!$B$3:$C$140,2,FALSE)</f>
        <v>Europe</v>
      </c>
      <c r="E3235" s="3" t="s">
        <v>119</v>
      </c>
      <c r="F3235" s="3" t="str">
        <f>VLOOKUP(E3235,Countries!$B$3:$C$140,2,FALSE)</f>
        <v>Africa</v>
      </c>
      <c r="G3235" s="4">
        <v>4</v>
      </c>
      <c r="H3235" s="4">
        <v>0</v>
      </c>
    </row>
    <row r="3236" spans="2:8" x14ac:dyDescent="0.2">
      <c r="B3236" s="3" t="s">
        <v>160</v>
      </c>
      <c r="C3236" s="3" t="s">
        <v>31</v>
      </c>
      <c r="D3236" s="3" t="str">
        <f>VLOOKUP(C3236,Countries!$B$3:$C$140,2,FALSE)</f>
        <v>Europe</v>
      </c>
      <c r="E3236" s="3" t="s">
        <v>43</v>
      </c>
      <c r="F3236" s="3" t="str">
        <f>VLOOKUP(E3236,Countries!$B$3:$C$140,2,FALSE)</f>
        <v>Europe</v>
      </c>
      <c r="G3236" s="4">
        <v>2</v>
      </c>
      <c r="H3236" s="4">
        <v>0</v>
      </c>
    </row>
    <row r="3237" spans="2:8" x14ac:dyDescent="0.2">
      <c r="B3237" s="3" t="s">
        <v>160</v>
      </c>
      <c r="C3237" s="3" t="s">
        <v>31</v>
      </c>
      <c r="D3237" s="3" t="str">
        <f>VLOOKUP(C3237,Countries!$B$3:$C$140,2,FALSE)</f>
        <v>Europe</v>
      </c>
      <c r="E3237" s="3" t="s">
        <v>22</v>
      </c>
      <c r="F3237" s="3" t="str">
        <f>VLOOKUP(E3237,Countries!$B$3:$C$140,2,FALSE)</f>
        <v>Europe</v>
      </c>
      <c r="G3237" s="4">
        <v>2</v>
      </c>
      <c r="H3237" s="4">
        <v>0</v>
      </c>
    </row>
    <row r="3238" spans="2:8" x14ac:dyDescent="0.2">
      <c r="B3238" s="3" t="s">
        <v>160</v>
      </c>
      <c r="C3238" s="3" t="s">
        <v>31</v>
      </c>
      <c r="D3238" s="3" t="str">
        <f>VLOOKUP(C3238,Countries!$B$3:$C$140,2,FALSE)</f>
        <v>Europe</v>
      </c>
      <c r="E3238" s="3" t="s">
        <v>23</v>
      </c>
      <c r="F3238" s="3" t="str">
        <f>VLOOKUP(E3238,Countries!$B$3:$C$140,2,FALSE)</f>
        <v>Europe</v>
      </c>
      <c r="G3238" s="4">
        <v>2</v>
      </c>
      <c r="H3238" s="4">
        <v>0</v>
      </c>
    </row>
    <row r="3239" spans="2:8" x14ac:dyDescent="0.2">
      <c r="B3239" s="3" t="s">
        <v>160</v>
      </c>
      <c r="C3239" s="3" t="s">
        <v>31</v>
      </c>
      <c r="D3239" s="3" t="str">
        <f>VLOOKUP(C3239,Countries!$B$3:$C$140,2,FALSE)</f>
        <v>Europe</v>
      </c>
      <c r="E3239" s="3" t="s">
        <v>53</v>
      </c>
      <c r="F3239" s="3" t="str">
        <f>VLOOKUP(E3239,Countries!$B$3:$C$140,2,FALSE)</f>
        <v>Europe</v>
      </c>
      <c r="G3239" s="4">
        <v>10</v>
      </c>
      <c r="H3239" s="4">
        <v>3268875.0861762003</v>
      </c>
    </row>
    <row r="3240" spans="2:8" x14ac:dyDescent="0.2">
      <c r="B3240" s="3" t="s">
        <v>160</v>
      </c>
      <c r="C3240" s="3" t="s">
        <v>31</v>
      </c>
      <c r="D3240" s="3" t="str">
        <f>VLOOKUP(C3240,Countries!$B$3:$C$140,2,FALSE)</f>
        <v>Europe</v>
      </c>
      <c r="E3240" s="3" t="s">
        <v>24</v>
      </c>
      <c r="F3240" s="3" t="str">
        <f>VLOOKUP(E3240,Countries!$B$3:$C$140,2,FALSE)</f>
        <v>Africa</v>
      </c>
      <c r="G3240" s="4">
        <v>6</v>
      </c>
      <c r="H3240" s="4">
        <v>0</v>
      </c>
    </row>
    <row r="3241" spans="2:8" x14ac:dyDescent="0.2">
      <c r="B3241" s="3" t="s">
        <v>160</v>
      </c>
      <c r="C3241" s="3" t="s">
        <v>31</v>
      </c>
      <c r="D3241" s="3" t="str">
        <f>VLOOKUP(C3241,Countries!$B$3:$C$140,2,FALSE)</f>
        <v>Europe</v>
      </c>
      <c r="E3241" s="3" t="s">
        <v>44</v>
      </c>
      <c r="F3241" s="3" t="str">
        <f>VLOOKUP(E3241,Countries!$B$3:$C$140,2,FALSE)</f>
        <v>Europe</v>
      </c>
      <c r="G3241" s="4">
        <v>22</v>
      </c>
      <c r="H3241" s="4">
        <v>8992786.2078600004</v>
      </c>
    </row>
    <row r="3242" spans="2:8" x14ac:dyDescent="0.2">
      <c r="B3242" s="3" t="s">
        <v>160</v>
      </c>
      <c r="C3242" s="3" t="s">
        <v>31</v>
      </c>
      <c r="D3242" s="3" t="str">
        <f>VLOOKUP(C3242,Countries!$B$3:$C$140,2,FALSE)</f>
        <v>Europe</v>
      </c>
      <c r="E3242" s="3" t="s">
        <v>54</v>
      </c>
      <c r="F3242" s="3" t="str">
        <f>VLOOKUP(E3242,Countries!$B$3:$C$140,2,FALSE)</f>
        <v>Europe</v>
      </c>
      <c r="G3242" s="4">
        <v>6</v>
      </c>
      <c r="H3242" s="4">
        <v>0</v>
      </c>
    </row>
    <row r="3243" spans="2:8" x14ac:dyDescent="0.2">
      <c r="B3243" s="3" t="s">
        <v>160</v>
      </c>
      <c r="C3243" s="3" t="s">
        <v>31</v>
      </c>
      <c r="D3243" s="3" t="str">
        <f>VLOOKUP(C3243,Countries!$B$3:$C$140,2,FALSE)</f>
        <v>Europe</v>
      </c>
      <c r="E3243" s="3" t="s">
        <v>25</v>
      </c>
      <c r="F3243" s="3" t="str">
        <f>VLOOKUP(E3243,Countries!$B$3:$C$140,2,FALSE)</f>
        <v>Europe</v>
      </c>
      <c r="G3243" s="4">
        <v>2</v>
      </c>
      <c r="H3243" s="4">
        <v>0</v>
      </c>
    </row>
    <row r="3244" spans="2:8" x14ac:dyDescent="0.2">
      <c r="B3244" s="3" t="s">
        <v>160</v>
      </c>
      <c r="C3244" s="3" t="s">
        <v>31</v>
      </c>
      <c r="D3244" s="3" t="str">
        <f>VLOOKUP(C3244,Countries!$B$3:$C$140,2,FALSE)</f>
        <v>Europe</v>
      </c>
      <c r="E3244" s="3" t="s">
        <v>82</v>
      </c>
      <c r="F3244" s="3" t="e">
        <f>VLOOKUP(E3244,Countries!$B$3:$C$140,2,FALSE)</f>
        <v>#N/A</v>
      </c>
      <c r="G3244" s="4">
        <v>6</v>
      </c>
      <c r="H3244" s="4">
        <v>0</v>
      </c>
    </row>
    <row r="3245" spans="2:8" x14ac:dyDescent="0.2">
      <c r="B3245" s="3" t="s">
        <v>160</v>
      </c>
      <c r="C3245" s="3" t="s">
        <v>31</v>
      </c>
      <c r="D3245" s="3" t="str">
        <f>VLOOKUP(C3245,Countries!$B$3:$C$140,2,FALSE)</f>
        <v>Europe</v>
      </c>
      <c r="E3245" s="3" t="s">
        <v>46</v>
      </c>
      <c r="F3245" s="3" t="str">
        <f>VLOOKUP(E3245,Countries!$B$3:$C$140,2,FALSE)</f>
        <v>Europe/Asia</v>
      </c>
      <c r="G3245" s="4">
        <v>2</v>
      </c>
      <c r="H3245" s="4">
        <v>0</v>
      </c>
    </row>
    <row r="3246" spans="2:8" x14ac:dyDescent="0.2">
      <c r="B3246" s="3" t="s">
        <v>160</v>
      </c>
      <c r="C3246" s="3" t="s">
        <v>31</v>
      </c>
      <c r="D3246" s="3" t="str">
        <f>VLOOKUP(C3246,Countries!$B$3:$C$140,2,FALSE)</f>
        <v>Europe</v>
      </c>
      <c r="E3246" s="3" t="s">
        <v>55</v>
      </c>
      <c r="F3246" s="3" t="str">
        <f>VLOOKUP(E3246,Countries!$B$3:$C$140,2,FALSE)</f>
        <v>Europe</v>
      </c>
      <c r="G3246" s="4">
        <v>10</v>
      </c>
      <c r="H3246" s="4">
        <v>1998526.2836250002</v>
      </c>
    </row>
    <row r="3247" spans="2:8" x14ac:dyDescent="0.2">
      <c r="B3247" s="3" t="s">
        <v>160</v>
      </c>
      <c r="C3247" s="3" t="s">
        <v>31</v>
      </c>
      <c r="D3247" s="3" t="str">
        <f>VLOOKUP(C3247,Countries!$B$3:$C$140,2,FALSE)</f>
        <v>Europe</v>
      </c>
      <c r="E3247" s="3" t="s">
        <v>47</v>
      </c>
      <c r="F3247" s="3" t="str">
        <f>VLOOKUP(E3247,Countries!$B$3:$C$140,2,FALSE)</f>
        <v>Africa</v>
      </c>
      <c r="G3247" s="4">
        <v>2</v>
      </c>
      <c r="H3247" s="4">
        <v>12000</v>
      </c>
    </row>
    <row r="3248" spans="2:8" x14ac:dyDescent="0.2">
      <c r="B3248" s="3" t="s">
        <v>160</v>
      </c>
      <c r="C3248" s="3" t="s">
        <v>31</v>
      </c>
      <c r="D3248" s="3" t="str">
        <f>VLOOKUP(C3248,Countries!$B$3:$C$140,2,FALSE)</f>
        <v>Europe</v>
      </c>
      <c r="E3248" s="3" t="s">
        <v>96</v>
      </c>
      <c r="F3248" s="3" t="str">
        <f>VLOOKUP(E3248,Countries!$B$3:$C$140,2,FALSE)</f>
        <v>Africa</v>
      </c>
      <c r="G3248" s="4">
        <v>8</v>
      </c>
      <c r="H3248" s="4">
        <v>100895.77362749999</v>
      </c>
    </row>
    <row r="3249" spans="2:8" x14ac:dyDescent="0.2">
      <c r="B3249" s="3" t="s">
        <v>160</v>
      </c>
      <c r="C3249" s="3" t="s">
        <v>31</v>
      </c>
      <c r="D3249" s="3" t="str">
        <f>VLOOKUP(C3249,Countries!$B$3:$C$140,2,FALSE)</f>
        <v>Europe</v>
      </c>
      <c r="E3249" s="3" t="s">
        <v>98</v>
      </c>
      <c r="F3249" s="3" t="str">
        <f>VLOOKUP(E3249,Countries!$B$3:$C$140,2,FALSE)</f>
        <v>North America</v>
      </c>
      <c r="G3249" s="4">
        <v>2</v>
      </c>
      <c r="H3249" s="4">
        <v>18000</v>
      </c>
    </row>
    <row r="3250" spans="2:8" x14ac:dyDescent="0.2">
      <c r="B3250" s="3" t="s">
        <v>160</v>
      </c>
      <c r="C3250" s="3" t="s">
        <v>31</v>
      </c>
      <c r="D3250" s="3" t="str">
        <f>VLOOKUP(C3250,Countries!$B$3:$C$140,2,FALSE)</f>
        <v>Europe</v>
      </c>
      <c r="E3250" s="3" t="s">
        <v>28</v>
      </c>
      <c r="F3250" s="3" t="str">
        <f>VLOOKUP(E3250,Countries!$B$3:$C$140,2,FALSE)</f>
        <v>Europe</v>
      </c>
      <c r="G3250" s="4">
        <v>8</v>
      </c>
      <c r="H3250" s="4">
        <v>0</v>
      </c>
    </row>
    <row r="3251" spans="2:8" x14ac:dyDescent="0.2">
      <c r="B3251" s="3" t="s">
        <v>160</v>
      </c>
      <c r="C3251" s="3" t="s">
        <v>31</v>
      </c>
      <c r="D3251" s="3" t="str">
        <f>VLOOKUP(C3251,Countries!$B$3:$C$140,2,FALSE)</f>
        <v>Europe</v>
      </c>
      <c r="E3251" s="3" t="s">
        <v>30</v>
      </c>
      <c r="F3251" s="3" t="str">
        <f>VLOOKUP(E3251,Countries!$B$3:$C$140,2,FALSE)</f>
        <v>Europe</v>
      </c>
      <c r="G3251" s="4">
        <v>2</v>
      </c>
      <c r="H3251" s="4">
        <v>0</v>
      </c>
    </row>
    <row r="3252" spans="2:8" x14ac:dyDescent="0.2">
      <c r="B3252" s="3" t="s">
        <v>160</v>
      </c>
      <c r="C3252" s="3" t="s">
        <v>31</v>
      </c>
      <c r="D3252" s="3" t="str">
        <f>VLOOKUP(C3252,Countries!$B$3:$C$140,2,FALSE)</f>
        <v>Europe</v>
      </c>
      <c r="E3252" s="3" t="s">
        <v>112</v>
      </c>
      <c r="F3252" s="3" t="str">
        <f>VLOOKUP(E3252,Countries!$B$3:$C$140,2,FALSE)</f>
        <v>Asia</v>
      </c>
      <c r="G3252" s="4">
        <v>2</v>
      </c>
      <c r="H3252" s="4">
        <v>0</v>
      </c>
    </row>
    <row r="3253" spans="2:8" x14ac:dyDescent="0.2">
      <c r="B3253" s="3" t="s">
        <v>160</v>
      </c>
      <c r="C3253" s="3" t="s">
        <v>31</v>
      </c>
      <c r="D3253" s="3" t="str">
        <f>VLOOKUP(C3253,Countries!$B$3:$C$140,2,FALSE)</f>
        <v>Europe</v>
      </c>
      <c r="E3253" s="3" t="s">
        <v>122</v>
      </c>
      <c r="F3253" s="3" t="str">
        <f>VLOOKUP(E3253,Countries!$B$3:$C$140,2,FALSE)</f>
        <v>Asia</v>
      </c>
      <c r="G3253" s="4">
        <v>2</v>
      </c>
      <c r="H3253" s="4">
        <v>0</v>
      </c>
    </row>
    <row r="3254" spans="2:8" x14ac:dyDescent="0.2">
      <c r="B3254" s="3" t="s">
        <v>160</v>
      </c>
      <c r="C3254" s="3" t="s">
        <v>31</v>
      </c>
      <c r="D3254" s="3" t="str">
        <f>VLOOKUP(C3254,Countries!$B$3:$C$140,2,FALSE)</f>
        <v>Europe</v>
      </c>
      <c r="E3254" s="3" t="s">
        <v>57</v>
      </c>
      <c r="F3254" s="3" t="str">
        <f>VLOOKUP(E3254,Countries!$B$3:$C$140,2,FALSE)</f>
        <v>Europe/Asia</v>
      </c>
      <c r="G3254" s="4">
        <v>10</v>
      </c>
      <c r="H3254" s="4">
        <v>0</v>
      </c>
    </row>
    <row r="3255" spans="2:8" x14ac:dyDescent="0.2">
      <c r="B3255" s="3" t="s">
        <v>160</v>
      </c>
      <c r="C3255" s="3" t="s">
        <v>31</v>
      </c>
      <c r="D3255" s="3" t="str">
        <f>VLOOKUP(C3255,Countries!$B$3:$C$140,2,FALSE)</f>
        <v>Europe</v>
      </c>
      <c r="E3255" s="3" t="s">
        <v>58</v>
      </c>
      <c r="F3255" s="3" t="str">
        <f>VLOOKUP(E3255,Countries!$B$3:$C$140,2,FALSE)</f>
        <v>South America</v>
      </c>
      <c r="G3255" s="4">
        <v>2</v>
      </c>
      <c r="H3255" s="4">
        <v>164400</v>
      </c>
    </row>
    <row r="3256" spans="2:8" x14ac:dyDescent="0.2">
      <c r="B3256" s="3" t="s">
        <v>160</v>
      </c>
      <c r="C3256" s="3" t="s">
        <v>31</v>
      </c>
      <c r="D3256" s="3" t="str">
        <f>VLOOKUP(C3256,Countries!$B$3:$C$140,2,FALSE)</f>
        <v>Europe</v>
      </c>
      <c r="E3256" s="3" t="s">
        <v>33</v>
      </c>
      <c r="F3256" s="3" t="str">
        <f>VLOOKUP(E3256,Countries!$B$3:$C$140,2,FALSE)</f>
        <v>North America</v>
      </c>
      <c r="G3256" s="4">
        <v>20</v>
      </c>
      <c r="H3256" s="4">
        <v>0</v>
      </c>
    </row>
    <row r="3257" spans="2:8" x14ac:dyDescent="0.2">
      <c r="B3257" s="3" t="s">
        <v>160</v>
      </c>
      <c r="C3257" s="3" t="s">
        <v>31</v>
      </c>
      <c r="D3257" s="3" t="str">
        <f>VLOOKUP(C3257,Countries!$B$3:$C$140,2,FALSE)</f>
        <v>Europe</v>
      </c>
      <c r="E3257" s="3" t="s">
        <v>86</v>
      </c>
      <c r="F3257" s="3" t="str">
        <f>VLOOKUP(E3257,Countries!$B$3:$C$140,2,FALSE)</f>
        <v>Europe</v>
      </c>
      <c r="G3257" s="4">
        <v>2</v>
      </c>
      <c r="H3257" s="4">
        <v>0</v>
      </c>
    </row>
    <row r="3258" spans="2:8" x14ac:dyDescent="0.2">
      <c r="B3258" s="3" t="s">
        <v>160</v>
      </c>
      <c r="C3258" s="3" t="s">
        <v>57</v>
      </c>
      <c r="D3258" s="3" t="str">
        <f>VLOOKUP(C3258,Countries!$B$3:$C$140,2,FALSE)</f>
        <v>Europe/Asia</v>
      </c>
      <c r="E3258" s="3" t="s">
        <v>113</v>
      </c>
      <c r="F3258" s="3" t="str">
        <f>VLOOKUP(E3258,Countries!$B$3:$C$140,2,FALSE)</f>
        <v>Africa</v>
      </c>
      <c r="G3258" s="4">
        <v>2</v>
      </c>
      <c r="H3258" s="4">
        <v>0</v>
      </c>
    </row>
    <row r="3259" spans="2:8" x14ac:dyDescent="0.2">
      <c r="B3259" s="3" t="s">
        <v>160</v>
      </c>
      <c r="C3259" s="3" t="s">
        <v>57</v>
      </c>
      <c r="D3259" s="3" t="str">
        <f>VLOOKUP(C3259,Countries!$B$3:$C$140,2,FALSE)</f>
        <v>Europe/Asia</v>
      </c>
      <c r="E3259" s="3" t="s">
        <v>69</v>
      </c>
      <c r="F3259" s="3" t="str">
        <f>VLOOKUP(E3259,Countries!$B$3:$C$140,2,FALSE)</f>
        <v>South America</v>
      </c>
      <c r="G3259" s="4">
        <v>8</v>
      </c>
      <c r="H3259" s="4">
        <v>18855489.468691498</v>
      </c>
    </row>
    <row r="3260" spans="2:8" x14ac:dyDescent="0.2">
      <c r="B3260" s="3" t="s">
        <v>160</v>
      </c>
      <c r="C3260" s="3" t="s">
        <v>57</v>
      </c>
      <c r="D3260" s="3" t="str">
        <f>VLOOKUP(C3260,Countries!$B$3:$C$140,2,FALSE)</f>
        <v>Europe/Asia</v>
      </c>
      <c r="E3260" s="3" t="s">
        <v>48</v>
      </c>
      <c r="F3260" s="3" t="str">
        <f>VLOOKUP(E3260,Countries!$B$3:$C$140,2,FALSE)</f>
        <v>Oceania</v>
      </c>
      <c r="G3260" s="4">
        <v>4</v>
      </c>
      <c r="H3260" s="4">
        <v>1048811.1054194998</v>
      </c>
    </row>
    <row r="3261" spans="2:8" x14ac:dyDescent="0.2">
      <c r="B3261" s="3" t="s">
        <v>160</v>
      </c>
      <c r="C3261" s="3" t="s">
        <v>57</v>
      </c>
      <c r="D3261" s="3" t="str">
        <f>VLOOKUP(C3261,Countries!$B$3:$C$140,2,FALSE)</f>
        <v>Europe/Asia</v>
      </c>
      <c r="E3261" s="3" t="s">
        <v>3</v>
      </c>
      <c r="F3261" s="3" t="str">
        <f>VLOOKUP(E3261,Countries!$B$3:$C$140,2,FALSE)</f>
        <v>Europe</v>
      </c>
      <c r="G3261" s="4">
        <v>12</v>
      </c>
      <c r="H3261" s="4">
        <v>3026873.2088250001</v>
      </c>
    </row>
    <row r="3262" spans="2:8" x14ac:dyDescent="0.2">
      <c r="B3262" s="3" t="s">
        <v>160</v>
      </c>
      <c r="C3262" s="3" t="s">
        <v>57</v>
      </c>
      <c r="D3262" s="3" t="str">
        <f>VLOOKUP(C3262,Countries!$B$3:$C$140,2,FALSE)</f>
        <v>Europe/Asia</v>
      </c>
      <c r="E3262" s="3" t="s">
        <v>4</v>
      </c>
      <c r="F3262" s="3" t="str">
        <f>VLOOKUP(E3262,Countries!$B$3:$C$140,2,FALSE)</f>
        <v>Asia</v>
      </c>
      <c r="G3262" s="4">
        <v>14</v>
      </c>
      <c r="H3262" s="4">
        <v>0</v>
      </c>
    </row>
    <row r="3263" spans="2:8" x14ac:dyDescent="0.2">
      <c r="B3263" s="3" t="s">
        <v>160</v>
      </c>
      <c r="C3263" s="3" t="s">
        <v>57</v>
      </c>
      <c r="D3263" s="3" t="str">
        <f>VLOOKUP(C3263,Countries!$B$3:$C$140,2,FALSE)</f>
        <v>Europe/Asia</v>
      </c>
      <c r="E3263" s="3" t="s">
        <v>35</v>
      </c>
      <c r="F3263" s="3" t="str">
        <f>VLOOKUP(E3263,Countries!$B$3:$C$140,2,FALSE)</f>
        <v>Europe</v>
      </c>
      <c r="G3263" s="4">
        <v>22</v>
      </c>
      <c r="H3263" s="4">
        <v>0</v>
      </c>
    </row>
    <row r="3264" spans="2:8" x14ac:dyDescent="0.2">
      <c r="B3264" s="3" t="s">
        <v>160</v>
      </c>
      <c r="C3264" s="3" t="s">
        <v>57</v>
      </c>
      <c r="D3264" s="3" t="str">
        <f>VLOOKUP(C3264,Countries!$B$3:$C$140,2,FALSE)</f>
        <v>Europe/Asia</v>
      </c>
      <c r="E3264" s="3" t="s">
        <v>6</v>
      </c>
      <c r="F3264" s="3" t="str">
        <f>VLOOKUP(E3264,Countries!$B$3:$C$140,2,FALSE)</f>
        <v>Europe</v>
      </c>
      <c r="G3264" s="4">
        <v>2</v>
      </c>
      <c r="H3264" s="4">
        <v>237803.44462200001</v>
      </c>
    </row>
    <row r="3265" spans="2:8" x14ac:dyDescent="0.2">
      <c r="B3265" s="3" t="s">
        <v>160</v>
      </c>
      <c r="C3265" s="3" t="s">
        <v>57</v>
      </c>
      <c r="D3265" s="3" t="str">
        <f>VLOOKUP(C3265,Countries!$B$3:$C$140,2,FALSE)</f>
        <v>Europe/Asia</v>
      </c>
      <c r="E3265" s="3" t="s">
        <v>59</v>
      </c>
      <c r="F3265" s="3" t="str">
        <f>VLOOKUP(E3265,Countries!$B$3:$C$140,2,FALSE)</f>
        <v>Europe</v>
      </c>
      <c r="G3265" s="4">
        <v>2</v>
      </c>
      <c r="H3265" s="4">
        <v>4035830.9450999997</v>
      </c>
    </row>
    <row r="3266" spans="2:8" x14ac:dyDescent="0.2">
      <c r="B3266" s="3" t="s">
        <v>160</v>
      </c>
      <c r="C3266" s="3" t="s">
        <v>57</v>
      </c>
      <c r="D3266" s="3" t="str">
        <f>VLOOKUP(C3266,Countries!$B$3:$C$140,2,FALSE)</f>
        <v>Europe/Asia</v>
      </c>
      <c r="E3266" s="3" t="s">
        <v>7</v>
      </c>
      <c r="F3266" s="3" t="str">
        <f>VLOOKUP(E3266,Countries!$B$3:$C$140,2,FALSE)</f>
        <v>South America</v>
      </c>
      <c r="G3266" s="4">
        <v>4</v>
      </c>
      <c r="H3266" s="4">
        <v>403583.09450999997</v>
      </c>
    </row>
    <row r="3267" spans="2:8" x14ac:dyDescent="0.2">
      <c r="B3267" s="3" t="s">
        <v>160</v>
      </c>
      <c r="C3267" s="3" t="s">
        <v>57</v>
      </c>
      <c r="D3267" s="3" t="str">
        <f>VLOOKUP(C3267,Countries!$B$3:$C$140,2,FALSE)</f>
        <v>Europe/Asia</v>
      </c>
      <c r="E3267" s="3" t="s">
        <v>36</v>
      </c>
      <c r="F3267" s="3" t="str">
        <f>VLOOKUP(E3267,Countries!$B$3:$C$140,2,FALSE)</f>
        <v>Europe</v>
      </c>
      <c r="G3267" s="4">
        <v>12</v>
      </c>
      <c r="H3267" s="4">
        <v>2684040.614391</v>
      </c>
    </row>
    <row r="3268" spans="2:8" x14ac:dyDescent="0.2">
      <c r="B3268" s="3" t="s">
        <v>160</v>
      </c>
      <c r="C3268" s="3" t="s">
        <v>57</v>
      </c>
      <c r="D3268" s="3" t="str">
        <f>VLOOKUP(C3268,Countries!$B$3:$C$140,2,FALSE)</f>
        <v>Europe/Asia</v>
      </c>
      <c r="E3268" s="3" t="s">
        <v>89</v>
      </c>
      <c r="F3268" s="3" t="str">
        <f>VLOOKUP(E3268,Countries!$B$3:$C$140,2,FALSE)</f>
        <v>Asia</v>
      </c>
      <c r="G3268" s="4">
        <v>2</v>
      </c>
      <c r="H3268" s="4">
        <v>0</v>
      </c>
    </row>
    <row r="3269" spans="2:8" x14ac:dyDescent="0.2">
      <c r="B3269" s="3" t="s">
        <v>160</v>
      </c>
      <c r="C3269" s="3" t="s">
        <v>57</v>
      </c>
      <c r="D3269" s="3" t="str">
        <f>VLOOKUP(C3269,Countries!$B$3:$C$140,2,FALSE)</f>
        <v>Europe/Asia</v>
      </c>
      <c r="E3269" s="3" t="s">
        <v>106</v>
      </c>
      <c r="F3269" s="3" t="str">
        <f>VLOOKUP(E3269,Countries!$B$3:$C$140,2,FALSE)</f>
        <v>Africa</v>
      </c>
      <c r="G3269" s="4">
        <v>2</v>
      </c>
      <c r="H3269" s="4">
        <v>2017915.4725499998</v>
      </c>
    </row>
    <row r="3270" spans="2:8" x14ac:dyDescent="0.2">
      <c r="B3270" s="3" t="s">
        <v>160</v>
      </c>
      <c r="C3270" s="3" t="s">
        <v>57</v>
      </c>
      <c r="D3270" s="3" t="str">
        <f>VLOOKUP(C3270,Countries!$B$3:$C$140,2,FALSE)</f>
        <v>Europe/Asia</v>
      </c>
      <c r="E3270" s="3" t="s">
        <v>9</v>
      </c>
      <c r="F3270" s="3" t="str">
        <f>VLOOKUP(E3270,Countries!$B$3:$C$140,2,FALSE)</f>
        <v>Europe</v>
      </c>
      <c r="G3270" s="4">
        <v>2</v>
      </c>
      <c r="H3270" s="4">
        <v>0</v>
      </c>
    </row>
    <row r="3271" spans="2:8" x14ac:dyDescent="0.2">
      <c r="B3271" s="3" t="s">
        <v>160</v>
      </c>
      <c r="C3271" s="3" t="s">
        <v>57</v>
      </c>
      <c r="D3271" s="3" t="str">
        <f>VLOOKUP(C3271,Countries!$B$3:$C$140,2,FALSE)</f>
        <v>Europe/Asia</v>
      </c>
      <c r="E3271" s="3" t="s">
        <v>49</v>
      </c>
      <c r="F3271" s="3" t="str">
        <f>VLOOKUP(E3271,Countries!$B$3:$C$140,2,FALSE)</f>
        <v>Europe</v>
      </c>
      <c r="G3271" s="4">
        <v>6</v>
      </c>
      <c r="H3271" s="4">
        <v>1084734.7556670001</v>
      </c>
    </row>
    <row r="3272" spans="2:8" x14ac:dyDescent="0.2">
      <c r="B3272" s="3" t="s">
        <v>160</v>
      </c>
      <c r="C3272" s="3" t="s">
        <v>57</v>
      </c>
      <c r="D3272" s="3" t="str">
        <f>VLOOKUP(C3272,Countries!$B$3:$C$140,2,FALSE)</f>
        <v>Europe/Asia</v>
      </c>
      <c r="E3272" s="3" t="s">
        <v>10</v>
      </c>
      <c r="F3272" s="3" t="str">
        <f>VLOOKUP(E3272,Countries!$B$3:$C$140,2,FALSE)</f>
        <v>Europe</v>
      </c>
      <c r="G3272" s="4">
        <v>4</v>
      </c>
      <c r="H3272" s="4">
        <v>0</v>
      </c>
    </row>
    <row r="3273" spans="2:8" x14ac:dyDescent="0.2">
      <c r="B3273" s="3" t="s">
        <v>160</v>
      </c>
      <c r="C3273" s="3" t="s">
        <v>57</v>
      </c>
      <c r="D3273" s="3" t="str">
        <f>VLOOKUP(C3273,Countries!$B$3:$C$140,2,FALSE)</f>
        <v>Europe/Asia</v>
      </c>
      <c r="E3273" s="3" t="s">
        <v>63</v>
      </c>
      <c r="F3273" s="3" t="str">
        <f>VLOOKUP(E3273,Countries!$B$3:$C$140,2,FALSE)</f>
        <v>Africa</v>
      </c>
      <c r="G3273" s="4">
        <v>6</v>
      </c>
      <c r="H3273" s="4">
        <v>1158957.736275</v>
      </c>
    </row>
    <row r="3274" spans="2:8" x14ac:dyDescent="0.2">
      <c r="B3274" s="3" t="s">
        <v>160</v>
      </c>
      <c r="C3274" s="3" t="s">
        <v>57</v>
      </c>
      <c r="D3274" s="3" t="str">
        <f>VLOOKUP(C3274,Countries!$B$3:$C$140,2,FALSE)</f>
        <v>Europe/Asia</v>
      </c>
      <c r="E3274" s="3" t="s">
        <v>50</v>
      </c>
      <c r="F3274" s="3" t="str">
        <f>VLOOKUP(E3274,Countries!$B$3:$C$140,2,FALSE)</f>
        <v>Europe</v>
      </c>
      <c r="G3274" s="4">
        <v>36</v>
      </c>
      <c r="H3274" s="4">
        <v>54169538.963162392</v>
      </c>
    </row>
    <row r="3275" spans="2:8" x14ac:dyDescent="0.2">
      <c r="B3275" s="3" t="s">
        <v>160</v>
      </c>
      <c r="C3275" s="3" t="s">
        <v>57</v>
      </c>
      <c r="D3275" s="3" t="str">
        <f>VLOOKUP(C3275,Countries!$B$3:$C$140,2,FALSE)</f>
        <v>Europe/Asia</v>
      </c>
      <c r="E3275" s="3" t="s">
        <v>11</v>
      </c>
      <c r="F3275" s="3" t="str">
        <f>VLOOKUP(E3275,Countries!$B$3:$C$140,2,FALSE)</f>
        <v>Europe</v>
      </c>
      <c r="G3275" s="4">
        <v>28</v>
      </c>
      <c r="H3275" s="4">
        <v>48308317.121541001</v>
      </c>
    </row>
    <row r="3276" spans="2:8" x14ac:dyDescent="0.2">
      <c r="B3276" s="3" t="s">
        <v>160</v>
      </c>
      <c r="C3276" s="3" t="s">
        <v>57</v>
      </c>
      <c r="D3276" s="3" t="str">
        <f>VLOOKUP(C3276,Countries!$B$3:$C$140,2,FALSE)</f>
        <v>Europe/Asia</v>
      </c>
      <c r="E3276" s="3" t="s">
        <v>73</v>
      </c>
      <c r="F3276" s="3" t="str">
        <f>VLOOKUP(E3276,Countries!$B$3:$C$140,2,FALSE)</f>
        <v>Europe</v>
      </c>
      <c r="G3276" s="4">
        <v>6</v>
      </c>
      <c r="H3276" s="4">
        <v>2986514.8993739998</v>
      </c>
    </row>
    <row r="3277" spans="2:8" x14ac:dyDescent="0.2">
      <c r="B3277" s="3" t="s">
        <v>160</v>
      </c>
      <c r="C3277" s="3" t="s">
        <v>57</v>
      </c>
      <c r="D3277" s="3" t="str">
        <f>VLOOKUP(C3277,Countries!$B$3:$C$140,2,FALSE)</f>
        <v>Europe/Asia</v>
      </c>
      <c r="E3277" s="3" t="s">
        <v>12</v>
      </c>
      <c r="F3277" s="3" t="str">
        <f>VLOOKUP(E3277,Countries!$B$3:$C$140,2,FALSE)</f>
        <v>Europe</v>
      </c>
      <c r="G3277" s="4">
        <v>12</v>
      </c>
      <c r="H3277" s="4">
        <v>8677036.5319649987</v>
      </c>
    </row>
    <row r="3278" spans="2:8" x14ac:dyDescent="0.2">
      <c r="B3278" s="3" t="s">
        <v>160</v>
      </c>
      <c r="C3278" s="3" t="s">
        <v>57</v>
      </c>
      <c r="D3278" s="3" t="str">
        <f>VLOOKUP(C3278,Countries!$B$3:$C$140,2,FALSE)</f>
        <v>Europe/Asia</v>
      </c>
      <c r="E3278" s="3" t="s">
        <v>13</v>
      </c>
      <c r="F3278" s="3" t="str">
        <f>VLOOKUP(E3278,Countries!$B$3:$C$140,2,FALSE)</f>
        <v>Europe</v>
      </c>
      <c r="G3278" s="4">
        <v>112</v>
      </c>
      <c r="H3278" s="4">
        <v>11401222.419907499</v>
      </c>
    </row>
    <row r="3279" spans="2:8" x14ac:dyDescent="0.2">
      <c r="B3279" s="3" t="s">
        <v>160</v>
      </c>
      <c r="C3279" s="3" t="s">
        <v>57</v>
      </c>
      <c r="D3279" s="3" t="str">
        <f>VLOOKUP(C3279,Countries!$B$3:$C$140,2,FALSE)</f>
        <v>Europe/Asia</v>
      </c>
      <c r="E3279" s="3" t="s">
        <v>14</v>
      </c>
      <c r="F3279" s="3" t="str">
        <f>VLOOKUP(E3279,Countries!$B$3:$C$140,2,FALSE)</f>
        <v>Europe</v>
      </c>
      <c r="G3279" s="4">
        <v>8</v>
      </c>
      <c r="H3279" s="4">
        <v>0</v>
      </c>
    </row>
    <row r="3280" spans="2:8" x14ac:dyDescent="0.2">
      <c r="B3280" s="3" t="s">
        <v>160</v>
      </c>
      <c r="C3280" s="3" t="s">
        <v>57</v>
      </c>
      <c r="D3280" s="3" t="str">
        <f>VLOOKUP(C3280,Countries!$B$3:$C$140,2,FALSE)</f>
        <v>Europe/Asia</v>
      </c>
      <c r="E3280" s="3" t="s">
        <v>16</v>
      </c>
      <c r="F3280" s="3" t="str">
        <f>VLOOKUP(E3280,Countries!$B$3:$C$140,2,FALSE)</f>
        <v>Asia</v>
      </c>
      <c r="G3280" s="4">
        <v>2</v>
      </c>
      <c r="H3280" s="4">
        <v>0</v>
      </c>
    </row>
    <row r="3281" spans="2:8" x14ac:dyDescent="0.2">
      <c r="B3281" s="3" t="s">
        <v>160</v>
      </c>
      <c r="C3281" s="3" t="s">
        <v>57</v>
      </c>
      <c r="D3281" s="3" t="str">
        <f>VLOOKUP(C3281,Countries!$B$3:$C$140,2,FALSE)</f>
        <v>Europe/Asia</v>
      </c>
      <c r="E3281" s="3" t="s">
        <v>51</v>
      </c>
      <c r="F3281" s="3" t="str">
        <f>VLOOKUP(E3281,Countries!$B$3:$C$140,2,FALSE)</f>
        <v>Asia</v>
      </c>
      <c r="G3281" s="4">
        <v>4</v>
      </c>
      <c r="H3281" s="4">
        <v>0</v>
      </c>
    </row>
    <row r="3282" spans="2:8" x14ac:dyDescent="0.2">
      <c r="B3282" s="3" t="s">
        <v>160</v>
      </c>
      <c r="C3282" s="3" t="s">
        <v>57</v>
      </c>
      <c r="D3282" s="3" t="str">
        <f>VLOOKUP(C3282,Countries!$B$3:$C$140,2,FALSE)</f>
        <v>Europe/Asia</v>
      </c>
      <c r="E3282" s="3" t="s">
        <v>17</v>
      </c>
      <c r="F3282" s="3" t="str">
        <f>VLOOKUP(E3282,Countries!$B$3:$C$140,2,FALSE)</f>
        <v>Europe</v>
      </c>
      <c r="G3282" s="4">
        <v>12</v>
      </c>
      <c r="H3282" s="4">
        <v>71941479.681989998</v>
      </c>
    </row>
    <row r="3283" spans="2:8" x14ac:dyDescent="0.2">
      <c r="B3283" s="3" t="s">
        <v>160</v>
      </c>
      <c r="C3283" s="3" t="s">
        <v>57</v>
      </c>
      <c r="D3283" s="3" t="str">
        <f>VLOOKUP(C3283,Countries!$B$3:$C$140,2,FALSE)</f>
        <v>Europe/Asia</v>
      </c>
      <c r="E3283" s="3" t="s">
        <v>40</v>
      </c>
      <c r="F3283" s="3" t="str">
        <f>VLOOKUP(E3283,Countries!$B$3:$C$140,2,FALSE)</f>
        <v>Asia</v>
      </c>
      <c r="G3283" s="4">
        <v>6</v>
      </c>
      <c r="H3283" s="4">
        <v>0</v>
      </c>
    </row>
    <row r="3284" spans="2:8" x14ac:dyDescent="0.2">
      <c r="B3284" s="3" t="s">
        <v>160</v>
      </c>
      <c r="C3284" s="3" t="s">
        <v>57</v>
      </c>
      <c r="D3284" s="3" t="str">
        <f>VLOOKUP(C3284,Countries!$B$3:$C$140,2,FALSE)</f>
        <v>Europe/Asia</v>
      </c>
      <c r="E3284" s="3" t="s">
        <v>19</v>
      </c>
      <c r="F3284" s="3" t="str">
        <f>VLOOKUP(E3284,Countries!$B$3:$C$140,2,FALSE)</f>
        <v>Asia</v>
      </c>
      <c r="G3284" s="4">
        <v>2</v>
      </c>
      <c r="H3284" s="4">
        <v>0</v>
      </c>
    </row>
    <row r="3285" spans="2:8" x14ac:dyDescent="0.2">
      <c r="B3285" s="3" t="s">
        <v>160</v>
      </c>
      <c r="C3285" s="3" t="s">
        <v>57</v>
      </c>
      <c r="D3285" s="3" t="str">
        <f>VLOOKUP(C3285,Countries!$B$3:$C$140,2,FALSE)</f>
        <v>Europe/Asia</v>
      </c>
      <c r="E3285" s="3" t="s">
        <v>43</v>
      </c>
      <c r="F3285" s="3" t="str">
        <f>VLOOKUP(E3285,Countries!$B$3:$C$140,2,FALSE)</f>
        <v>Europe</v>
      </c>
      <c r="G3285" s="4">
        <v>2</v>
      </c>
      <c r="H3285" s="4">
        <v>0</v>
      </c>
    </row>
    <row r="3286" spans="2:8" x14ac:dyDescent="0.2">
      <c r="B3286" s="3" t="s">
        <v>160</v>
      </c>
      <c r="C3286" s="3" t="s">
        <v>57</v>
      </c>
      <c r="D3286" s="3" t="str">
        <f>VLOOKUP(C3286,Countries!$B$3:$C$140,2,FALSE)</f>
        <v>Europe/Asia</v>
      </c>
      <c r="E3286" s="3" t="s">
        <v>95</v>
      </c>
      <c r="F3286" s="3" t="str">
        <f>VLOOKUP(E3286,Countries!$B$3:$C$140,2,FALSE)</f>
        <v>Asia</v>
      </c>
      <c r="G3286" s="4">
        <v>2</v>
      </c>
      <c r="H3286" s="4">
        <v>0</v>
      </c>
    </row>
    <row r="3287" spans="2:8" x14ac:dyDescent="0.2">
      <c r="B3287" s="3" t="s">
        <v>160</v>
      </c>
      <c r="C3287" s="3" t="s">
        <v>57</v>
      </c>
      <c r="D3287" s="3" t="str">
        <f>VLOOKUP(C3287,Countries!$B$3:$C$140,2,FALSE)</f>
        <v>Europe/Asia</v>
      </c>
      <c r="E3287" s="3" t="s">
        <v>53</v>
      </c>
      <c r="F3287" s="3" t="str">
        <f>VLOOKUP(E3287,Countries!$B$3:$C$140,2,FALSE)</f>
        <v>Europe</v>
      </c>
      <c r="G3287" s="4">
        <v>22</v>
      </c>
      <c r="H3287" s="4">
        <v>1114191.9794336371</v>
      </c>
    </row>
    <row r="3288" spans="2:8" x14ac:dyDescent="0.2">
      <c r="B3288" s="3" t="s">
        <v>160</v>
      </c>
      <c r="C3288" s="3" t="s">
        <v>57</v>
      </c>
      <c r="D3288" s="3" t="str">
        <f>VLOOKUP(C3288,Countries!$B$3:$C$140,2,FALSE)</f>
        <v>Europe/Asia</v>
      </c>
      <c r="E3288" s="3" t="s">
        <v>24</v>
      </c>
      <c r="F3288" s="3" t="str">
        <f>VLOOKUP(E3288,Countries!$B$3:$C$140,2,FALSE)</f>
        <v>Africa</v>
      </c>
      <c r="G3288" s="4">
        <v>10</v>
      </c>
      <c r="H3288" s="4">
        <v>3502156.8016170003</v>
      </c>
    </row>
    <row r="3289" spans="2:8" x14ac:dyDescent="0.2">
      <c r="B3289" s="3" t="s">
        <v>160</v>
      </c>
      <c r="C3289" s="3" t="s">
        <v>57</v>
      </c>
      <c r="D3289" s="3" t="str">
        <f>VLOOKUP(C3289,Countries!$B$3:$C$140,2,FALSE)</f>
        <v>Europe/Asia</v>
      </c>
      <c r="E3289" s="3" t="s">
        <v>44</v>
      </c>
      <c r="F3289" s="3" t="str">
        <f>VLOOKUP(E3289,Countries!$B$3:$C$140,2,FALSE)</f>
        <v>Europe</v>
      </c>
      <c r="G3289" s="4">
        <v>6</v>
      </c>
      <c r="H3289" s="4">
        <v>0</v>
      </c>
    </row>
    <row r="3290" spans="2:8" x14ac:dyDescent="0.2">
      <c r="B3290" s="3" t="s">
        <v>160</v>
      </c>
      <c r="C3290" s="3" t="s">
        <v>57</v>
      </c>
      <c r="D3290" s="3" t="str">
        <f>VLOOKUP(C3290,Countries!$B$3:$C$140,2,FALSE)</f>
        <v>Europe/Asia</v>
      </c>
      <c r="E3290" s="3" t="s">
        <v>54</v>
      </c>
      <c r="F3290" s="3" t="str">
        <f>VLOOKUP(E3290,Countries!$B$3:$C$140,2,FALSE)</f>
        <v>Europe</v>
      </c>
      <c r="G3290" s="4">
        <v>10</v>
      </c>
      <c r="H3290" s="4">
        <v>4528627.0916091595</v>
      </c>
    </row>
    <row r="3291" spans="2:8" x14ac:dyDescent="0.2">
      <c r="B3291" s="3" t="s">
        <v>160</v>
      </c>
      <c r="C3291" s="3" t="s">
        <v>57</v>
      </c>
      <c r="D3291" s="3" t="str">
        <f>VLOOKUP(C3291,Countries!$B$3:$C$140,2,FALSE)</f>
        <v>Europe/Asia</v>
      </c>
      <c r="E3291" s="3" t="s">
        <v>25</v>
      </c>
      <c r="F3291" s="3" t="str">
        <f>VLOOKUP(E3291,Countries!$B$3:$C$140,2,FALSE)</f>
        <v>Europe</v>
      </c>
      <c r="G3291" s="4">
        <v>18</v>
      </c>
      <c r="H3291" s="4">
        <v>31439123.062328998</v>
      </c>
    </row>
    <row r="3292" spans="2:8" x14ac:dyDescent="0.2">
      <c r="B3292" s="3" t="s">
        <v>160</v>
      </c>
      <c r="C3292" s="3" t="s">
        <v>57</v>
      </c>
      <c r="D3292" s="3" t="str">
        <f>VLOOKUP(C3292,Countries!$B$3:$C$140,2,FALSE)</f>
        <v>Europe/Asia</v>
      </c>
      <c r="E3292" s="3" t="s">
        <v>81</v>
      </c>
      <c r="F3292" s="3" t="str">
        <f>VLOOKUP(E3292,Countries!$B$3:$C$140,2,FALSE)</f>
        <v>Asia</v>
      </c>
      <c r="G3292" s="4">
        <v>2</v>
      </c>
      <c r="H3292" s="4">
        <v>0</v>
      </c>
    </row>
    <row r="3293" spans="2:8" x14ac:dyDescent="0.2">
      <c r="B3293" s="3" t="s">
        <v>160</v>
      </c>
      <c r="C3293" s="3" t="s">
        <v>57</v>
      </c>
      <c r="D3293" s="3" t="str">
        <f>VLOOKUP(C3293,Countries!$B$3:$C$140,2,FALSE)</f>
        <v>Europe/Asia</v>
      </c>
      <c r="E3293" s="3" t="s">
        <v>26</v>
      </c>
      <c r="F3293" s="3" t="str">
        <f>VLOOKUP(E3293,Countries!$B$3:$C$140,2,FALSE)</f>
        <v>Europe</v>
      </c>
      <c r="G3293" s="4">
        <v>4</v>
      </c>
      <c r="H3293" s="4">
        <v>0</v>
      </c>
    </row>
    <row r="3294" spans="2:8" x14ac:dyDescent="0.2">
      <c r="B3294" s="3" t="s">
        <v>160</v>
      </c>
      <c r="C3294" s="3" t="s">
        <v>57</v>
      </c>
      <c r="D3294" s="3" t="str">
        <f>VLOOKUP(C3294,Countries!$B$3:$C$140,2,FALSE)</f>
        <v>Europe/Asia</v>
      </c>
      <c r="E3294" s="3" t="s">
        <v>82</v>
      </c>
      <c r="F3294" s="3" t="e">
        <f>VLOOKUP(E3294,Countries!$B$3:$C$140,2,FALSE)</f>
        <v>#N/A</v>
      </c>
      <c r="G3294" s="4">
        <v>2</v>
      </c>
      <c r="H3294" s="4">
        <v>0</v>
      </c>
    </row>
    <row r="3295" spans="2:8" x14ac:dyDescent="0.2">
      <c r="B3295" s="3" t="s">
        <v>160</v>
      </c>
      <c r="C3295" s="3" t="s">
        <v>57</v>
      </c>
      <c r="D3295" s="3" t="str">
        <f>VLOOKUP(C3295,Countries!$B$3:$C$140,2,FALSE)</f>
        <v>Europe/Asia</v>
      </c>
      <c r="E3295" s="3" t="s">
        <v>46</v>
      </c>
      <c r="F3295" s="3" t="str">
        <f>VLOOKUP(E3295,Countries!$B$3:$C$140,2,FALSE)</f>
        <v>Europe/Asia</v>
      </c>
      <c r="G3295" s="4">
        <v>4</v>
      </c>
      <c r="H3295" s="4">
        <v>201791.54725499998</v>
      </c>
    </row>
    <row r="3296" spans="2:8" x14ac:dyDescent="0.2">
      <c r="B3296" s="3" t="s">
        <v>160</v>
      </c>
      <c r="C3296" s="3" t="s">
        <v>57</v>
      </c>
      <c r="D3296" s="3" t="str">
        <f>VLOOKUP(C3296,Countries!$B$3:$C$140,2,FALSE)</f>
        <v>Europe/Asia</v>
      </c>
      <c r="E3296" s="3" t="s">
        <v>55</v>
      </c>
      <c r="F3296" s="3" t="str">
        <f>VLOOKUP(E3296,Countries!$B$3:$C$140,2,FALSE)</f>
        <v>Europe</v>
      </c>
      <c r="G3296" s="4">
        <v>2</v>
      </c>
      <c r="H3296" s="4">
        <v>0</v>
      </c>
    </row>
    <row r="3297" spans="2:8" x14ac:dyDescent="0.2">
      <c r="B3297" s="3" t="s">
        <v>160</v>
      </c>
      <c r="C3297" s="3" t="s">
        <v>57</v>
      </c>
      <c r="D3297" s="3" t="str">
        <f>VLOOKUP(C3297,Countries!$B$3:$C$140,2,FALSE)</f>
        <v>Europe/Asia</v>
      </c>
      <c r="E3297" s="3" t="s">
        <v>28</v>
      </c>
      <c r="F3297" s="3" t="str">
        <f>VLOOKUP(E3297,Countries!$B$3:$C$140,2,FALSE)</f>
        <v>Europe</v>
      </c>
      <c r="G3297" s="4">
        <v>14</v>
      </c>
      <c r="H3297" s="4">
        <v>9881277.7609950006</v>
      </c>
    </row>
    <row r="3298" spans="2:8" x14ac:dyDescent="0.2">
      <c r="B3298" s="3" t="s">
        <v>160</v>
      </c>
      <c r="C3298" s="3" t="s">
        <v>57</v>
      </c>
      <c r="D3298" s="3" t="str">
        <f>VLOOKUP(C3298,Countries!$B$3:$C$140,2,FALSE)</f>
        <v>Europe/Asia</v>
      </c>
      <c r="E3298" s="3" t="s">
        <v>29</v>
      </c>
      <c r="F3298" s="3" t="str">
        <f>VLOOKUP(E3298,Countries!$B$3:$C$140,2,FALSE)</f>
        <v>Europe</v>
      </c>
      <c r="G3298" s="4">
        <v>6</v>
      </c>
      <c r="H3298" s="4">
        <v>0</v>
      </c>
    </row>
    <row r="3299" spans="2:8" x14ac:dyDescent="0.2">
      <c r="B3299" s="3" t="s">
        <v>160</v>
      </c>
      <c r="C3299" s="3" t="s">
        <v>57</v>
      </c>
      <c r="D3299" s="3" t="str">
        <f>VLOOKUP(C3299,Countries!$B$3:$C$140,2,FALSE)</f>
        <v>Europe/Asia</v>
      </c>
      <c r="E3299" s="3" t="s">
        <v>56</v>
      </c>
      <c r="F3299" s="3" t="str">
        <f>VLOOKUP(E3299,Countries!$B$3:$C$140,2,FALSE)</f>
        <v>Europe</v>
      </c>
      <c r="G3299" s="4">
        <v>2</v>
      </c>
      <c r="H3299" s="4">
        <v>0</v>
      </c>
    </row>
    <row r="3300" spans="2:8" x14ac:dyDescent="0.2">
      <c r="B3300" s="3" t="s">
        <v>160</v>
      </c>
      <c r="C3300" s="3" t="s">
        <v>57</v>
      </c>
      <c r="D3300" s="3" t="str">
        <f>VLOOKUP(C3300,Countries!$B$3:$C$140,2,FALSE)</f>
        <v>Europe/Asia</v>
      </c>
      <c r="E3300" s="3" t="s">
        <v>30</v>
      </c>
      <c r="F3300" s="3" t="str">
        <f>VLOOKUP(E3300,Countries!$B$3:$C$140,2,FALSE)</f>
        <v>Europe</v>
      </c>
      <c r="G3300" s="4">
        <v>2</v>
      </c>
      <c r="H3300" s="4">
        <v>201791.54725499998</v>
      </c>
    </row>
    <row r="3301" spans="2:8" x14ac:dyDescent="0.2">
      <c r="B3301" s="3" t="s">
        <v>160</v>
      </c>
      <c r="C3301" s="3" t="s">
        <v>57</v>
      </c>
      <c r="D3301" s="3" t="str">
        <f>VLOOKUP(C3301,Countries!$B$3:$C$140,2,FALSE)</f>
        <v>Europe/Asia</v>
      </c>
      <c r="E3301" s="3" t="s">
        <v>31</v>
      </c>
      <c r="F3301" s="3" t="str">
        <f>VLOOKUP(E3301,Countries!$B$3:$C$140,2,FALSE)</f>
        <v>Europe</v>
      </c>
      <c r="G3301" s="4">
        <v>6</v>
      </c>
      <c r="H3301" s="4">
        <v>1917019.6989225</v>
      </c>
    </row>
    <row r="3302" spans="2:8" x14ac:dyDescent="0.2">
      <c r="B3302" s="3" t="s">
        <v>160</v>
      </c>
      <c r="C3302" s="3" t="s">
        <v>57</v>
      </c>
      <c r="D3302" s="3" t="str">
        <f>VLOOKUP(C3302,Countries!$B$3:$C$140,2,FALSE)</f>
        <v>Europe/Asia</v>
      </c>
      <c r="E3302" s="3" t="s">
        <v>135</v>
      </c>
      <c r="F3302" s="3" t="str">
        <f>VLOOKUP(E3302,Countries!$B$3:$C$140,2,FALSE)</f>
        <v>Asia</v>
      </c>
      <c r="G3302" s="4">
        <v>2</v>
      </c>
      <c r="H3302" s="4">
        <v>0</v>
      </c>
    </row>
    <row r="3303" spans="2:8" x14ac:dyDescent="0.2">
      <c r="B3303" s="3" t="s">
        <v>160</v>
      </c>
      <c r="C3303" s="3" t="s">
        <v>57</v>
      </c>
      <c r="D3303" s="3" t="str">
        <f>VLOOKUP(C3303,Countries!$B$3:$C$140,2,FALSE)</f>
        <v>Europe/Asia</v>
      </c>
      <c r="E3303" s="3" t="s">
        <v>32</v>
      </c>
      <c r="F3303" s="3" t="str">
        <f>VLOOKUP(E3303,Countries!$B$3:$C$140,2,FALSE)</f>
        <v>Europe</v>
      </c>
      <c r="G3303" s="4">
        <v>6</v>
      </c>
      <c r="H3303" s="4">
        <v>7454485.6379849995</v>
      </c>
    </row>
    <row r="3304" spans="2:8" x14ac:dyDescent="0.2">
      <c r="B3304" s="3" t="s">
        <v>160</v>
      </c>
      <c r="C3304" s="3" t="s">
        <v>57</v>
      </c>
      <c r="D3304" s="3" t="str">
        <f>VLOOKUP(C3304,Countries!$B$3:$C$140,2,FALSE)</f>
        <v>Europe/Asia</v>
      </c>
      <c r="E3304" s="3" t="s">
        <v>58</v>
      </c>
      <c r="F3304" s="3" t="str">
        <f>VLOOKUP(E3304,Countries!$B$3:$C$140,2,FALSE)</f>
        <v>South America</v>
      </c>
      <c r="G3304" s="4">
        <v>6</v>
      </c>
      <c r="H3304" s="4">
        <v>35515312.316880003</v>
      </c>
    </row>
    <row r="3305" spans="2:8" x14ac:dyDescent="0.2">
      <c r="B3305" s="3" t="s">
        <v>160</v>
      </c>
      <c r="C3305" s="3" t="s">
        <v>57</v>
      </c>
      <c r="D3305" s="3" t="str">
        <f>VLOOKUP(C3305,Countries!$B$3:$C$140,2,FALSE)</f>
        <v>Europe/Asia</v>
      </c>
      <c r="E3305" s="3" t="s">
        <v>33</v>
      </c>
      <c r="F3305" s="3" t="str">
        <f>VLOOKUP(E3305,Countries!$B$3:$C$140,2,FALSE)</f>
        <v>North America</v>
      </c>
      <c r="G3305" s="4">
        <v>2</v>
      </c>
      <c r="H3305" s="4">
        <v>0</v>
      </c>
    </row>
    <row r="3306" spans="2:8" x14ac:dyDescent="0.2">
      <c r="B3306" s="3" t="s">
        <v>160</v>
      </c>
      <c r="C3306" s="3" t="s">
        <v>32</v>
      </c>
      <c r="D3306" s="3" t="str">
        <f>VLOOKUP(C3306,Countries!$B$3:$C$140,2,FALSE)</f>
        <v>Europe</v>
      </c>
      <c r="E3306" s="3" t="s">
        <v>34</v>
      </c>
      <c r="F3306" s="3" t="str">
        <f>VLOOKUP(E3306,Countries!$B$3:$C$140,2,FALSE)</f>
        <v>Asia</v>
      </c>
      <c r="G3306" s="4">
        <v>8</v>
      </c>
      <c r="H3306" s="4">
        <v>0</v>
      </c>
    </row>
    <row r="3307" spans="2:8" x14ac:dyDescent="0.2">
      <c r="B3307" s="3" t="s">
        <v>160</v>
      </c>
      <c r="C3307" s="3" t="s">
        <v>32</v>
      </c>
      <c r="D3307" s="3" t="str">
        <f>VLOOKUP(C3307,Countries!$B$3:$C$140,2,FALSE)</f>
        <v>Europe</v>
      </c>
      <c r="E3307" s="3" t="s">
        <v>48</v>
      </c>
      <c r="F3307" s="3" t="str">
        <f>VLOOKUP(E3307,Countries!$B$3:$C$140,2,FALSE)</f>
        <v>Oceania</v>
      </c>
      <c r="G3307" s="4">
        <v>2</v>
      </c>
      <c r="H3307" s="4">
        <v>0</v>
      </c>
    </row>
    <row r="3308" spans="2:8" x14ac:dyDescent="0.2">
      <c r="B3308" s="3" t="s">
        <v>160</v>
      </c>
      <c r="C3308" s="3" t="s">
        <v>32</v>
      </c>
      <c r="D3308" s="3" t="str">
        <f>VLOOKUP(C3308,Countries!$B$3:$C$140,2,FALSE)</f>
        <v>Europe</v>
      </c>
      <c r="E3308" s="3" t="s">
        <v>4</v>
      </c>
      <c r="F3308" s="3" t="str">
        <f>VLOOKUP(E3308,Countries!$B$3:$C$140,2,FALSE)</f>
        <v>Asia</v>
      </c>
      <c r="G3308" s="4">
        <v>4</v>
      </c>
      <c r="H3308" s="4">
        <v>0</v>
      </c>
    </row>
    <row r="3309" spans="2:8" x14ac:dyDescent="0.2">
      <c r="B3309" s="3" t="s">
        <v>160</v>
      </c>
      <c r="C3309" s="3" t="s">
        <v>32</v>
      </c>
      <c r="D3309" s="3" t="str">
        <f>VLOOKUP(C3309,Countries!$B$3:$C$140,2,FALSE)</f>
        <v>Europe</v>
      </c>
      <c r="E3309" s="3" t="s">
        <v>59</v>
      </c>
      <c r="F3309" s="3" t="str">
        <f>VLOOKUP(E3309,Countries!$B$3:$C$140,2,FALSE)</f>
        <v>Europe</v>
      </c>
      <c r="G3309" s="4">
        <v>20</v>
      </c>
      <c r="H3309" s="4">
        <v>0</v>
      </c>
    </row>
    <row r="3310" spans="2:8" x14ac:dyDescent="0.2">
      <c r="B3310" s="3" t="s">
        <v>160</v>
      </c>
      <c r="C3310" s="3" t="s">
        <v>32</v>
      </c>
      <c r="D3310" s="3" t="str">
        <f>VLOOKUP(C3310,Countries!$B$3:$C$140,2,FALSE)</f>
        <v>Europe</v>
      </c>
      <c r="E3310" s="3" t="s">
        <v>7</v>
      </c>
      <c r="F3310" s="3" t="str">
        <f>VLOOKUP(E3310,Countries!$B$3:$C$140,2,FALSE)</f>
        <v>South America</v>
      </c>
      <c r="G3310" s="4">
        <v>20</v>
      </c>
      <c r="H3310" s="4">
        <v>47967462.824729994</v>
      </c>
    </row>
    <row r="3311" spans="2:8" x14ac:dyDescent="0.2">
      <c r="B3311" s="3" t="s">
        <v>160</v>
      </c>
      <c r="C3311" s="3" t="s">
        <v>32</v>
      </c>
      <c r="D3311" s="3" t="str">
        <f>VLOOKUP(C3311,Countries!$B$3:$C$140,2,FALSE)</f>
        <v>Europe</v>
      </c>
      <c r="E3311" s="3" t="s">
        <v>36</v>
      </c>
      <c r="F3311" s="3" t="str">
        <f>VLOOKUP(E3311,Countries!$B$3:$C$140,2,FALSE)</f>
        <v>Europe</v>
      </c>
      <c r="G3311" s="4">
        <v>8</v>
      </c>
      <c r="H3311" s="4">
        <v>7462315.8809850002</v>
      </c>
    </row>
    <row r="3312" spans="2:8" x14ac:dyDescent="0.2">
      <c r="B3312" s="3" t="s">
        <v>160</v>
      </c>
      <c r="C3312" s="3" t="s">
        <v>32</v>
      </c>
      <c r="D3312" s="3" t="str">
        <f>VLOOKUP(C3312,Countries!$B$3:$C$140,2,FALSE)</f>
        <v>Europe</v>
      </c>
      <c r="E3312" s="3" t="s">
        <v>9</v>
      </c>
      <c r="F3312" s="3" t="str">
        <f>VLOOKUP(E3312,Countries!$B$3:$C$140,2,FALSE)</f>
        <v>Europe</v>
      </c>
      <c r="G3312" s="4">
        <v>4</v>
      </c>
      <c r="H3312" s="4">
        <v>14125408.30785</v>
      </c>
    </row>
    <row r="3313" spans="2:8" x14ac:dyDescent="0.2">
      <c r="B3313" s="3" t="s">
        <v>160</v>
      </c>
      <c r="C3313" s="3" t="s">
        <v>32</v>
      </c>
      <c r="D3313" s="3" t="str">
        <f>VLOOKUP(C3313,Countries!$B$3:$C$140,2,FALSE)</f>
        <v>Europe</v>
      </c>
      <c r="E3313" s="3" t="s">
        <v>62</v>
      </c>
      <c r="F3313" s="3" t="str">
        <f>VLOOKUP(E3313,Countries!$B$3:$C$140,2,FALSE)</f>
        <v>Asia</v>
      </c>
      <c r="G3313" s="4">
        <v>4</v>
      </c>
      <c r="H3313" s="4">
        <v>0</v>
      </c>
    </row>
    <row r="3314" spans="2:8" x14ac:dyDescent="0.2">
      <c r="B3314" s="3" t="s">
        <v>160</v>
      </c>
      <c r="C3314" s="3" t="s">
        <v>32</v>
      </c>
      <c r="D3314" s="3" t="str">
        <f>VLOOKUP(C3314,Countries!$B$3:$C$140,2,FALSE)</f>
        <v>Europe</v>
      </c>
      <c r="E3314" s="3" t="s">
        <v>49</v>
      </c>
      <c r="F3314" s="3" t="str">
        <f>VLOOKUP(E3314,Countries!$B$3:$C$140,2,FALSE)</f>
        <v>Europe</v>
      </c>
      <c r="G3314" s="4">
        <v>8</v>
      </c>
      <c r="H3314" s="4">
        <v>0</v>
      </c>
    </row>
    <row r="3315" spans="2:8" x14ac:dyDescent="0.2">
      <c r="B3315" s="3" t="s">
        <v>160</v>
      </c>
      <c r="C3315" s="3" t="s">
        <v>32</v>
      </c>
      <c r="D3315" s="3" t="str">
        <f>VLOOKUP(C3315,Countries!$B$3:$C$140,2,FALSE)</f>
        <v>Europe</v>
      </c>
      <c r="E3315" s="3" t="s">
        <v>50</v>
      </c>
      <c r="F3315" s="3" t="str">
        <f>VLOOKUP(E3315,Countries!$B$3:$C$140,2,FALSE)</f>
        <v>Europe</v>
      </c>
      <c r="G3315" s="4">
        <v>4</v>
      </c>
      <c r="H3315" s="4">
        <v>26232901.143150002</v>
      </c>
    </row>
    <row r="3316" spans="2:8" x14ac:dyDescent="0.2">
      <c r="B3316" s="3" t="s">
        <v>160</v>
      </c>
      <c r="C3316" s="3" t="s">
        <v>32</v>
      </c>
      <c r="D3316" s="3" t="str">
        <f>VLOOKUP(C3316,Countries!$B$3:$C$140,2,FALSE)</f>
        <v>Europe</v>
      </c>
      <c r="E3316" s="3" t="s">
        <v>11</v>
      </c>
      <c r="F3316" s="3" t="str">
        <f>VLOOKUP(E3316,Countries!$B$3:$C$140,2,FALSE)</f>
        <v>Europe</v>
      </c>
      <c r="G3316" s="4">
        <v>8</v>
      </c>
      <c r="H3316" s="4">
        <v>38340393.97845</v>
      </c>
    </row>
    <row r="3317" spans="2:8" x14ac:dyDescent="0.2">
      <c r="B3317" s="3" t="s">
        <v>160</v>
      </c>
      <c r="C3317" s="3" t="s">
        <v>32</v>
      </c>
      <c r="D3317" s="3" t="str">
        <f>VLOOKUP(C3317,Countries!$B$3:$C$140,2,FALSE)</f>
        <v>Europe</v>
      </c>
      <c r="E3317" s="3" t="s">
        <v>12</v>
      </c>
      <c r="F3317" s="3" t="str">
        <f>VLOOKUP(E3317,Countries!$B$3:$C$140,2,FALSE)</f>
        <v>Europe</v>
      </c>
      <c r="G3317" s="4">
        <v>4</v>
      </c>
      <c r="H3317" s="4">
        <v>1614332.3780399999</v>
      </c>
    </row>
    <row r="3318" spans="2:8" x14ac:dyDescent="0.2">
      <c r="B3318" s="3" t="s">
        <v>160</v>
      </c>
      <c r="C3318" s="3" t="s">
        <v>32</v>
      </c>
      <c r="D3318" s="3" t="str">
        <f>VLOOKUP(C3318,Countries!$B$3:$C$140,2,FALSE)</f>
        <v>Europe</v>
      </c>
      <c r="E3318" s="3" t="s">
        <v>39</v>
      </c>
      <c r="F3318" s="3" t="str">
        <f>VLOOKUP(E3318,Countries!$B$3:$C$140,2,FALSE)</f>
        <v>Europe/Asia</v>
      </c>
      <c r="G3318" s="4">
        <v>10</v>
      </c>
      <c r="H3318" s="4">
        <v>0</v>
      </c>
    </row>
    <row r="3319" spans="2:8" x14ac:dyDescent="0.2">
      <c r="B3319" s="3" t="s">
        <v>160</v>
      </c>
      <c r="C3319" s="3" t="s">
        <v>32</v>
      </c>
      <c r="D3319" s="3" t="str">
        <f>VLOOKUP(C3319,Countries!$B$3:$C$140,2,FALSE)</f>
        <v>Europe</v>
      </c>
      <c r="E3319" s="3" t="s">
        <v>13</v>
      </c>
      <c r="F3319" s="3" t="str">
        <f>VLOOKUP(E3319,Countries!$B$3:$C$140,2,FALSE)</f>
        <v>Europe</v>
      </c>
      <c r="G3319" s="4">
        <v>10</v>
      </c>
      <c r="H3319" s="4">
        <v>39349351.714725003</v>
      </c>
    </row>
    <row r="3320" spans="2:8" x14ac:dyDescent="0.2">
      <c r="B3320" s="3" t="s">
        <v>160</v>
      </c>
      <c r="C3320" s="3" t="s">
        <v>32</v>
      </c>
      <c r="D3320" s="3" t="str">
        <f>VLOOKUP(C3320,Countries!$B$3:$C$140,2,FALSE)</f>
        <v>Europe</v>
      </c>
      <c r="E3320" s="3" t="s">
        <v>14</v>
      </c>
      <c r="F3320" s="3" t="str">
        <f>VLOOKUP(E3320,Countries!$B$3:$C$140,2,FALSE)</f>
        <v>Europe</v>
      </c>
      <c r="G3320" s="4">
        <v>6</v>
      </c>
      <c r="H3320" s="4">
        <v>0</v>
      </c>
    </row>
    <row r="3321" spans="2:8" x14ac:dyDescent="0.2">
      <c r="B3321" s="3" t="s">
        <v>160</v>
      </c>
      <c r="C3321" s="3" t="s">
        <v>32</v>
      </c>
      <c r="D3321" s="3" t="str">
        <f>VLOOKUP(C3321,Countries!$B$3:$C$140,2,FALSE)</f>
        <v>Europe</v>
      </c>
      <c r="E3321" s="3" t="s">
        <v>118</v>
      </c>
      <c r="F3321" s="3" t="str">
        <f>VLOOKUP(E3321,Countries!$B$3:$C$140,2,FALSE)</f>
        <v>Africa</v>
      </c>
      <c r="G3321" s="4">
        <v>2</v>
      </c>
      <c r="H3321" s="4">
        <v>0</v>
      </c>
    </row>
    <row r="3322" spans="2:8" x14ac:dyDescent="0.2">
      <c r="B3322" s="3" t="s">
        <v>160</v>
      </c>
      <c r="C3322" s="3" t="s">
        <v>32</v>
      </c>
      <c r="D3322" s="3" t="str">
        <f>VLOOKUP(C3322,Countries!$B$3:$C$140,2,FALSE)</f>
        <v>Europe</v>
      </c>
      <c r="E3322" s="3" t="s">
        <v>51</v>
      </c>
      <c r="F3322" s="3" t="str">
        <f>VLOOKUP(E3322,Countries!$B$3:$C$140,2,FALSE)</f>
        <v>Asia</v>
      </c>
      <c r="G3322" s="4">
        <v>2</v>
      </c>
      <c r="H3322" s="4">
        <v>0</v>
      </c>
    </row>
    <row r="3323" spans="2:8" x14ac:dyDescent="0.2">
      <c r="B3323" s="3" t="s">
        <v>160</v>
      </c>
      <c r="C3323" s="3" t="s">
        <v>32</v>
      </c>
      <c r="D3323" s="3" t="str">
        <f>VLOOKUP(C3323,Countries!$B$3:$C$140,2,FALSE)</f>
        <v>Europe</v>
      </c>
      <c r="E3323" s="3" t="s">
        <v>17</v>
      </c>
      <c r="F3323" s="3" t="str">
        <f>VLOOKUP(E3323,Countries!$B$3:$C$140,2,FALSE)</f>
        <v>Europe</v>
      </c>
      <c r="G3323" s="4">
        <v>10</v>
      </c>
      <c r="H3323" s="4">
        <v>27182513.643150002</v>
      </c>
    </row>
    <row r="3324" spans="2:8" x14ac:dyDescent="0.2">
      <c r="B3324" s="3" t="s">
        <v>160</v>
      </c>
      <c r="C3324" s="3" t="s">
        <v>32</v>
      </c>
      <c r="D3324" s="3" t="str">
        <f>VLOOKUP(C3324,Countries!$B$3:$C$140,2,FALSE)</f>
        <v>Europe</v>
      </c>
      <c r="E3324" s="3" t="s">
        <v>40</v>
      </c>
      <c r="F3324" s="3" t="str">
        <f>VLOOKUP(E3324,Countries!$B$3:$C$140,2,FALSE)</f>
        <v>Asia</v>
      </c>
      <c r="G3324" s="4">
        <v>6</v>
      </c>
      <c r="H3324" s="4">
        <v>0</v>
      </c>
    </row>
    <row r="3325" spans="2:8" x14ac:dyDescent="0.2">
      <c r="B3325" s="3" t="s">
        <v>160</v>
      </c>
      <c r="C3325" s="3" t="s">
        <v>32</v>
      </c>
      <c r="D3325" s="3" t="str">
        <f>VLOOKUP(C3325,Countries!$B$3:$C$140,2,FALSE)</f>
        <v>Europe</v>
      </c>
      <c r="E3325" s="3" t="s">
        <v>121</v>
      </c>
      <c r="F3325" s="3" t="str">
        <f>VLOOKUP(E3325,Countries!$B$3:$C$140,2,FALSE)</f>
        <v>Asia</v>
      </c>
      <c r="G3325" s="4">
        <v>2</v>
      </c>
      <c r="H3325" s="4">
        <v>210000</v>
      </c>
    </row>
    <row r="3326" spans="2:8" x14ac:dyDescent="0.2">
      <c r="B3326" s="3" t="s">
        <v>160</v>
      </c>
      <c r="C3326" s="3" t="s">
        <v>32</v>
      </c>
      <c r="D3326" s="3" t="str">
        <f>VLOOKUP(C3326,Countries!$B$3:$C$140,2,FALSE)</f>
        <v>Europe</v>
      </c>
      <c r="E3326" s="3" t="s">
        <v>66</v>
      </c>
      <c r="F3326" s="3" t="str">
        <f>VLOOKUP(E3326,Countries!$B$3:$C$140,2,FALSE)</f>
        <v>Europe</v>
      </c>
      <c r="G3326" s="4">
        <v>12</v>
      </c>
      <c r="H3326" s="4">
        <v>0</v>
      </c>
    </row>
    <row r="3327" spans="2:8" x14ac:dyDescent="0.2">
      <c r="B3327" s="3" t="s">
        <v>160</v>
      </c>
      <c r="C3327" s="3" t="s">
        <v>32</v>
      </c>
      <c r="D3327" s="3" t="str">
        <f>VLOOKUP(C3327,Countries!$B$3:$C$140,2,FALSE)</f>
        <v>Europe</v>
      </c>
      <c r="E3327" s="3" t="s">
        <v>52</v>
      </c>
      <c r="F3327" s="3" t="str">
        <f>VLOOKUP(E3327,Countries!$B$3:$C$140,2,FALSE)</f>
        <v>Europe</v>
      </c>
      <c r="G3327" s="4">
        <v>8</v>
      </c>
      <c r="H3327" s="4">
        <v>0</v>
      </c>
    </row>
    <row r="3328" spans="2:8" x14ac:dyDescent="0.2">
      <c r="B3328" s="3" t="s">
        <v>160</v>
      </c>
      <c r="C3328" s="3" t="s">
        <v>32</v>
      </c>
      <c r="D3328" s="3" t="str">
        <f>VLOOKUP(C3328,Countries!$B$3:$C$140,2,FALSE)</f>
        <v>Europe</v>
      </c>
      <c r="E3328" s="3" t="s">
        <v>43</v>
      </c>
      <c r="F3328" s="3" t="str">
        <f>VLOOKUP(E3328,Countries!$B$3:$C$140,2,FALSE)</f>
        <v>Europe</v>
      </c>
      <c r="G3328" s="4">
        <v>26</v>
      </c>
      <c r="H3328" s="4">
        <v>0</v>
      </c>
    </row>
    <row r="3329" spans="2:8" x14ac:dyDescent="0.2">
      <c r="B3329" s="3" t="s">
        <v>160</v>
      </c>
      <c r="C3329" s="3" t="s">
        <v>32</v>
      </c>
      <c r="D3329" s="3" t="str">
        <f>VLOOKUP(C3329,Countries!$B$3:$C$140,2,FALSE)</f>
        <v>Europe</v>
      </c>
      <c r="E3329" s="3" t="s">
        <v>23</v>
      </c>
      <c r="F3329" s="3" t="str">
        <f>VLOOKUP(E3329,Countries!$B$3:$C$140,2,FALSE)</f>
        <v>Europe</v>
      </c>
      <c r="G3329" s="4">
        <v>2</v>
      </c>
      <c r="H3329" s="4">
        <v>0</v>
      </c>
    </row>
    <row r="3330" spans="2:8" x14ac:dyDescent="0.2">
      <c r="B3330" s="3" t="s">
        <v>160</v>
      </c>
      <c r="C3330" s="3" t="s">
        <v>32</v>
      </c>
      <c r="D3330" s="3" t="str">
        <f>VLOOKUP(C3330,Countries!$B$3:$C$140,2,FALSE)</f>
        <v>Europe</v>
      </c>
      <c r="E3330" s="3" t="s">
        <v>53</v>
      </c>
      <c r="F3330" s="3" t="str">
        <f>VLOOKUP(E3330,Countries!$B$3:$C$140,2,FALSE)</f>
        <v>Europe</v>
      </c>
      <c r="G3330" s="4">
        <v>4</v>
      </c>
      <c r="H3330" s="4">
        <v>1469042.4640164</v>
      </c>
    </row>
    <row r="3331" spans="2:8" x14ac:dyDescent="0.2">
      <c r="B3331" s="3" t="s">
        <v>160</v>
      </c>
      <c r="C3331" s="3" t="s">
        <v>32</v>
      </c>
      <c r="D3331" s="3" t="str">
        <f>VLOOKUP(C3331,Countries!$B$3:$C$140,2,FALSE)</f>
        <v>Europe</v>
      </c>
      <c r="E3331" s="3" t="s">
        <v>24</v>
      </c>
      <c r="F3331" s="3" t="str">
        <f>VLOOKUP(E3331,Countries!$B$3:$C$140,2,FALSE)</f>
        <v>Africa</v>
      </c>
      <c r="G3331" s="4">
        <v>2</v>
      </c>
      <c r="H3331" s="4">
        <v>0</v>
      </c>
    </row>
    <row r="3332" spans="2:8" x14ac:dyDescent="0.2">
      <c r="B3332" s="3" t="s">
        <v>160</v>
      </c>
      <c r="C3332" s="3" t="s">
        <v>32</v>
      </c>
      <c r="D3332" s="3" t="str">
        <f>VLOOKUP(C3332,Countries!$B$3:$C$140,2,FALSE)</f>
        <v>Europe</v>
      </c>
      <c r="E3332" s="3" t="s">
        <v>80</v>
      </c>
      <c r="F3332" s="3" t="str">
        <f>VLOOKUP(E3332,Countries!$B$3:$C$140,2,FALSE)</f>
        <v>South America</v>
      </c>
      <c r="G3332" s="4">
        <v>2</v>
      </c>
      <c r="H3332" s="4">
        <v>1500000</v>
      </c>
    </row>
    <row r="3333" spans="2:8" x14ac:dyDescent="0.2">
      <c r="B3333" s="3" t="s">
        <v>160</v>
      </c>
      <c r="C3333" s="3" t="s">
        <v>32</v>
      </c>
      <c r="D3333" s="3" t="str">
        <f>VLOOKUP(C3333,Countries!$B$3:$C$140,2,FALSE)</f>
        <v>Europe</v>
      </c>
      <c r="E3333" s="3" t="s">
        <v>54</v>
      </c>
      <c r="F3333" s="3" t="str">
        <f>VLOOKUP(E3333,Countries!$B$3:$C$140,2,FALSE)</f>
        <v>Europe</v>
      </c>
      <c r="G3333" s="4">
        <v>18</v>
      </c>
      <c r="H3333" s="4">
        <v>0</v>
      </c>
    </row>
    <row r="3334" spans="2:8" x14ac:dyDescent="0.2">
      <c r="B3334" s="3" t="s">
        <v>160</v>
      </c>
      <c r="C3334" s="3" t="s">
        <v>32</v>
      </c>
      <c r="D3334" s="3" t="str">
        <f>VLOOKUP(C3334,Countries!$B$3:$C$140,2,FALSE)</f>
        <v>Europe</v>
      </c>
      <c r="E3334" s="3" t="s">
        <v>25</v>
      </c>
      <c r="F3334" s="3" t="str">
        <f>VLOOKUP(E3334,Countries!$B$3:$C$140,2,FALSE)</f>
        <v>Europe</v>
      </c>
      <c r="G3334" s="4">
        <v>6</v>
      </c>
      <c r="H3334" s="4">
        <v>16950489.969420001</v>
      </c>
    </row>
    <row r="3335" spans="2:8" x14ac:dyDescent="0.2">
      <c r="B3335" s="3" t="s">
        <v>160</v>
      </c>
      <c r="C3335" s="3" t="s">
        <v>32</v>
      </c>
      <c r="D3335" s="3" t="str">
        <f>VLOOKUP(C3335,Countries!$B$3:$C$140,2,FALSE)</f>
        <v>Europe</v>
      </c>
      <c r="E3335" s="3" t="s">
        <v>26</v>
      </c>
      <c r="F3335" s="3" t="str">
        <f>VLOOKUP(E3335,Countries!$B$3:$C$140,2,FALSE)</f>
        <v>Europe</v>
      </c>
      <c r="G3335" s="4">
        <v>6</v>
      </c>
      <c r="H3335" s="4">
        <v>0</v>
      </c>
    </row>
    <row r="3336" spans="2:8" x14ac:dyDescent="0.2">
      <c r="B3336" s="3" t="s">
        <v>160</v>
      </c>
      <c r="C3336" s="3" t="s">
        <v>32</v>
      </c>
      <c r="D3336" s="3" t="str">
        <f>VLOOKUP(C3336,Countries!$B$3:$C$140,2,FALSE)</f>
        <v>Europe</v>
      </c>
      <c r="E3336" s="3" t="s">
        <v>46</v>
      </c>
      <c r="F3336" s="3" t="str">
        <f>VLOOKUP(E3336,Countries!$B$3:$C$140,2,FALSE)</f>
        <v>Europe/Asia</v>
      </c>
      <c r="G3336" s="4">
        <v>24</v>
      </c>
      <c r="H3336" s="4">
        <v>150150</v>
      </c>
    </row>
    <row r="3337" spans="2:8" x14ac:dyDescent="0.2">
      <c r="B3337" s="3" t="s">
        <v>160</v>
      </c>
      <c r="C3337" s="3" t="s">
        <v>32</v>
      </c>
      <c r="D3337" s="3" t="str">
        <f>VLOOKUP(C3337,Countries!$B$3:$C$140,2,FALSE)</f>
        <v>Europe</v>
      </c>
      <c r="E3337" s="3" t="s">
        <v>28</v>
      </c>
      <c r="F3337" s="3" t="str">
        <f>VLOOKUP(E3337,Countries!$B$3:$C$140,2,FALSE)</f>
        <v>Europe</v>
      </c>
      <c r="G3337" s="4">
        <v>4</v>
      </c>
      <c r="H3337" s="4">
        <v>0</v>
      </c>
    </row>
    <row r="3338" spans="2:8" x14ac:dyDescent="0.2">
      <c r="B3338" s="3" t="s">
        <v>160</v>
      </c>
      <c r="C3338" s="3" t="s">
        <v>32</v>
      </c>
      <c r="D3338" s="3" t="str">
        <f>VLOOKUP(C3338,Countries!$B$3:$C$140,2,FALSE)</f>
        <v>Europe</v>
      </c>
      <c r="E3338" s="3" t="s">
        <v>29</v>
      </c>
      <c r="F3338" s="3" t="str">
        <f>VLOOKUP(E3338,Countries!$B$3:$C$140,2,FALSE)</f>
        <v>Europe</v>
      </c>
      <c r="G3338" s="4">
        <v>2</v>
      </c>
      <c r="H3338" s="4">
        <v>300000</v>
      </c>
    </row>
    <row r="3339" spans="2:8" x14ac:dyDescent="0.2">
      <c r="B3339" s="3" t="s">
        <v>160</v>
      </c>
      <c r="C3339" s="3" t="s">
        <v>32</v>
      </c>
      <c r="D3339" s="3" t="str">
        <f>VLOOKUP(C3339,Countries!$B$3:$C$140,2,FALSE)</f>
        <v>Europe</v>
      </c>
      <c r="E3339" s="3" t="s">
        <v>56</v>
      </c>
      <c r="F3339" s="3" t="str">
        <f>VLOOKUP(E3339,Countries!$B$3:$C$140,2,FALSE)</f>
        <v>Europe</v>
      </c>
      <c r="G3339" s="4">
        <v>8</v>
      </c>
      <c r="H3339" s="4">
        <v>764683.74102597602</v>
      </c>
    </row>
    <row r="3340" spans="2:8" x14ac:dyDescent="0.2">
      <c r="B3340" s="3" t="s">
        <v>160</v>
      </c>
      <c r="C3340" s="3" t="s">
        <v>32</v>
      </c>
      <c r="D3340" s="3" t="str">
        <f>VLOOKUP(C3340,Countries!$B$3:$C$140,2,FALSE)</f>
        <v>Europe</v>
      </c>
      <c r="E3340" s="3" t="s">
        <v>122</v>
      </c>
      <c r="F3340" s="3" t="str">
        <f>VLOOKUP(E3340,Countries!$B$3:$C$140,2,FALSE)</f>
        <v>Asia</v>
      </c>
      <c r="G3340" s="4">
        <v>6</v>
      </c>
      <c r="H3340" s="4">
        <v>0</v>
      </c>
    </row>
    <row r="3341" spans="2:8" x14ac:dyDescent="0.2">
      <c r="B3341" s="3" t="s">
        <v>160</v>
      </c>
      <c r="C3341" s="3" t="s">
        <v>32</v>
      </c>
      <c r="D3341" s="3" t="str">
        <f>VLOOKUP(C3341,Countries!$B$3:$C$140,2,FALSE)</f>
        <v>Europe</v>
      </c>
      <c r="E3341" s="3" t="s">
        <v>57</v>
      </c>
      <c r="F3341" s="3" t="str">
        <f>VLOOKUP(E3341,Countries!$B$3:$C$140,2,FALSE)</f>
        <v>Europe/Asia</v>
      </c>
      <c r="G3341" s="4">
        <v>2</v>
      </c>
      <c r="H3341" s="4">
        <v>0</v>
      </c>
    </row>
    <row r="3342" spans="2:8" x14ac:dyDescent="0.2">
      <c r="B3342" s="3" t="s">
        <v>160</v>
      </c>
      <c r="C3342" s="3" t="s">
        <v>32</v>
      </c>
      <c r="D3342" s="3" t="str">
        <f>VLOOKUP(C3342,Countries!$B$3:$C$140,2,FALSE)</f>
        <v>Europe</v>
      </c>
      <c r="E3342" s="3" t="s">
        <v>105</v>
      </c>
      <c r="F3342" s="3" t="str">
        <f>VLOOKUP(E3342,Countries!$B$3:$C$140,2,FALSE)</f>
        <v>Asia</v>
      </c>
      <c r="G3342" s="4">
        <v>2</v>
      </c>
      <c r="H3342" s="4">
        <v>7839552.6612</v>
      </c>
    </row>
    <row r="3343" spans="2:8" x14ac:dyDescent="0.2">
      <c r="B3343" s="3" t="s">
        <v>160</v>
      </c>
      <c r="C3343" s="3" t="s">
        <v>32</v>
      </c>
      <c r="D3343" s="3" t="str">
        <f>VLOOKUP(C3343,Countries!$B$3:$C$140,2,FALSE)</f>
        <v>Europe</v>
      </c>
      <c r="E3343" s="3" t="s">
        <v>87</v>
      </c>
      <c r="F3343" s="3" t="str">
        <f>VLOOKUP(E3343,Countries!$B$3:$C$140,2,FALSE)</f>
        <v>Asia</v>
      </c>
      <c r="G3343" s="4">
        <v>10</v>
      </c>
      <c r="H3343" s="4">
        <v>300000</v>
      </c>
    </row>
    <row r="3344" spans="2:8" x14ac:dyDescent="0.2">
      <c r="B3344" s="3" t="s">
        <v>160</v>
      </c>
      <c r="C3344" s="3" t="s">
        <v>86</v>
      </c>
      <c r="D3344" s="3" t="str">
        <f>VLOOKUP(C3344,Countries!$B$3:$C$140,2,FALSE)</f>
        <v>Europe</v>
      </c>
      <c r="E3344" s="3" t="s">
        <v>10</v>
      </c>
      <c r="F3344" s="3" t="str">
        <f>VLOOKUP(E3344,Countries!$B$3:$C$140,2,FALSE)</f>
        <v>Europe</v>
      </c>
      <c r="G3344" s="4">
        <v>2</v>
      </c>
      <c r="H3344" s="4">
        <v>0</v>
      </c>
    </row>
    <row r="3345" spans="2:8" x14ac:dyDescent="0.2">
      <c r="B3345" s="3" t="s">
        <v>160</v>
      </c>
      <c r="C3345" s="3" t="s">
        <v>86</v>
      </c>
      <c r="D3345" s="3" t="str">
        <f>VLOOKUP(C3345,Countries!$B$3:$C$140,2,FALSE)</f>
        <v>Europe</v>
      </c>
      <c r="E3345" s="3" t="s">
        <v>50</v>
      </c>
      <c r="F3345" s="3" t="str">
        <f>VLOOKUP(E3345,Countries!$B$3:$C$140,2,FALSE)</f>
        <v>Europe</v>
      </c>
      <c r="G3345" s="4">
        <v>164</v>
      </c>
      <c r="H3345" s="4">
        <v>50461799.830389008</v>
      </c>
    </row>
    <row r="3346" spans="2:8" x14ac:dyDescent="0.2">
      <c r="B3346" s="3" t="s">
        <v>160</v>
      </c>
      <c r="C3346" s="3" t="s">
        <v>86</v>
      </c>
      <c r="D3346" s="3" t="str">
        <f>VLOOKUP(C3346,Countries!$B$3:$C$140,2,FALSE)</f>
        <v>Europe</v>
      </c>
      <c r="E3346" s="3" t="s">
        <v>11</v>
      </c>
      <c r="F3346" s="3" t="str">
        <f>VLOOKUP(E3346,Countries!$B$3:$C$140,2,FALSE)</f>
        <v>Europe</v>
      </c>
      <c r="G3346" s="4">
        <v>10</v>
      </c>
      <c r="H3346" s="4">
        <v>42762329.785660498</v>
      </c>
    </row>
    <row r="3347" spans="2:8" x14ac:dyDescent="0.2">
      <c r="B3347" s="3" t="s">
        <v>160</v>
      </c>
      <c r="C3347" s="3" t="s">
        <v>86</v>
      </c>
      <c r="D3347" s="3" t="str">
        <f>VLOOKUP(C3347,Countries!$B$3:$C$140,2,FALSE)</f>
        <v>Europe</v>
      </c>
      <c r="E3347" s="3" t="s">
        <v>13</v>
      </c>
      <c r="F3347" s="3" t="str">
        <f>VLOOKUP(E3347,Countries!$B$3:$C$140,2,FALSE)</f>
        <v>Europe</v>
      </c>
      <c r="G3347" s="4">
        <v>2</v>
      </c>
      <c r="H3347" s="4">
        <v>1210749.2835300001</v>
      </c>
    </row>
    <row r="3348" spans="2:8" x14ac:dyDescent="0.2">
      <c r="B3348" s="3" t="s">
        <v>160</v>
      </c>
      <c r="C3348" s="3" t="s">
        <v>86</v>
      </c>
      <c r="D3348" s="3" t="str">
        <f>VLOOKUP(C3348,Countries!$B$3:$C$140,2,FALSE)</f>
        <v>Europe</v>
      </c>
      <c r="E3348" s="3" t="s">
        <v>17</v>
      </c>
      <c r="F3348" s="3" t="str">
        <f>VLOOKUP(E3348,Countries!$B$3:$C$140,2,FALSE)</f>
        <v>Europe</v>
      </c>
      <c r="G3348" s="4">
        <v>2</v>
      </c>
      <c r="H3348" s="4">
        <v>13116450.571575001</v>
      </c>
    </row>
    <row r="3349" spans="2:8" x14ac:dyDescent="0.2">
      <c r="B3349" s="3" t="s">
        <v>160</v>
      </c>
      <c r="C3349" s="3" t="s">
        <v>86</v>
      </c>
      <c r="D3349" s="3" t="str">
        <f>VLOOKUP(C3349,Countries!$B$3:$C$140,2,FALSE)</f>
        <v>Europe</v>
      </c>
      <c r="E3349" s="3" t="s">
        <v>92</v>
      </c>
      <c r="F3349" s="3" t="str">
        <f>VLOOKUP(E3349,Countries!$B$3:$C$140,2,FALSE)</f>
        <v>Asia</v>
      </c>
      <c r="G3349" s="4">
        <v>2</v>
      </c>
      <c r="H3349" s="4">
        <v>11300326.64628</v>
      </c>
    </row>
    <row r="3350" spans="2:8" x14ac:dyDescent="0.2">
      <c r="B3350" s="3" t="s">
        <v>160</v>
      </c>
      <c r="C3350" s="3" t="s">
        <v>86</v>
      </c>
      <c r="D3350" s="3" t="str">
        <f>VLOOKUP(C3350,Countries!$B$3:$C$140,2,FALSE)</f>
        <v>Europe</v>
      </c>
      <c r="E3350" s="3" t="s">
        <v>53</v>
      </c>
      <c r="F3350" s="3" t="str">
        <f>VLOOKUP(E3350,Countries!$B$3:$C$140,2,FALSE)</f>
        <v>Europe</v>
      </c>
      <c r="G3350" s="4">
        <v>2</v>
      </c>
      <c r="H3350" s="4">
        <v>0</v>
      </c>
    </row>
    <row r="3351" spans="2:8" x14ac:dyDescent="0.2">
      <c r="B3351" s="3" t="s">
        <v>160</v>
      </c>
      <c r="C3351" s="3" t="s">
        <v>86</v>
      </c>
      <c r="D3351" s="3" t="str">
        <f>VLOOKUP(C3351,Countries!$B$3:$C$140,2,FALSE)</f>
        <v>Europe</v>
      </c>
      <c r="E3351" s="3" t="s">
        <v>55</v>
      </c>
      <c r="F3351" s="3" t="str">
        <f>VLOOKUP(E3351,Countries!$B$3:$C$140,2,FALSE)</f>
        <v>Europe</v>
      </c>
      <c r="G3351" s="4">
        <v>2</v>
      </c>
      <c r="H3351" s="4">
        <v>25863281.317500003</v>
      </c>
    </row>
    <row r="3352" spans="2:8" x14ac:dyDescent="0.2">
      <c r="B3352" s="3" t="s">
        <v>160</v>
      </c>
      <c r="C3352" s="3" t="s">
        <v>86</v>
      </c>
      <c r="D3352" s="3" t="str">
        <f>VLOOKUP(C3352,Countries!$B$3:$C$140,2,FALSE)</f>
        <v>Europe</v>
      </c>
      <c r="E3352" s="3" t="s">
        <v>30</v>
      </c>
      <c r="F3352" s="3" t="str">
        <f>VLOOKUP(E3352,Countries!$B$3:$C$140,2,FALSE)</f>
        <v>Europe</v>
      </c>
      <c r="G3352" s="4">
        <v>2</v>
      </c>
      <c r="H3352" s="4">
        <v>8071661.8901999993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E6BE-2030-44A7-BD4C-C9954EE5DBDB}">
  <dimension ref="B2:E140"/>
  <sheetViews>
    <sheetView showGridLines="0" workbookViewId="0">
      <selection activeCell="F34" sqref="F34"/>
    </sheetView>
  </sheetViews>
  <sheetFormatPr defaultRowHeight="12.75" x14ac:dyDescent="0.2"/>
  <cols>
    <col min="2" max="2" width="19" bestFit="1" customWidth="1"/>
    <col min="3" max="3" width="16" customWidth="1"/>
    <col min="5" max="5" width="16.7109375" bestFit="1" customWidth="1"/>
  </cols>
  <sheetData>
    <row r="2" spans="2:5" ht="15" x14ac:dyDescent="0.25">
      <c r="B2" s="6" t="s">
        <v>156</v>
      </c>
      <c r="C2" s="6" t="s">
        <v>157</v>
      </c>
      <c r="E2" s="8" t="s">
        <v>158</v>
      </c>
    </row>
    <row r="3" spans="2:5" x14ac:dyDescent="0.2">
      <c r="B3" t="s">
        <v>2</v>
      </c>
      <c r="C3" t="s">
        <v>144</v>
      </c>
      <c r="E3" s="7" t="s">
        <v>144</v>
      </c>
    </row>
    <row r="4" spans="2:5" hidden="1" x14ac:dyDescent="0.2">
      <c r="B4" t="s">
        <v>113</v>
      </c>
      <c r="C4" t="s">
        <v>149</v>
      </c>
      <c r="E4" s="7" t="s">
        <v>145</v>
      </c>
    </row>
    <row r="5" spans="2:5" hidden="1" x14ac:dyDescent="0.2">
      <c r="B5" t="s">
        <v>68</v>
      </c>
      <c r="C5" t="s">
        <v>149</v>
      </c>
      <c r="E5" s="7" t="s">
        <v>146</v>
      </c>
    </row>
    <row r="6" spans="2:5" hidden="1" x14ac:dyDescent="0.2">
      <c r="B6" t="s">
        <v>69</v>
      </c>
      <c r="C6" t="s">
        <v>147</v>
      </c>
      <c r="E6" s="7" t="s">
        <v>147</v>
      </c>
    </row>
    <row r="7" spans="2:5" hidden="1" x14ac:dyDescent="0.2">
      <c r="B7" t="s">
        <v>34</v>
      </c>
      <c r="C7" t="s">
        <v>145</v>
      </c>
      <c r="E7" s="7" t="s">
        <v>148</v>
      </c>
    </row>
    <row r="8" spans="2:5" hidden="1" x14ac:dyDescent="0.2">
      <c r="B8" t="s">
        <v>48</v>
      </c>
      <c r="C8" t="s">
        <v>150</v>
      </c>
      <c r="E8" s="7" t="s">
        <v>149</v>
      </c>
    </row>
    <row r="9" spans="2:5" x14ac:dyDescent="0.2">
      <c r="B9" t="s">
        <v>3</v>
      </c>
      <c r="C9" t="s">
        <v>144</v>
      </c>
      <c r="E9" s="7" t="s">
        <v>150</v>
      </c>
    </row>
    <row r="10" spans="2:5" hidden="1" x14ac:dyDescent="0.2">
      <c r="B10" t="s">
        <v>4</v>
      </c>
      <c r="C10" t="s">
        <v>145</v>
      </c>
    </row>
    <row r="11" spans="2:5" hidden="1" x14ac:dyDescent="0.2">
      <c r="B11" t="s">
        <v>5</v>
      </c>
      <c r="C11" t="s">
        <v>145</v>
      </c>
    </row>
    <row r="12" spans="2:5" x14ac:dyDescent="0.2">
      <c r="B12" t="s">
        <v>59</v>
      </c>
      <c r="C12" t="s">
        <v>144</v>
      </c>
    </row>
    <row r="13" spans="2:5" x14ac:dyDescent="0.2">
      <c r="B13" t="s">
        <v>35</v>
      </c>
      <c r="C13" t="s">
        <v>144</v>
      </c>
    </row>
    <row r="14" spans="2:5" hidden="1" x14ac:dyDescent="0.2">
      <c r="B14" t="s">
        <v>110</v>
      </c>
      <c r="C14" t="s">
        <v>149</v>
      </c>
    </row>
    <row r="15" spans="2:5" hidden="1" x14ac:dyDescent="0.2">
      <c r="B15" t="s">
        <v>99</v>
      </c>
      <c r="C15" t="s">
        <v>148</v>
      </c>
    </row>
    <row r="16" spans="2:5" hidden="1" x14ac:dyDescent="0.2">
      <c r="B16" t="s">
        <v>60</v>
      </c>
      <c r="C16" t="s">
        <v>147</v>
      </c>
    </row>
    <row r="17" spans="2:3" x14ac:dyDescent="0.2">
      <c r="B17" t="s">
        <v>6</v>
      </c>
      <c r="C17" t="s">
        <v>144</v>
      </c>
    </row>
    <row r="18" spans="2:3" hidden="1" x14ac:dyDescent="0.2">
      <c r="B18" t="s">
        <v>7</v>
      </c>
      <c r="C18" t="s">
        <v>147</v>
      </c>
    </row>
    <row r="19" spans="2:3" x14ac:dyDescent="0.2">
      <c r="B19" t="s">
        <v>36</v>
      </c>
      <c r="C19" t="s">
        <v>144</v>
      </c>
    </row>
    <row r="20" spans="2:3" hidden="1" x14ac:dyDescent="0.2">
      <c r="B20" t="s">
        <v>70</v>
      </c>
      <c r="C20" t="s">
        <v>149</v>
      </c>
    </row>
    <row r="21" spans="2:3" hidden="1" x14ac:dyDescent="0.2">
      <c r="B21" t="s">
        <v>106</v>
      </c>
      <c r="C21" t="s">
        <v>149</v>
      </c>
    </row>
    <row r="22" spans="2:3" hidden="1" x14ac:dyDescent="0.2">
      <c r="B22" t="s">
        <v>8</v>
      </c>
      <c r="C22" t="s">
        <v>148</v>
      </c>
    </row>
    <row r="23" spans="2:3" hidden="1" x14ac:dyDescent="0.2">
      <c r="B23" t="s">
        <v>125</v>
      </c>
      <c r="C23" t="s">
        <v>149</v>
      </c>
    </row>
    <row r="24" spans="2:3" hidden="1" x14ac:dyDescent="0.2">
      <c r="B24" t="s">
        <v>88</v>
      </c>
      <c r="C24" t="s">
        <v>147</v>
      </c>
    </row>
    <row r="25" spans="2:3" hidden="1" x14ac:dyDescent="0.2">
      <c r="B25" t="s">
        <v>89</v>
      </c>
      <c r="C25" t="s">
        <v>145</v>
      </c>
    </row>
    <row r="26" spans="2:3" hidden="1" x14ac:dyDescent="0.2">
      <c r="B26" t="s">
        <v>72</v>
      </c>
      <c r="C26" t="s">
        <v>147</v>
      </c>
    </row>
    <row r="27" spans="2:3" hidden="1" x14ac:dyDescent="0.2">
      <c r="B27" t="s">
        <v>137</v>
      </c>
      <c r="C27" t="s">
        <v>149</v>
      </c>
    </row>
    <row r="28" spans="2:3" hidden="1" x14ac:dyDescent="0.2">
      <c r="B28" t="s">
        <v>71</v>
      </c>
      <c r="C28" t="s">
        <v>149</v>
      </c>
    </row>
    <row r="29" spans="2:3" hidden="1" x14ac:dyDescent="0.2">
      <c r="B29" t="s">
        <v>61</v>
      </c>
      <c r="C29" t="s">
        <v>148</v>
      </c>
    </row>
    <row r="30" spans="2:3" hidden="1" x14ac:dyDescent="0.2">
      <c r="B30" t="s">
        <v>37</v>
      </c>
      <c r="C30" t="s">
        <v>149</v>
      </c>
    </row>
    <row r="31" spans="2:3" x14ac:dyDescent="0.2">
      <c r="B31" t="s">
        <v>9</v>
      </c>
      <c r="C31" t="s">
        <v>144</v>
      </c>
    </row>
    <row r="32" spans="2:3" hidden="1" x14ac:dyDescent="0.2">
      <c r="B32" t="s">
        <v>62</v>
      </c>
      <c r="C32" t="s">
        <v>145</v>
      </c>
    </row>
    <row r="33" spans="2:3" x14ac:dyDescent="0.2">
      <c r="B33" t="s">
        <v>49</v>
      </c>
      <c r="C33" t="s">
        <v>144</v>
      </c>
    </row>
    <row r="34" spans="2:3" x14ac:dyDescent="0.2">
      <c r="B34" t="s">
        <v>10</v>
      </c>
      <c r="C34" t="s">
        <v>144</v>
      </c>
    </row>
    <row r="35" spans="2:3" hidden="1" x14ac:dyDescent="0.2">
      <c r="B35" t="s">
        <v>107</v>
      </c>
      <c r="C35" t="s">
        <v>147</v>
      </c>
    </row>
    <row r="36" spans="2:3" hidden="1" x14ac:dyDescent="0.2">
      <c r="B36" t="s">
        <v>63</v>
      </c>
      <c r="C36" t="s">
        <v>149</v>
      </c>
    </row>
    <row r="37" spans="2:3" hidden="1" x14ac:dyDescent="0.2">
      <c r="B37" t="s">
        <v>98</v>
      </c>
      <c r="C37" t="s">
        <v>148</v>
      </c>
    </row>
    <row r="38" spans="2:3" x14ac:dyDescent="0.2">
      <c r="B38" t="s">
        <v>50</v>
      </c>
      <c r="C38" t="s">
        <v>144</v>
      </c>
    </row>
    <row r="39" spans="2:3" x14ac:dyDescent="0.2">
      <c r="B39" t="s">
        <v>38</v>
      </c>
      <c r="C39" t="s">
        <v>144</v>
      </c>
    </row>
    <row r="40" spans="2:3" x14ac:dyDescent="0.2">
      <c r="B40" t="s">
        <v>97</v>
      </c>
      <c r="C40" t="s">
        <v>144</v>
      </c>
    </row>
    <row r="41" spans="2:3" x14ac:dyDescent="0.2">
      <c r="B41" t="s">
        <v>73</v>
      </c>
      <c r="C41" t="s">
        <v>144</v>
      </c>
    </row>
    <row r="42" spans="2:3" x14ac:dyDescent="0.2">
      <c r="B42" t="s">
        <v>12</v>
      </c>
      <c r="C42" t="s">
        <v>144</v>
      </c>
    </row>
    <row r="43" spans="2:3" x14ac:dyDescent="0.2">
      <c r="B43" t="s">
        <v>21</v>
      </c>
      <c r="C43" t="s">
        <v>144</v>
      </c>
    </row>
    <row r="44" spans="2:3" hidden="1" x14ac:dyDescent="0.2">
      <c r="B44" t="s">
        <v>114</v>
      </c>
      <c r="C44" t="s">
        <v>149</v>
      </c>
    </row>
    <row r="45" spans="2:3" hidden="1" x14ac:dyDescent="0.2">
      <c r="B45" t="s">
        <v>111</v>
      </c>
      <c r="C45" t="s">
        <v>149</v>
      </c>
    </row>
    <row r="46" spans="2:3" hidden="1" x14ac:dyDescent="0.2">
      <c r="B46" t="s">
        <v>39</v>
      </c>
      <c r="C46" t="s">
        <v>146</v>
      </c>
    </row>
    <row r="47" spans="2:3" x14ac:dyDescent="0.2">
      <c r="B47" t="s">
        <v>13</v>
      </c>
      <c r="C47" t="s">
        <v>144</v>
      </c>
    </row>
    <row r="48" spans="2:3" hidden="1" x14ac:dyDescent="0.2">
      <c r="B48" t="s">
        <v>64</v>
      </c>
      <c r="C48" t="s">
        <v>149</v>
      </c>
    </row>
    <row r="49" spans="2:3" x14ac:dyDescent="0.2">
      <c r="B49" t="s">
        <v>14</v>
      </c>
      <c r="C49" t="s">
        <v>144</v>
      </c>
    </row>
    <row r="50" spans="2:3" hidden="1" x14ac:dyDescent="0.2">
      <c r="B50" t="s">
        <v>124</v>
      </c>
      <c r="C50" t="s">
        <v>148</v>
      </c>
    </row>
    <row r="51" spans="2:3" hidden="1" x14ac:dyDescent="0.2">
      <c r="B51" t="s">
        <v>118</v>
      </c>
      <c r="C51" t="s">
        <v>149</v>
      </c>
    </row>
    <row r="52" spans="2:3" hidden="1" x14ac:dyDescent="0.2">
      <c r="B52" t="s">
        <v>127</v>
      </c>
      <c r="C52" t="s">
        <v>149</v>
      </c>
    </row>
    <row r="53" spans="2:3" hidden="1" x14ac:dyDescent="0.2">
      <c r="B53" t="s">
        <v>115</v>
      </c>
      <c r="C53" t="s">
        <v>148</v>
      </c>
    </row>
    <row r="54" spans="2:3" hidden="1" x14ac:dyDescent="0.2">
      <c r="B54" t="s">
        <v>108</v>
      </c>
      <c r="C54" t="s">
        <v>148</v>
      </c>
    </row>
    <row r="55" spans="2:3" hidden="1" x14ac:dyDescent="0.2">
      <c r="B55" t="s">
        <v>65</v>
      </c>
      <c r="C55" t="s">
        <v>145</v>
      </c>
    </row>
    <row r="56" spans="2:3" x14ac:dyDescent="0.2">
      <c r="B56" t="s">
        <v>15</v>
      </c>
      <c r="C56" t="s">
        <v>144</v>
      </c>
    </row>
    <row r="57" spans="2:3" x14ac:dyDescent="0.2">
      <c r="B57" t="s">
        <v>75</v>
      </c>
      <c r="C57" t="s">
        <v>144</v>
      </c>
    </row>
    <row r="58" spans="2:3" hidden="1" x14ac:dyDescent="0.2">
      <c r="B58" t="s">
        <v>74</v>
      </c>
      <c r="C58" t="s">
        <v>145</v>
      </c>
    </row>
    <row r="59" spans="2:3" hidden="1" x14ac:dyDescent="0.2">
      <c r="B59" t="s">
        <v>100</v>
      </c>
      <c r="C59" t="s">
        <v>145</v>
      </c>
    </row>
    <row r="60" spans="2:3" hidden="1" x14ac:dyDescent="0.2">
      <c r="B60" t="s">
        <v>16</v>
      </c>
      <c r="C60" t="s">
        <v>145</v>
      </c>
    </row>
    <row r="61" spans="2:3" hidden="1" x14ac:dyDescent="0.2">
      <c r="B61" t="s">
        <v>51</v>
      </c>
      <c r="C61" t="s">
        <v>145</v>
      </c>
    </row>
    <row r="62" spans="2:3" x14ac:dyDescent="0.2">
      <c r="B62" t="s">
        <v>17</v>
      </c>
      <c r="C62" t="s">
        <v>144</v>
      </c>
    </row>
    <row r="63" spans="2:3" hidden="1" x14ac:dyDescent="0.2">
      <c r="B63" t="s">
        <v>102</v>
      </c>
      <c r="C63" t="s">
        <v>148</v>
      </c>
    </row>
    <row r="64" spans="2:3" hidden="1" x14ac:dyDescent="0.2">
      <c r="B64" t="s">
        <v>92</v>
      </c>
      <c r="C64" t="s">
        <v>145</v>
      </c>
    </row>
    <row r="65" spans="2:3" hidden="1" x14ac:dyDescent="0.2">
      <c r="B65" t="s">
        <v>129</v>
      </c>
      <c r="C65" t="s">
        <v>145</v>
      </c>
    </row>
    <row r="66" spans="2:3" hidden="1" x14ac:dyDescent="0.2">
      <c r="B66" t="s">
        <v>40</v>
      </c>
      <c r="C66" t="s">
        <v>145</v>
      </c>
    </row>
    <row r="67" spans="2:3" hidden="1" x14ac:dyDescent="0.2">
      <c r="B67" t="s">
        <v>18</v>
      </c>
      <c r="C67" t="s">
        <v>149</v>
      </c>
    </row>
    <row r="68" spans="2:3" hidden="1" x14ac:dyDescent="0.2">
      <c r="B68" t="s">
        <v>130</v>
      </c>
      <c r="C68" t="s">
        <v>145</v>
      </c>
    </row>
    <row r="69" spans="2:3" hidden="1" x14ac:dyDescent="0.2">
      <c r="B69" t="s">
        <v>93</v>
      </c>
      <c r="C69" t="s">
        <v>145</v>
      </c>
    </row>
    <row r="70" spans="2:3" x14ac:dyDescent="0.2">
      <c r="B70" t="s">
        <v>20</v>
      </c>
      <c r="C70" t="s">
        <v>144</v>
      </c>
    </row>
    <row r="71" spans="2:3" hidden="1" x14ac:dyDescent="0.2">
      <c r="B71" t="s">
        <v>117</v>
      </c>
      <c r="C71" t="s">
        <v>145</v>
      </c>
    </row>
    <row r="72" spans="2:3" hidden="1" x14ac:dyDescent="0.2">
      <c r="B72" t="s">
        <v>121</v>
      </c>
      <c r="C72" t="s">
        <v>145</v>
      </c>
    </row>
    <row r="73" spans="2:3" x14ac:dyDescent="0.2">
      <c r="B73" t="s">
        <v>52</v>
      </c>
      <c r="C73" t="s">
        <v>144</v>
      </c>
    </row>
    <row r="74" spans="2:3" hidden="1" x14ac:dyDescent="0.2">
      <c r="B74" t="s">
        <v>41</v>
      </c>
      <c r="C74" t="s">
        <v>145</v>
      </c>
    </row>
    <row r="75" spans="2:3" hidden="1" x14ac:dyDescent="0.2">
      <c r="B75" t="s">
        <v>119</v>
      </c>
      <c r="C75" t="s">
        <v>149</v>
      </c>
    </row>
    <row r="76" spans="2:3" hidden="1" x14ac:dyDescent="0.2">
      <c r="B76" t="s">
        <v>76</v>
      </c>
      <c r="C76" t="s">
        <v>149</v>
      </c>
    </row>
    <row r="77" spans="2:3" x14ac:dyDescent="0.2">
      <c r="B77" t="s">
        <v>66</v>
      </c>
      <c r="C77" t="s">
        <v>144</v>
      </c>
    </row>
    <row r="78" spans="2:3" x14ac:dyDescent="0.2">
      <c r="B78" t="s">
        <v>77</v>
      </c>
      <c r="C78" t="s">
        <v>144</v>
      </c>
    </row>
    <row r="79" spans="2:3" hidden="1" x14ac:dyDescent="0.2">
      <c r="B79" t="s">
        <v>136</v>
      </c>
      <c r="C79" t="s">
        <v>145</v>
      </c>
    </row>
    <row r="80" spans="2:3" hidden="1" x14ac:dyDescent="0.2">
      <c r="B80" t="s">
        <v>116</v>
      </c>
      <c r="C80" t="s">
        <v>149</v>
      </c>
    </row>
    <row r="81" spans="2:3" hidden="1" x14ac:dyDescent="0.2">
      <c r="B81" t="s">
        <v>131</v>
      </c>
      <c r="C81" t="s">
        <v>145</v>
      </c>
    </row>
    <row r="82" spans="2:3" hidden="1" x14ac:dyDescent="0.2">
      <c r="B82" t="s">
        <v>95</v>
      </c>
      <c r="C82" t="s">
        <v>145</v>
      </c>
    </row>
    <row r="83" spans="2:3" hidden="1" x14ac:dyDescent="0.2">
      <c r="B83" t="s">
        <v>67</v>
      </c>
      <c r="C83" t="s">
        <v>149</v>
      </c>
    </row>
    <row r="84" spans="2:3" x14ac:dyDescent="0.2">
      <c r="B84" t="s">
        <v>22</v>
      </c>
      <c r="C84" t="s">
        <v>144</v>
      </c>
    </row>
    <row r="85" spans="2:3" hidden="1" x14ac:dyDescent="0.2">
      <c r="B85" t="s">
        <v>94</v>
      </c>
      <c r="C85" t="s">
        <v>148</v>
      </c>
    </row>
    <row r="86" spans="2:3" x14ac:dyDescent="0.2">
      <c r="B86" t="s">
        <v>43</v>
      </c>
      <c r="C86" t="s">
        <v>144</v>
      </c>
    </row>
    <row r="87" spans="2:3" x14ac:dyDescent="0.2">
      <c r="B87" t="s">
        <v>23</v>
      </c>
      <c r="C87" t="s">
        <v>144</v>
      </c>
    </row>
    <row r="88" spans="2:3" hidden="1" x14ac:dyDescent="0.2">
      <c r="B88" t="s">
        <v>42</v>
      </c>
      <c r="C88" t="s">
        <v>149</v>
      </c>
    </row>
    <row r="89" spans="2:3" hidden="1" x14ac:dyDescent="0.2">
      <c r="B89" t="s">
        <v>128</v>
      </c>
      <c r="C89" t="s">
        <v>149</v>
      </c>
    </row>
    <row r="90" spans="2:3" hidden="1" x14ac:dyDescent="0.2">
      <c r="B90" t="s">
        <v>123</v>
      </c>
      <c r="C90" t="s">
        <v>145</v>
      </c>
    </row>
    <row r="91" spans="2:3" hidden="1" x14ac:dyDescent="0.2">
      <c r="B91" t="s">
        <v>120</v>
      </c>
      <c r="C91" t="s">
        <v>149</v>
      </c>
    </row>
    <row r="92" spans="2:3" x14ac:dyDescent="0.2">
      <c r="B92" t="s">
        <v>53</v>
      </c>
      <c r="C92" t="s">
        <v>144</v>
      </c>
    </row>
    <row r="93" spans="2:3" hidden="1" x14ac:dyDescent="0.2">
      <c r="B93" t="s">
        <v>103</v>
      </c>
      <c r="C93" t="s">
        <v>150</v>
      </c>
    </row>
    <row r="94" spans="2:3" hidden="1" x14ac:dyDescent="0.2">
      <c r="B94" t="s">
        <v>109</v>
      </c>
      <c r="C94" t="s">
        <v>149</v>
      </c>
    </row>
    <row r="95" spans="2:3" hidden="1" x14ac:dyDescent="0.2">
      <c r="B95" t="s">
        <v>24</v>
      </c>
      <c r="C95" t="s">
        <v>149</v>
      </c>
    </row>
    <row r="96" spans="2:3" x14ac:dyDescent="0.2">
      <c r="B96" t="s">
        <v>78</v>
      </c>
      <c r="C96" t="s">
        <v>144</v>
      </c>
    </row>
    <row r="97" spans="2:3" x14ac:dyDescent="0.2">
      <c r="B97" t="s">
        <v>44</v>
      </c>
      <c r="C97" t="s">
        <v>144</v>
      </c>
    </row>
    <row r="98" spans="2:3" hidden="1" x14ac:dyDescent="0.2">
      <c r="B98" t="s">
        <v>45</v>
      </c>
      <c r="C98" t="s">
        <v>145</v>
      </c>
    </row>
    <row r="99" spans="2:3" hidden="1" x14ac:dyDescent="0.2">
      <c r="B99" t="s">
        <v>132</v>
      </c>
      <c r="C99" t="s">
        <v>148</v>
      </c>
    </row>
    <row r="100" spans="2:3" hidden="1" x14ac:dyDescent="0.2">
      <c r="B100" t="s">
        <v>79</v>
      </c>
      <c r="C100" t="s">
        <v>147</v>
      </c>
    </row>
    <row r="101" spans="2:3" hidden="1" x14ac:dyDescent="0.2">
      <c r="B101" t="s">
        <v>80</v>
      </c>
      <c r="C101" t="s">
        <v>147</v>
      </c>
    </row>
    <row r="102" spans="2:3" x14ac:dyDescent="0.2">
      <c r="B102" t="s">
        <v>54</v>
      </c>
      <c r="C102" t="s">
        <v>144</v>
      </c>
    </row>
    <row r="103" spans="2:3" x14ac:dyDescent="0.2">
      <c r="B103" t="s">
        <v>25</v>
      </c>
      <c r="C103" t="s">
        <v>144</v>
      </c>
    </row>
    <row r="104" spans="2:3" hidden="1" x14ac:dyDescent="0.2">
      <c r="B104" t="s">
        <v>126</v>
      </c>
      <c r="C104" t="s">
        <v>148</v>
      </c>
    </row>
    <row r="105" spans="2:3" hidden="1" x14ac:dyDescent="0.2">
      <c r="B105" t="s">
        <v>81</v>
      </c>
      <c r="C105" t="s">
        <v>145</v>
      </c>
    </row>
    <row r="106" spans="2:3" x14ac:dyDescent="0.2">
      <c r="B106" t="s">
        <v>101</v>
      </c>
      <c r="C106" t="s">
        <v>144</v>
      </c>
    </row>
    <row r="107" spans="2:3" x14ac:dyDescent="0.2">
      <c r="B107" t="s">
        <v>26</v>
      </c>
      <c r="C107" t="s">
        <v>144</v>
      </c>
    </row>
    <row r="108" spans="2:3" hidden="1" x14ac:dyDescent="0.2">
      <c r="B108" t="s">
        <v>46</v>
      </c>
      <c r="C108" t="s">
        <v>146</v>
      </c>
    </row>
    <row r="109" spans="2:3" hidden="1" x14ac:dyDescent="0.2">
      <c r="B109" t="s">
        <v>83</v>
      </c>
      <c r="C109" t="s">
        <v>149</v>
      </c>
    </row>
    <row r="110" spans="2:3" x14ac:dyDescent="0.2">
      <c r="B110" t="s">
        <v>27</v>
      </c>
      <c r="C110" t="s">
        <v>144</v>
      </c>
    </row>
    <row r="111" spans="2:3" hidden="1" x14ac:dyDescent="0.2">
      <c r="B111" t="s">
        <v>19</v>
      </c>
      <c r="C111" t="s">
        <v>145</v>
      </c>
    </row>
    <row r="112" spans="2:3" x14ac:dyDescent="0.2">
      <c r="B112" t="s">
        <v>55</v>
      </c>
      <c r="C112" t="s">
        <v>144</v>
      </c>
    </row>
    <row r="113" spans="2:3" hidden="1" x14ac:dyDescent="0.2">
      <c r="B113" t="s">
        <v>47</v>
      </c>
      <c r="C113" t="s">
        <v>149</v>
      </c>
    </row>
    <row r="114" spans="2:3" x14ac:dyDescent="0.2">
      <c r="B114" t="s">
        <v>28</v>
      </c>
      <c r="C114" t="s">
        <v>144</v>
      </c>
    </row>
    <row r="115" spans="2:3" hidden="1" x14ac:dyDescent="0.2">
      <c r="B115" t="s">
        <v>96</v>
      </c>
      <c r="C115" t="s">
        <v>149</v>
      </c>
    </row>
    <row r="116" spans="2:3" hidden="1" x14ac:dyDescent="0.2">
      <c r="B116" t="s">
        <v>90</v>
      </c>
      <c r="C116" t="s">
        <v>145</v>
      </c>
    </row>
    <row r="117" spans="2:3" x14ac:dyDescent="0.2">
      <c r="B117" t="s">
        <v>56</v>
      </c>
      <c r="C117" t="s">
        <v>144</v>
      </c>
    </row>
    <row r="118" spans="2:3" x14ac:dyDescent="0.2">
      <c r="B118" t="s">
        <v>30</v>
      </c>
      <c r="C118" t="s">
        <v>144</v>
      </c>
    </row>
    <row r="119" spans="2:3" hidden="1" x14ac:dyDescent="0.2">
      <c r="B119" t="s">
        <v>151</v>
      </c>
      <c r="C119" t="s">
        <v>149</v>
      </c>
    </row>
    <row r="120" spans="2:3" x14ac:dyDescent="0.2">
      <c r="B120" t="s">
        <v>11</v>
      </c>
      <c r="C120" t="s">
        <v>144</v>
      </c>
    </row>
    <row r="121" spans="2:3" x14ac:dyDescent="0.2">
      <c r="B121" t="s">
        <v>31</v>
      </c>
      <c r="C121" t="s">
        <v>144</v>
      </c>
    </row>
    <row r="122" spans="2:3" x14ac:dyDescent="0.2">
      <c r="B122" t="s">
        <v>29</v>
      </c>
      <c r="C122" t="s">
        <v>144</v>
      </c>
    </row>
    <row r="123" spans="2:3" hidden="1" x14ac:dyDescent="0.2">
      <c r="B123" t="s">
        <v>139</v>
      </c>
      <c r="C123" t="s">
        <v>145</v>
      </c>
    </row>
    <row r="124" spans="2:3" hidden="1" x14ac:dyDescent="0.2">
      <c r="B124" t="s">
        <v>122</v>
      </c>
      <c r="C124" t="s">
        <v>145</v>
      </c>
    </row>
    <row r="125" spans="2:3" hidden="1" x14ac:dyDescent="0.2">
      <c r="B125" t="s">
        <v>112</v>
      </c>
      <c r="C125" t="s">
        <v>145</v>
      </c>
    </row>
    <row r="126" spans="2:3" hidden="1" x14ac:dyDescent="0.2">
      <c r="B126" t="s">
        <v>133</v>
      </c>
      <c r="C126" t="s">
        <v>149</v>
      </c>
    </row>
    <row r="127" spans="2:3" hidden="1" x14ac:dyDescent="0.2">
      <c r="B127" t="s">
        <v>84</v>
      </c>
      <c r="C127" t="s">
        <v>148</v>
      </c>
    </row>
    <row r="128" spans="2:3" hidden="1" x14ac:dyDescent="0.2">
      <c r="B128" t="s">
        <v>104</v>
      </c>
      <c r="C128" t="s">
        <v>149</v>
      </c>
    </row>
    <row r="129" spans="2:3" hidden="1" x14ac:dyDescent="0.2">
      <c r="B129" t="s">
        <v>57</v>
      </c>
      <c r="C129" t="s">
        <v>146</v>
      </c>
    </row>
    <row r="130" spans="2:3" hidden="1" x14ac:dyDescent="0.2">
      <c r="B130" t="s">
        <v>135</v>
      </c>
      <c r="C130" t="s">
        <v>145</v>
      </c>
    </row>
    <row r="131" spans="2:3" hidden="1" x14ac:dyDescent="0.2">
      <c r="B131" t="s">
        <v>138</v>
      </c>
      <c r="C131" t="s">
        <v>149</v>
      </c>
    </row>
    <row r="132" spans="2:3" x14ac:dyDescent="0.2">
      <c r="B132" t="s">
        <v>32</v>
      </c>
      <c r="C132" t="s">
        <v>144</v>
      </c>
    </row>
    <row r="133" spans="2:3" hidden="1" x14ac:dyDescent="0.2">
      <c r="B133" t="s">
        <v>105</v>
      </c>
      <c r="C133" t="s">
        <v>145</v>
      </c>
    </row>
    <row r="134" spans="2:3" hidden="1" x14ac:dyDescent="0.2">
      <c r="B134" t="s">
        <v>58</v>
      </c>
      <c r="C134" t="s">
        <v>147</v>
      </c>
    </row>
    <row r="135" spans="2:3" hidden="1" x14ac:dyDescent="0.2">
      <c r="B135" t="s">
        <v>33</v>
      </c>
      <c r="C135" t="s">
        <v>148</v>
      </c>
    </row>
    <row r="136" spans="2:3" hidden="1" x14ac:dyDescent="0.2">
      <c r="B136" t="s">
        <v>87</v>
      </c>
      <c r="C136" t="s">
        <v>145</v>
      </c>
    </row>
    <row r="137" spans="2:3" hidden="1" x14ac:dyDescent="0.2">
      <c r="B137" t="s">
        <v>91</v>
      </c>
      <c r="C137" t="s">
        <v>147</v>
      </c>
    </row>
    <row r="138" spans="2:3" hidden="1" x14ac:dyDescent="0.2">
      <c r="B138" t="s">
        <v>85</v>
      </c>
      <c r="C138" t="s">
        <v>145</v>
      </c>
    </row>
    <row r="139" spans="2:3" x14ac:dyDescent="0.2">
      <c r="B139" t="s">
        <v>86</v>
      </c>
      <c r="C139" t="s">
        <v>144</v>
      </c>
    </row>
    <row r="140" spans="2:3" hidden="1" x14ac:dyDescent="0.2">
      <c r="B140" t="s">
        <v>134</v>
      </c>
      <c r="C140" t="s">
        <v>149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4EEE-52CA-4568-B037-D1FEDCE2F42C}">
  <dimension ref="B4:H9"/>
  <sheetViews>
    <sheetView showGridLines="0" workbookViewId="0">
      <selection activeCell="B4" sqref="B4:D4"/>
    </sheetView>
  </sheetViews>
  <sheetFormatPr defaultRowHeight="12.75" x14ac:dyDescent="0.2"/>
  <cols>
    <col min="1" max="1" width="13.85546875" customWidth="1"/>
    <col min="2" max="2" width="25.7109375" customWidth="1"/>
    <col min="3" max="4" width="15.7109375" customWidth="1"/>
  </cols>
  <sheetData>
    <row r="4" spans="2:8" ht="19.5" x14ac:dyDescent="0.3">
      <c r="B4" s="10" t="s">
        <v>159</v>
      </c>
      <c r="C4" s="10"/>
      <c r="D4" s="10"/>
      <c r="H4" s="5"/>
    </row>
    <row r="5" spans="2:8" ht="14.25" x14ac:dyDescent="0.2">
      <c r="B5" s="13" t="s">
        <v>141</v>
      </c>
      <c r="C5" s="14" t="s">
        <v>140</v>
      </c>
      <c r="D5" s="15" t="s">
        <v>160</v>
      </c>
    </row>
    <row r="6" spans="2:8" ht="14.25" x14ac:dyDescent="0.2">
      <c r="B6" s="16" t="s">
        <v>161</v>
      </c>
      <c r="C6" s="17" t="s">
        <v>144</v>
      </c>
      <c r="D6" s="18" t="s">
        <v>144</v>
      </c>
    </row>
    <row r="7" spans="2:8" ht="15.95" customHeight="1" x14ac:dyDescent="0.2">
      <c r="B7" s="16" t="s">
        <v>142</v>
      </c>
      <c r="C7" s="19">
        <f>+SUMIFS(Table1[Number of transfers],Table1[T.I. Continent],C6,Table1[Season],C5)</f>
        <v>10744</v>
      </c>
      <c r="D7" s="20">
        <f>+SUMIFS(Table1[Number of transfers],Table1[T.I. Continent],$D$6,Table1[Season],$D$5)</f>
        <v>11148</v>
      </c>
    </row>
    <row r="8" spans="2:8" ht="14.25" x14ac:dyDescent="0.2">
      <c r="B8" s="16" t="s">
        <v>143</v>
      </c>
      <c r="C8" s="19">
        <f>-SUMIFS(Table1[Number of transfers],Table1[T.O. Continent],C6,Table1[Season],C5)</f>
        <v>-9034</v>
      </c>
      <c r="D8" s="20">
        <f>-SUMIFS(Table1[Number of transfers],Table1[T.O. Continent],D6,Table1[Season],D5)</f>
        <v>-9358</v>
      </c>
    </row>
    <row r="9" spans="2:8" ht="15" x14ac:dyDescent="0.25">
      <c r="B9" s="9" t="s">
        <v>162</v>
      </c>
      <c r="C9" s="12">
        <f>C7+C8</f>
        <v>1710</v>
      </c>
      <c r="D9" s="11">
        <f>D7+D8</f>
        <v>1790</v>
      </c>
    </row>
  </sheetData>
  <mergeCells count="1">
    <mergeCell ref="B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FD11-1BB7-49AB-B494-FC81D2665321}">
  <dimension ref="B1:N49"/>
  <sheetViews>
    <sheetView showGridLines="0" topLeftCell="A24" zoomScale="85" zoomScaleNormal="85" workbookViewId="0">
      <selection activeCell="C7" sqref="C7"/>
    </sheetView>
  </sheetViews>
  <sheetFormatPr defaultRowHeight="12.75" x14ac:dyDescent="0.2"/>
  <cols>
    <col min="2" max="14" width="22.7109375" customWidth="1"/>
  </cols>
  <sheetData>
    <row r="1" spans="2:14" ht="19.5" x14ac:dyDescent="0.3">
      <c r="B1" s="10" t="s">
        <v>170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2:14" ht="13.5" thickBot="1" x14ac:dyDescent="0.25"/>
    <row r="3" spans="2:14" x14ac:dyDescent="0.2">
      <c r="B3" s="22"/>
      <c r="C3" s="23" t="s">
        <v>140</v>
      </c>
      <c r="D3" s="24" t="s">
        <v>140</v>
      </c>
      <c r="E3" s="41" t="s">
        <v>140</v>
      </c>
      <c r="F3" s="24" t="s">
        <v>140</v>
      </c>
      <c r="G3" s="24" t="s">
        <v>140</v>
      </c>
      <c r="H3" s="41" t="s">
        <v>140</v>
      </c>
      <c r="I3" s="24" t="s">
        <v>160</v>
      </c>
      <c r="J3" s="24" t="s">
        <v>160</v>
      </c>
      <c r="K3" s="41" t="s">
        <v>160</v>
      </c>
      <c r="L3" s="24" t="s">
        <v>160</v>
      </c>
      <c r="M3" s="24" t="s">
        <v>160</v>
      </c>
      <c r="N3" s="49" t="s">
        <v>160</v>
      </c>
    </row>
    <row r="4" spans="2:14" ht="13.5" thickBot="1" x14ac:dyDescent="0.25">
      <c r="B4" s="27"/>
      <c r="C4" s="37" t="s">
        <v>163</v>
      </c>
      <c r="D4" s="35" t="s">
        <v>164</v>
      </c>
      <c r="E4" s="42" t="s">
        <v>165</v>
      </c>
      <c r="F4" s="35" t="s">
        <v>166</v>
      </c>
      <c r="G4" s="25" t="s">
        <v>167</v>
      </c>
      <c r="H4" s="42" t="s">
        <v>168</v>
      </c>
      <c r="I4" s="35" t="s">
        <v>163</v>
      </c>
      <c r="J4" s="35" t="s">
        <v>164</v>
      </c>
      <c r="K4" s="42" t="s">
        <v>165</v>
      </c>
      <c r="L4" s="35" t="s">
        <v>166</v>
      </c>
      <c r="M4" s="35" t="s">
        <v>167</v>
      </c>
      <c r="N4" s="50" t="s">
        <v>168</v>
      </c>
    </row>
    <row r="5" spans="2:14" x14ac:dyDescent="0.2">
      <c r="B5" s="29" t="s">
        <v>2</v>
      </c>
      <c r="C5" s="38">
        <f>SUMIFS(Table1[Number of transfers],Table1[Season],'European Transfers by Country'!$C$3,Table1[Transfers incoming (T.I.)],'European Transfers by Country'!B5)</f>
        <v>166</v>
      </c>
      <c r="D5" s="32">
        <f>-SUMIFS(Table1[Number of transfers],Table1[Season],'European Transfers by Country'!$D$3,Table1[Transfers outgoing (T.O.)],'European Transfers by Country'!B5)</f>
        <v>-62</v>
      </c>
      <c r="E5" s="46">
        <f>SUM(C5:D5)</f>
        <v>104</v>
      </c>
      <c r="F5" s="32">
        <f>SUMIFS(Table1[Total club-to-club compensation],Table1[Season],'European Transfers by Country'!$F$3,Table1[Transfers incoming (T.I.)],'European Transfers by Country'!B5)</f>
        <v>393224.78505900002</v>
      </c>
      <c r="G5" s="26">
        <f>-SUMIFS(Table1[Total club-to-club compensation],Table1[Season],'European Transfers by Country'!$G$3,Table1[Transfers outgoing (T.O.)],'European Transfers by Country'!B5)</f>
        <v>-403583.09450999997</v>
      </c>
      <c r="H5" s="43">
        <f>SUM(F5:G5)</f>
        <v>-10358.30945099995</v>
      </c>
      <c r="I5" s="32">
        <f>SUMIFS(Table1[Number of transfers],Table1[Season],'European Transfers by Country'!$I$3,Table1[Transfers incoming (T.I.)],'European Transfers by Country'!B5)</f>
        <v>202</v>
      </c>
      <c r="J5" s="32">
        <f>-SUMIFS(Table1[Number of transfers],Table1[Season],'European Transfers by Country'!$J$3,Table1[Transfers outgoing (T.O.)],'European Transfers by Country'!B5)</f>
        <v>-40</v>
      </c>
      <c r="K5" s="43">
        <f>SUM(I5:J5)</f>
        <v>162</v>
      </c>
      <c r="L5" s="32">
        <f>SUMIFS(Table1[Total club-to-club compensation],Table1[Season],'European Transfers by Country'!$L$3,Table1[Transfers incoming (T.I.)],'European Transfers by Country'!B5)</f>
        <v>0</v>
      </c>
      <c r="M5" s="32">
        <f>-SUMIFS(Table1[Total club-to-club compensation],Table1[Season],'European Transfers by Country'!$M$3,Table1[Transfers outgoing (T.O.)],'European Transfers by Country'!B5)</f>
        <v>-1210749.2835300001</v>
      </c>
      <c r="N5" s="43">
        <f>SUM(L5:M5)</f>
        <v>-1210749.2835300001</v>
      </c>
    </row>
    <row r="6" spans="2:14" x14ac:dyDescent="0.2">
      <c r="B6" s="30" t="s">
        <v>3</v>
      </c>
      <c r="C6" s="39">
        <f>SUMIFS(Table1[Number of transfers],Table1[Season],'European Transfers by Country'!$C$3,Table1[Transfers incoming (T.I.)],'European Transfers by Country'!B6)</f>
        <v>160</v>
      </c>
      <c r="D6" s="33">
        <f>-SUMIFS(Table1[Number of transfers],Table1[Season],'European Transfers by Country'!$D$3,Table1[Transfers outgoing (T.O.)],'European Transfers by Country'!B6)</f>
        <v>-152</v>
      </c>
      <c r="E6" s="47">
        <f t="shared" ref="E6:E48" si="0">SUM(C6:D6)</f>
        <v>8</v>
      </c>
      <c r="F6" s="33">
        <f>SUMIFS(Table1[Total club-to-club compensation],Table1[Season],'European Transfers by Country'!$F$3,Table1[Transfers incoming (T.I.)],'European Transfers by Country'!B6)</f>
        <v>16506548.565459</v>
      </c>
      <c r="G6" s="26">
        <f>-SUMIFS(Table1[Total club-to-club compensation],Table1[Season],'European Transfers by Country'!$G$3,Table1[Transfers outgoing (T.O.)],'European Transfers by Country'!B6)</f>
        <v>-49872780.904073253</v>
      </c>
      <c r="H6" s="44">
        <f t="shared" ref="H6:H48" si="1">SUM(F6:G6)</f>
        <v>-33366232.338614255</v>
      </c>
      <c r="I6" s="33">
        <f>SUMIFS(Table1[Number of transfers],Table1[Season],'European Transfers by Country'!$I$3,Table1[Transfers incoming (T.I.)],'European Transfers by Country'!B6)</f>
        <v>142</v>
      </c>
      <c r="J6" s="33">
        <f>-SUMIFS(Table1[Number of transfers],Table1[Season],'European Transfers by Country'!$J$3,Table1[Transfers outgoing (T.O.)],'European Transfers by Country'!B6)</f>
        <v>-184</v>
      </c>
      <c r="K6" s="44">
        <f t="shared" ref="K6:K48" si="2">SUM(I6:J6)</f>
        <v>-42</v>
      </c>
      <c r="L6" s="33">
        <f>SUMIFS(Table1[Total club-to-club compensation],Table1[Season],'European Transfers by Country'!$L$3,Table1[Transfers incoming (T.I.)],'European Transfers by Country'!B6)</f>
        <v>87246776.692554608</v>
      </c>
      <c r="M6" s="33">
        <f>-SUMIFS(Table1[Total club-to-club compensation],Table1[Season],'European Transfers by Country'!$M$3,Table1[Transfers outgoing (T.O.)],'European Transfers by Country'!B6)</f>
        <v>-41478970.250124499</v>
      </c>
      <c r="N6" s="44">
        <f t="shared" ref="N6:N48" si="3">SUM(L6:M6)</f>
        <v>45767806.442430109</v>
      </c>
    </row>
    <row r="7" spans="2:14" x14ac:dyDescent="0.2">
      <c r="B7" s="30" t="s">
        <v>59</v>
      </c>
      <c r="C7" s="39">
        <f>SUMIFS(Table1[Number of transfers],Table1[Season],'European Transfers by Country'!$C$3,Table1[Transfers incoming (T.I.)],'European Transfers by Country'!B7)</f>
        <v>126</v>
      </c>
      <c r="D7" s="33">
        <f>-SUMIFS(Table1[Number of transfers],Table1[Season],'European Transfers by Country'!$D$3,Table1[Transfers outgoing (T.O.)],'European Transfers by Country'!B7)</f>
        <v>-88</v>
      </c>
      <c r="E7" s="47">
        <f t="shared" si="0"/>
        <v>38</v>
      </c>
      <c r="F7" s="33">
        <f>SUMIFS(Table1[Total club-to-club compensation],Table1[Season],'European Transfers by Country'!$F$3,Table1[Transfers incoming (T.I.)],'European Transfers by Country'!B7)</f>
        <v>4972182.5213339999</v>
      </c>
      <c r="G7" s="26">
        <f>-SUMIFS(Table1[Total club-to-club compensation],Table1[Season],'European Transfers by Country'!$G$3,Table1[Transfers outgoing (T.O.)],'European Transfers by Country'!B7)</f>
        <v>-20428442.505670231</v>
      </c>
      <c r="H7" s="44">
        <f t="shared" si="1"/>
        <v>-15456259.984336231</v>
      </c>
      <c r="I7" s="33">
        <f>SUMIFS(Table1[Number of transfers],Table1[Season],'European Transfers by Country'!$I$3,Table1[Transfers incoming (T.I.)],'European Transfers by Country'!B7)</f>
        <v>180</v>
      </c>
      <c r="J7" s="33">
        <f>-SUMIFS(Table1[Number of transfers],Table1[Season],'European Transfers by Country'!$J$3,Table1[Transfers outgoing (T.O.)],'European Transfers by Country'!B7)</f>
        <v>-100</v>
      </c>
      <c r="K7" s="44">
        <f t="shared" si="2"/>
        <v>80</v>
      </c>
      <c r="L7" s="33">
        <f>SUMIFS(Table1[Total club-to-club compensation],Table1[Season],'European Transfers by Country'!$L$3,Table1[Transfers incoming (T.I.)],'European Transfers by Country'!B7)</f>
        <v>774598.55195700005</v>
      </c>
      <c r="M7" s="33">
        <f>-SUMIFS(Table1[Total club-to-club compensation],Table1[Season],'European Transfers by Country'!$M$3,Table1[Transfers outgoing (T.O.)],'European Transfers by Country'!B7)</f>
        <v>-16787360.067016561</v>
      </c>
      <c r="N7" s="44">
        <f t="shared" si="3"/>
        <v>-16012761.515059561</v>
      </c>
    </row>
    <row r="8" spans="2:14" x14ac:dyDescent="0.2">
      <c r="B8" s="30" t="s">
        <v>35</v>
      </c>
      <c r="C8" s="39">
        <f>SUMIFS(Table1[Number of transfers],Table1[Season],'European Transfers by Country'!$C$3,Table1[Transfers incoming (T.I.)],'European Transfers by Country'!B8)</f>
        <v>486</v>
      </c>
      <c r="D8" s="33">
        <f>-SUMIFS(Table1[Number of transfers],Table1[Season],'European Transfers by Country'!$D$3,Table1[Transfers outgoing (T.O.)],'European Transfers by Country'!B8)</f>
        <v>-316</v>
      </c>
      <c r="E8" s="47">
        <f t="shared" si="0"/>
        <v>170</v>
      </c>
      <c r="F8" s="33">
        <f>SUMIFS(Table1[Total club-to-club compensation],Table1[Season],'European Transfers by Country'!$F$3,Table1[Transfers incoming (T.I.)],'European Transfers by Country'!B8)</f>
        <v>124501421.5697102</v>
      </c>
      <c r="G8" s="26">
        <f>-SUMIFS(Table1[Total club-to-club compensation],Table1[Season],'European Transfers by Country'!$G$3,Table1[Transfers outgoing (T.O.)],'European Transfers by Country'!B8)</f>
        <v>-389971685.58078301</v>
      </c>
      <c r="H8" s="44">
        <f t="shared" si="1"/>
        <v>-265470264.01107281</v>
      </c>
      <c r="I8" s="33">
        <f>SUMIFS(Table1[Number of transfers],Table1[Season],'European Transfers by Country'!$I$3,Table1[Transfers incoming (T.I.)],'European Transfers by Country'!B8)</f>
        <v>536</v>
      </c>
      <c r="J8" s="33">
        <f>-SUMIFS(Table1[Number of transfers],Table1[Season],'European Transfers by Country'!$J$3,Table1[Transfers outgoing (T.O.)],'European Transfers by Country'!B8)</f>
        <v>-376</v>
      </c>
      <c r="K8" s="44">
        <f t="shared" si="2"/>
        <v>160</v>
      </c>
      <c r="L8" s="33">
        <f>SUMIFS(Table1[Total club-to-club compensation],Table1[Season],'European Transfers by Country'!$L$3,Table1[Transfers incoming (T.I.)],'European Transfers by Country'!B8)</f>
        <v>114575037.71468154</v>
      </c>
      <c r="M8" s="33">
        <f>-SUMIFS(Table1[Total club-to-club compensation],Table1[Season],'European Transfers by Country'!$M$3,Table1[Transfers outgoing (T.O.)],'European Transfers by Country'!B8)</f>
        <v>-144812315.2522248</v>
      </c>
      <c r="N8" s="44">
        <f t="shared" si="3"/>
        <v>-30237277.537543267</v>
      </c>
    </row>
    <row r="9" spans="2:14" x14ac:dyDescent="0.2">
      <c r="B9" s="30" t="s">
        <v>6</v>
      </c>
      <c r="C9" s="39">
        <f>SUMIFS(Table1[Number of transfers],Table1[Season],'European Transfers by Country'!$C$3,Table1[Transfers incoming (T.I.)],'European Transfers by Country'!B9)</f>
        <v>126</v>
      </c>
      <c r="D9" s="33">
        <f>-SUMIFS(Table1[Number of transfers],Table1[Season],'European Transfers by Country'!$D$3,Table1[Transfers outgoing (T.O.)],'European Transfers by Country'!B9)</f>
        <v>-124</v>
      </c>
      <c r="E9" s="47">
        <f t="shared" si="0"/>
        <v>2</v>
      </c>
      <c r="F9" s="33">
        <f>SUMIFS(Table1[Total club-to-club compensation],Table1[Season],'European Transfers by Country'!$F$3,Table1[Transfers incoming (T.I.)],'European Transfers by Country'!B9)</f>
        <v>0</v>
      </c>
      <c r="G9" s="26">
        <f>-SUMIFS(Table1[Total club-to-club compensation],Table1[Season],'European Transfers by Country'!$G$3,Table1[Transfers outgoing (T.O.)],'European Transfers by Country'!B9)</f>
        <v>-4839269.2341705002</v>
      </c>
      <c r="H9" s="44">
        <f t="shared" si="1"/>
        <v>-4839269.2341705002</v>
      </c>
      <c r="I9" s="33">
        <f>SUMIFS(Table1[Number of transfers],Table1[Season],'European Transfers by Country'!$I$3,Table1[Transfers incoming (T.I.)],'European Transfers by Country'!B9)</f>
        <v>170</v>
      </c>
      <c r="J9" s="33">
        <f>-SUMIFS(Table1[Number of transfers],Table1[Season],'European Transfers by Country'!$J$3,Table1[Transfers outgoing (T.O.)],'European Transfers by Country'!B9)</f>
        <v>-136</v>
      </c>
      <c r="K9" s="44">
        <f t="shared" si="2"/>
        <v>34</v>
      </c>
      <c r="L9" s="33">
        <f>SUMIFS(Table1[Total club-to-club compensation],Table1[Season],'European Transfers by Country'!$L$3,Table1[Transfers incoming (T.I.)],'European Transfers by Country'!B9)</f>
        <v>23521.407020999999</v>
      </c>
      <c r="M9" s="33">
        <f>-SUMIFS(Table1[Total club-to-club compensation],Table1[Season],'European Transfers by Country'!$M$3,Table1[Transfers outgoing (T.O.)],'European Transfers by Country'!B9)</f>
        <v>-1464233.4258423629</v>
      </c>
      <c r="N9" s="44">
        <f t="shared" si="3"/>
        <v>-1440712.0188213629</v>
      </c>
    </row>
    <row r="10" spans="2:14" x14ac:dyDescent="0.2">
      <c r="B10" s="30" t="s">
        <v>36</v>
      </c>
      <c r="C10" s="39">
        <f>SUMIFS(Table1[Number of transfers],Table1[Season],'European Transfers by Country'!$C$3,Table1[Transfers incoming (T.I.)],'European Transfers by Country'!B10)</f>
        <v>248</v>
      </c>
      <c r="D10" s="33">
        <f>-SUMIFS(Table1[Number of transfers],Table1[Season],'European Transfers by Country'!$D$3,Table1[Transfers outgoing (T.O.)],'European Transfers by Country'!B10)</f>
        <v>-168</v>
      </c>
      <c r="E10" s="47">
        <f t="shared" si="0"/>
        <v>80</v>
      </c>
      <c r="F10" s="33">
        <f>SUMIFS(Table1[Total club-to-club compensation],Table1[Season],'European Transfers by Country'!$F$3,Table1[Transfers incoming (T.I.)],'European Transfers by Country'!B10)</f>
        <v>7208066.5406988757</v>
      </c>
      <c r="G10" s="26">
        <f>-SUMIFS(Table1[Total club-to-club compensation],Table1[Season],'European Transfers by Country'!$G$3,Table1[Transfers outgoing (T.O.)],'European Transfers by Country'!B10)</f>
        <v>-30960204.422308531</v>
      </c>
      <c r="H10" s="44">
        <f t="shared" si="1"/>
        <v>-23752137.881609656</v>
      </c>
      <c r="I10" s="33">
        <f>SUMIFS(Table1[Number of transfers],Table1[Season],'European Transfers by Country'!$I$3,Table1[Transfers incoming (T.I.)],'European Transfers by Country'!B10)</f>
        <v>362</v>
      </c>
      <c r="J10" s="33">
        <f>-SUMIFS(Table1[Number of transfers],Table1[Season],'European Transfers by Country'!$J$3,Table1[Transfers outgoing (T.O.)],'European Transfers by Country'!B10)</f>
        <v>-158</v>
      </c>
      <c r="K10" s="44">
        <f t="shared" si="2"/>
        <v>204</v>
      </c>
      <c r="L10" s="33">
        <f>SUMIFS(Table1[Total club-to-club compensation],Table1[Season],'European Transfers by Country'!$L$3,Table1[Transfers incoming (T.I.)],'European Transfers by Country'!B10)</f>
        <v>10813449.441447154</v>
      </c>
      <c r="M10" s="33">
        <f>-SUMIFS(Table1[Total club-to-club compensation],Table1[Season],'European Transfers by Country'!$M$3,Table1[Transfers outgoing (T.O.)],'European Transfers by Country'!B10)</f>
        <v>-12667695.428343</v>
      </c>
      <c r="N10" s="44">
        <f t="shared" si="3"/>
        <v>-1854245.9868958462</v>
      </c>
    </row>
    <row r="11" spans="2:14" x14ac:dyDescent="0.2">
      <c r="B11" s="30" t="s">
        <v>9</v>
      </c>
      <c r="C11" s="39">
        <f>SUMIFS(Table1[Number of transfers],Table1[Season],'European Transfers by Country'!$C$3,Table1[Transfers incoming (T.I.)],'European Transfers by Country'!B11)</f>
        <v>142</v>
      </c>
      <c r="D11" s="33">
        <f>-SUMIFS(Table1[Number of transfers],Table1[Season],'European Transfers by Country'!$D$3,Table1[Transfers outgoing (T.O.)],'European Transfers by Country'!B11)</f>
        <v>-196</v>
      </c>
      <c r="E11" s="47">
        <f t="shared" si="0"/>
        <v>-54</v>
      </c>
      <c r="F11" s="33">
        <f>SUMIFS(Table1[Total club-to-club compensation],Table1[Season],'European Transfers by Country'!$F$3,Table1[Transfers incoming (T.I.)],'European Transfers by Country'!B11)</f>
        <v>14439723.095604833</v>
      </c>
      <c r="G11" s="26">
        <f>-SUMIFS(Table1[Total club-to-club compensation],Table1[Season],'European Transfers by Country'!$G$3,Table1[Transfers outgoing (T.O.)],'European Transfers by Country'!B11)</f>
        <v>-16818539.750145376</v>
      </c>
      <c r="H11" s="44">
        <f t="shared" si="1"/>
        <v>-2378816.6545405425</v>
      </c>
      <c r="I11" s="33">
        <f>SUMIFS(Table1[Number of transfers],Table1[Season],'European Transfers by Country'!$I$3,Table1[Transfers incoming (T.I.)],'European Transfers by Country'!B11)</f>
        <v>136</v>
      </c>
      <c r="J11" s="33">
        <f>-SUMIFS(Table1[Number of transfers],Table1[Season],'European Transfers by Country'!$J$3,Table1[Transfers outgoing (T.O.)],'European Transfers by Country'!B11)</f>
        <v>-186</v>
      </c>
      <c r="K11" s="44">
        <f t="shared" si="2"/>
        <v>-50</v>
      </c>
      <c r="L11" s="33">
        <f>SUMIFS(Table1[Total club-to-club compensation],Table1[Season],'European Transfers by Country'!$L$3,Table1[Transfers incoming (T.I.)],'European Transfers by Country'!B11)</f>
        <v>10553371.735145465</v>
      </c>
      <c r="M11" s="33">
        <f>-SUMIFS(Table1[Total club-to-club compensation],Table1[Season],'European Transfers by Country'!$M$3,Table1[Transfers outgoing (T.O.)],'European Transfers by Country'!B11)</f>
        <v>-136286025.765816</v>
      </c>
      <c r="N11" s="44">
        <f t="shared" si="3"/>
        <v>-125732654.03067054</v>
      </c>
    </row>
    <row r="12" spans="2:14" x14ac:dyDescent="0.2">
      <c r="B12" s="30" t="s">
        <v>49</v>
      </c>
      <c r="C12" s="39">
        <f>SUMIFS(Table1[Number of transfers],Table1[Season],'European Transfers by Country'!$C$3,Table1[Transfers incoming (T.I.)],'European Transfers by Country'!B12)</f>
        <v>176</v>
      </c>
      <c r="D12" s="33">
        <f>-SUMIFS(Table1[Number of transfers],Table1[Season],'European Transfers by Country'!$D$3,Table1[Transfers outgoing (T.O.)],'European Transfers by Country'!B12)</f>
        <v>-228</v>
      </c>
      <c r="E12" s="47">
        <f t="shared" si="0"/>
        <v>-52</v>
      </c>
      <c r="F12" s="33">
        <f>SUMIFS(Table1[Total club-to-club compensation],Table1[Season],'European Transfers by Country'!$F$3,Table1[Transfers incoming (T.I.)],'European Transfers by Country'!B12)</f>
        <v>5444857.2171569997</v>
      </c>
      <c r="G12" s="26">
        <f>-SUMIFS(Table1[Total club-to-club compensation],Table1[Season],'European Transfers by Country'!$G$3,Table1[Transfers outgoing (T.O.)],'European Transfers by Country'!B12)</f>
        <v>-75578853.047836512</v>
      </c>
      <c r="H12" s="44">
        <f t="shared" si="1"/>
        <v>-70133995.830679506</v>
      </c>
      <c r="I12" s="33">
        <f>SUMIFS(Table1[Number of transfers],Table1[Season],'European Transfers by Country'!$I$3,Table1[Transfers incoming (T.I.)],'European Transfers by Country'!B12)</f>
        <v>228</v>
      </c>
      <c r="J12" s="33">
        <f>-SUMIFS(Table1[Number of transfers],Table1[Season],'European Transfers by Country'!$J$3,Table1[Transfers outgoing (T.O.)],'European Transfers by Country'!B12)</f>
        <v>-204</v>
      </c>
      <c r="K12" s="44">
        <f t="shared" si="2"/>
        <v>24</v>
      </c>
      <c r="L12" s="33">
        <f>SUMIFS(Table1[Total club-to-club compensation],Table1[Season],'European Transfers by Country'!$L$3,Table1[Transfers incoming (T.I.)],'European Transfers by Country'!B12)</f>
        <v>10862004.02939013</v>
      </c>
      <c r="M12" s="33">
        <f>-SUMIFS(Table1[Total club-to-club compensation],Table1[Season],'European Transfers by Country'!$M$3,Table1[Transfers outgoing (T.O.)],'European Transfers by Country'!B12)</f>
        <v>-21406571.0927458</v>
      </c>
      <c r="N12" s="44">
        <f t="shared" si="3"/>
        <v>-10544567.063355669</v>
      </c>
    </row>
    <row r="13" spans="2:14" x14ac:dyDescent="0.2">
      <c r="B13" s="30" t="s">
        <v>10</v>
      </c>
      <c r="C13" s="39">
        <f>SUMIFS(Table1[Number of transfers],Table1[Season],'European Transfers by Country'!$C$3,Table1[Transfers incoming (T.I.)],'European Transfers by Country'!B13)</f>
        <v>146</v>
      </c>
      <c r="D13" s="33">
        <f>-SUMIFS(Table1[Number of transfers],Table1[Season],'European Transfers by Country'!$D$3,Table1[Transfers outgoing (T.O.)],'European Transfers by Country'!B13)</f>
        <v>-180</v>
      </c>
      <c r="E13" s="47">
        <f t="shared" si="0"/>
        <v>-34</v>
      </c>
      <c r="F13" s="33">
        <f>SUMIFS(Table1[Total club-to-club compensation],Table1[Season],'European Transfers by Country'!$F$3,Table1[Transfers incoming (T.I.)],'European Transfers by Country'!B13)</f>
        <v>29242797.980754059</v>
      </c>
      <c r="G13" s="26">
        <f>-SUMIFS(Table1[Total club-to-club compensation],Table1[Season],'European Transfers by Country'!$G$3,Table1[Transfers outgoing (T.O.)],'European Transfers by Country'!B13)</f>
        <v>-37153417.025884345</v>
      </c>
      <c r="H13" s="44">
        <f t="shared" si="1"/>
        <v>-7910619.0451302864</v>
      </c>
      <c r="I13" s="33">
        <f>SUMIFS(Table1[Number of transfers],Table1[Season],'European Transfers by Country'!$I$3,Table1[Transfers incoming (T.I.)],'European Transfers by Country'!B13)</f>
        <v>180</v>
      </c>
      <c r="J13" s="33">
        <f>-SUMIFS(Table1[Number of transfers],Table1[Season],'European Transfers by Country'!$J$3,Table1[Transfers outgoing (T.O.)],'European Transfers by Country'!B13)</f>
        <v>-202</v>
      </c>
      <c r="K13" s="44">
        <f t="shared" si="2"/>
        <v>-22</v>
      </c>
      <c r="L13" s="33">
        <f>SUMIFS(Table1[Total club-to-club compensation],Table1[Season],'European Transfers by Country'!$L$3,Table1[Transfers incoming (T.I.)],'European Transfers by Country'!B13)</f>
        <v>14294018.518763443</v>
      </c>
      <c r="M13" s="33">
        <f>-SUMIFS(Table1[Total club-to-club compensation],Table1[Season],'European Transfers by Country'!$M$3,Table1[Transfers outgoing (T.O.)],'European Transfers by Country'!B13)</f>
        <v>-114042460.13979091</v>
      </c>
      <c r="N13" s="44">
        <f t="shared" si="3"/>
        <v>-99748441.62102747</v>
      </c>
    </row>
    <row r="14" spans="2:14" x14ac:dyDescent="0.2">
      <c r="B14" s="30" t="s">
        <v>50</v>
      </c>
      <c r="C14" s="39">
        <f>SUMIFS(Table1[Number of transfers],Table1[Season],'European Transfers by Country'!$C$3,Table1[Transfers incoming (T.I.)],'European Transfers by Country'!B14)</f>
        <v>950</v>
      </c>
      <c r="D14" s="33">
        <f>-SUMIFS(Table1[Number of transfers],Table1[Season],'European Transfers by Country'!$D$3,Table1[Transfers outgoing (T.O.)],'European Transfers by Country'!B14)</f>
        <v>-856</v>
      </c>
      <c r="E14" s="47">
        <f t="shared" si="0"/>
        <v>94</v>
      </c>
      <c r="F14" s="33">
        <f>SUMIFS(Table1[Total club-to-club compensation],Table1[Season],'European Transfers by Country'!$F$3,Table1[Transfers incoming (T.I.)],'European Transfers by Country'!B14)</f>
        <v>1153121832.9328232</v>
      </c>
      <c r="G14" s="26">
        <f>-SUMIFS(Table1[Total club-to-club compensation],Table1[Season],'European Transfers by Country'!$G$3,Table1[Transfers outgoing (T.O.)],'European Transfers by Country'!B14)</f>
        <v>-729052936.2276026</v>
      </c>
      <c r="H14" s="44">
        <f t="shared" si="1"/>
        <v>424068896.70522058</v>
      </c>
      <c r="I14" s="33">
        <f>SUMIFS(Table1[Number of transfers],Table1[Season],'European Transfers by Country'!$I$3,Table1[Transfers incoming (T.I.)],'European Transfers by Country'!B14)</f>
        <v>1020</v>
      </c>
      <c r="J14" s="33">
        <f>-SUMIFS(Table1[Number of transfers],Table1[Season],'European Transfers by Country'!$J$3,Table1[Transfers outgoing (T.O.)],'European Transfers by Country'!B14)</f>
        <v>-854</v>
      </c>
      <c r="K14" s="44">
        <f t="shared" si="2"/>
        <v>166</v>
      </c>
      <c r="L14" s="33">
        <f>SUMIFS(Table1[Total club-to-club compensation],Table1[Season],'European Transfers by Country'!$L$3,Table1[Transfers incoming (T.I.)],'European Transfers by Country'!B14)</f>
        <v>2169908450.1974936</v>
      </c>
      <c r="M14" s="33">
        <f>-SUMIFS(Table1[Total club-to-club compensation],Table1[Season],'European Transfers by Country'!$M$3,Table1[Transfers outgoing (T.O.)],'European Transfers by Country'!B14)</f>
        <v>-643695911.16647196</v>
      </c>
      <c r="N14" s="44">
        <f t="shared" si="3"/>
        <v>1526212539.0310216</v>
      </c>
    </row>
    <row r="15" spans="2:14" x14ac:dyDescent="0.2">
      <c r="B15" s="30" t="s">
        <v>38</v>
      </c>
      <c r="C15" s="39">
        <f>SUMIFS(Table1[Number of transfers],Table1[Season],'European Transfers by Country'!$C$3,Table1[Transfers incoming (T.I.)],'European Transfers by Country'!B15)</f>
        <v>88</v>
      </c>
      <c r="D15" s="33">
        <f>-SUMIFS(Table1[Number of transfers],Table1[Season],'European Transfers by Country'!$D$3,Table1[Transfers outgoing (T.O.)],'European Transfers by Country'!B15)</f>
        <v>-50</v>
      </c>
      <c r="E15" s="47">
        <f t="shared" si="0"/>
        <v>38</v>
      </c>
      <c r="F15" s="33">
        <f>SUMIFS(Table1[Total club-to-club compensation],Table1[Season],'European Transfers by Country'!$F$3,Table1[Transfers incoming (T.I.)],'European Transfers by Country'!B15)</f>
        <v>161433.237804</v>
      </c>
      <c r="G15" s="26">
        <f>-SUMIFS(Table1[Total club-to-club compensation],Table1[Season],'European Transfers by Country'!$G$3,Table1[Transfers outgoing (T.O.)],'European Transfers by Country'!B15)</f>
        <v>-10129935.672201</v>
      </c>
      <c r="H15" s="44">
        <f t="shared" si="1"/>
        <v>-9968502.4343970008</v>
      </c>
      <c r="I15" s="33">
        <f>SUMIFS(Table1[Number of transfers],Table1[Season],'European Transfers by Country'!$I$3,Table1[Transfers incoming (T.I.)],'European Transfers by Country'!B15)</f>
        <v>106</v>
      </c>
      <c r="J15" s="33">
        <f>-SUMIFS(Table1[Number of transfers],Table1[Season],'European Transfers by Country'!$J$3,Table1[Transfers outgoing (T.O.)],'European Transfers by Country'!B15)</f>
        <v>-30</v>
      </c>
      <c r="K15" s="44">
        <f t="shared" si="2"/>
        <v>76</v>
      </c>
      <c r="L15" s="33">
        <f>SUMIFS(Table1[Total club-to-club compensation],Table1[Season],'European Transfers by Country'!$L$3,Table1[Transfers incoming (T.I.)],'European Transfers by Country'!B15)</f>
        <v>80.716618901999993</v>
      </c>
      <c r="M15" s="33">
        <f>-SUMIFS(Table1[Total club-to-club compensation],Table1[Season],'European Transfers by Country'!$M$3,Table1[Transfers outgoing (T.O.)],'European Transfers by Country'!B15)</f>
        <v>-524658.02286299993</v>
      </c>
      <c r="N15" s="44">
        <f t="shared" si="3"/>
        <v>-524577.30624409788</v>
      </c>
    </row>
    <row r="16" spans="2:14" x14ac:dyDescent="0.2">
      <c r="B16" s="30" t="s">
        <v>97</v>
      </c>
      <c r="C16" s="39">
        <f>SUMIFS(Table1[Number of transfers],Table1[Season],'European Transfers by Country'!$C$3,Table1[Transfers incoming (T.I.)],'European Transfers by Country'!B16)</f>
        <v>56</v>
      </c>
      <c r="D16" s="33">
        <f>-SUMIFS(Table1[Number of transfers],Table1[Season],'European Transfers by Country'!$D$3,Table1[Transfers outgoing (T.O.)],'European Transfers by Country'!B16)</f>
        <v>-14</v>
      </c>
      <c r="E16" s="47">
        <f t="shared" si="0"/>
        <v>42</v>
      </c>
      <c r="F16" s="33">
        <f>SUMIFS(Table1[Total club-to-club compensation],Table1[Season],'European Transfers by Country'!$F$3,Table1[Transfers incoming (T.I.)],'European Transfers by Country'!B16)</f>
        <v>10818.135714</v>
      </c>
      <c r="G16" s="26">
        <f>-SUMIFS(Table1[Total club-to-club compensation],Table1[Season],'European Transfers by Country'!$G$3,Table1[Transfers outgoing (T.O.)],'European Transfers by Country'!B16)</f>
        <v>-20179.1547255</v>
      </c>
      <c r="H16" s="44">
        <f t="shared" si="1"/>
        <v>-9361.0190115000005</v>
      </c>
      <c r="I16" s="33">
        <f>SUMIFS(Table1[Number of transfers],Table1[Season],'European Transfers by Country'!$I$3,Table1[Transfers incoming (T.I.)],'European Transfers by Country'!B16)</f>
        <v>40</v>
      </c>
      <c r="J16" s="33">
        <f>-SUMIFS(Table1[Number of transfers],Table1[Season],'European Transfers by Country'!$J$3,Table1[Transfers outgoing (T.O.)],'European Transfers by Country'!B16)</f>
        <v>-12</v>
      </c>
      <c r="K16" s="44">
        <f t="shared" si="2"/>
        <v>28</v>
      </c>
      <c r="L16" s="33">
        <f>SUMIFS(Table1[Total club-to-club compensation],Table1[Season],'European Transfers by Country'!$L$3,Table1[Transfers incoming (T.I.)],'European Transfers by Country'!B16)</f>
        <v>0</v>
      </c>
      <c r="M16" s="33">
        <f>-SUMIFS(Table1[Total club-to-club compensation],Table1[Season],'European Transfers by Country'!$M$3,Table1[Transfers outgoing (T.O.)],'European Transfers by Country'!B16)</f>
        <v>-194726.44285200001</v>
      </c>
      <c r="N16" s="44">
        <f t="shared" si="3"/>
        <v>-194726.44285200001</v>
      </c>
    </row>
    <row r="17" spans="2:14" x14ac:dyDescent="0.2">
      <c r="B17" s="30" t="s">
        <v>73</v>
      </c>
      <c r="C17" s="39">
        <f>SUMIFS(Table1[Number of transfers],Table1[Season],'European Transfers by Country'!$C$3,Table1[Transfers incoming (T.I.)],'European Transfers by Country'!B17)</f>
        <v>200</v>
      </c>
      <c r="D17" s="33">
        <f>-SUMIFS(Table1[Number of transfers],Table1[Season],'European Transfers by Country'!$D$3,Table1[Transfers outgoing (T.O.)],'European Transfers by Country'!B17)</f>
        <v>-88</v>
      </c>
      <c r="E17" s="47">
        <f t="shared" si="0"/>
        <v>112</v>
      </c>
      <c r="F17" s="33">
        <f>SUMIFS(Table1[Total club-to-club compensation],Table1[Season],'European Transfers by Country'!$F$3,Table1[Transfers incoming (T.I.)],'European Transfers by Country'!B17)</f>
        <v>412712.1914145</v>
      </c>
      <c r="G17" s="26">
        <f>-SUMIFS(Table1[Total club-to-club compensation],Table1[Season],'European Transfers by Country'!$G$3,Table1[Transfers outgoing (T.O.)],'European Transfers by Country'!B17)</f>
        <v>-15315978.436654499</v>
      </c>
      <c r="H17" s="44">
        <f t="shared" si="1"/>
        <v>-14903266.245239999</v>
      </c>
      <c r="I17" s="33">
        <f>SUMIFS(Table1[Number of transfers],Table1[Season],'European Transfers by Country'!$I$3,Table1[Transfers incoming (T.I.)],'European Transfers by Country'!B17)</f>
        <v>236</v>
      </c>
      <c r="J17" s="33">
        <f>-SUMIFS(Table1[Number of transfers],Table1[Season],'European Transfers by Country'!$J$3,Table1[Transfers outgoing (T.O.)],'European Transfers by Country'!B17)</f>
        <v>-96</v>
      </c>
      <c r="K17" s="44">
        <f t="shared" si="2"/>
        <v>140</v>
      </c>
      <c r="L17" s="33">
        <f>SUMIFS(Table1[Total club-to-club compensation],Table1[Season],'European Transfers by Country'!$L$3,Table1[Transfers incoming (T.I.)],'European Transfers by Country'!B17)</f>
        <v>52307.907516840001</v>
      </c>
      <c r="M17" s="33">
        <f>-SUMIFS(Table1[Total club-to-club compensation],Table1[Season],'European Transfers by Country'!$M$3,Table1[Transfers outgoing (T.O.)],'European Transfers by Country'!B17)</f>
        <v>-6153085.6822304996</v>
      </c>
      <c r="N17" s="44">
        <f t="shared" si="3"/>
        <v>-6100777.7747136597</v>
      </c>
    </row>
    <row r="18" spans="2:14" x14ac:dyDescent="0.2">
      <c r="B18" s="30" t="s">
        <v>12</v>
      </c>
      <c r="C18" s="39">
        <f>SUMIFS(Table1[Number of transfers],Table1[Season],'European Transfers by Country'!$C$3,Table1[Transfers incoming (T.I.)],'European Transfers by Country'!B18)</f>
        <v>494</v>
      </c>
      <c r="D18" s="33">
        <f>-SUMIFS(Table1[Number of transfers],Table1[Season],'European Transfers by Country'!$D$3,Table1[Transfers outgoing (T.O.)],'European Transfers by Country'!B18)</f>
        <v>-502</v>
      </c>
      <c r="E18" s="47">
        <f t="shared" si="0"/>
        <v>-8</v>
      </c>
      <c r="F18" s="33">
        <f>SUMIFS(Table1[Total club-to-club compensation],Table1[Season],'European Transfers by Country'!$F$3,Table1[Transfers incoming (T.I.)],'European Transfers by Country'!B18)</f>
        <v>584775973.83836937</v>
      </c>
      <c r="G18" s="26">
        <f>-SUMIFS(Table1[Total club-to-club compensation],Table1[Season],'European Transfers by Country'!$G$3,Table1[Transfers outgoing (T.O.)],'European Transfers by Country'!B18)</f>
        <v>-458997117.62720692</v>
      </c>
      <c r="H18" s="44">
        <f t="shared" si="1"/>
        <v>125778856.21116245</v>
      </c>
      <c r="I18" s="33">
        <f>SUMIFS(Table1[Number of transfers],Table1[Season],'European Transfers by Country'!$I$3,Table1[Transfers incoming (T.I.)],'European Transfers by Country'!B18)</f>
        <v>438</v>
      </c>
      <c r="J18" s="33">
        <f>-SUMIFS(Table1[Number of transfers],Table1[Season],'European Transfers by Country'!$J$3,Table1[Transfers outgoing (T.O.)],'European Transfers by Country'!B18)</f>
        <v>-568</v>
      </c>
      <c r="K18" s="44">
        <f t="shared" si="2"/>
        <v>-130</v>
      </c>
      <c r="L18" s="33">
        <f>SUMIFS(Table1[Total club-to-club compensation],Table1[Season],'European Transfers by Country'!$L$3,Table1[Transfers incoming (T.I.)],'European Transfers by Country'!B18)</f>
        <v>768214773.73881638</v>
      </c>
      <c r="M18" s="33">
        <f>-SUMIFS(Table1[Total club-to-club compensation],Table1[Season],'European Transfers by Country'!$M$3,Table1[Transfers outgoing (T.O.)],'European Transfers by Country'!B18)</f>
        <v>-771883940.85907245</v>
      </c>
      <c r="N18" s="44">
        <f t="shared" si="3"/>
        <v>-3669167.1202560663</v>
      </c>
    </row>
    <row r="19" spans="2:14" x14ac:dyDescent="0.2">
      <c r="B19" s="30" t="s">
        <v>21</v>
      </c>
      <c r="C19" s="39">
        <f>SUMIFS(Table1[Number of transfers],Table1[Season],'European Transfers by Country'!$C$3,Table1[Transfers incoming (T.I.)],'European Transfers by Country'!B19)</f>
        <v>82</v>
      </c>
      <c r="D19" s="33">
        <f>-SUMIFS(Table1[Number of transfers],Table1[Season],'European Transfers by Country'!$D$3,Table1[Transfers outgoing (T.O.)],'European Transfers by Country'!B19)</f>
        <v>-86</v>
      </c>
      <c r="E19" s="47">
        <f t="shared" si="0"/>
        <v>-4</v>
      </c>
      <c r="F19" s="33">
        <f>SUMIFS(Table1[Total club-to-club compensation],Table1[Season],'European Transfers by Country'!$F$3,Table1[Transfers incoming (T.I.)],'European Transfers by Country'!B19)</f>
        <v>0</v>
      </c>
      <c r="G19" s="26">
        <f>-SUMIFS(Table1[Total club-to-club compensation],Table1[Season],'European Transfers by Country'!$G$3,Table1[Transfers outgoing (T.O.)],'European Transfers by Country'!B19)</f>
        <v>-3824550.8009068798</v>
      </c>
      <c r="H19" s="44">
        <f t="shared" si="1"/>
        <v>-3824550.8009068798</v>
      </c>
      <c r="I19" s="33">
        <f>SUMIFS(Table1[Number of transfers],Table1[Season],'European Transfers by Country'!$I$3,Table1[Transfers incoming (T.I.)],'European Transfers by Country'!B19)</f>
        <v>114</v>
      </c>
      <c r="J19" s="33">
        <f>-SUMIFS(Table1[Number of transfers],Table1[Season],'European Transfers by Country'!$J$3,Table1[Transfers outgoing (T.O.)],'European Transfers by Country'!B19)</f>
        <v>-42</v>
      </c>
      <c r="K19" s="44">
        <f t="shared" si="2"/>
        <v>72</v>
      </c>
      <c r="L19" s="33">
        <f>SUMIFS(Table1[Total club-to-club compensation],Table1[Season],'European Transfers by Country'!$L$3,Table1[Transfers incoming (T.I.)],'European Transfers by Country'!B19)</f>
        <v>0</v>
      </c>
      <c r="M19" s="33">
        <f>-SUMIFS(Table1[Total club-to-club compensation],Table1[Season],'European Transfers by Country'!$M$3,Table1[Transfers outgoing (T.O.)],'European Transfers by Country'!B19)</f>
        <v>-161433.237804</v>
      </c>
      <c r="N19" s="44">
        <f t="shared" si="3"/>
        <v>-161433.237804</v>
      </c>
    </row>
    <row r="20" spans="2:14" x14ac:dyDescent="0.2">
      <c r="B20" s="30" t="s">
        <v>13</v>
      </c>
      <c r="C20" s="39">
        <f>SUMIFS(Table1[Number of transfers],Table1[Season],'European Transfers by Country'!$C$3,Table1[Transfers incoming (T.I.)],'European Transfers by Country'!B20)</f>
        <v>578</v>
      </c>
      <c r="D20" s="33">
        <f>-SUMIFS(Table1[Number of transfers],Table1[Season],'European Transfers by Country'!$D$3,Table1[Transfers outgoing (T.O.)],'European Transfers by Country'!B20)</f>
        <v>-516</v>
      </c>
      <c r="E20" s="47">
        <f t="shared" si="0"/>
        <v>62</v>
      </c>
      <c r="F20" s="33">
        <f>SUMIFS(Table1[Total club-to-club compensation],Table1[Season],'European Transfers by Country'!$F$3,Table1[Transfers incoming (T.I.)],'European Transfers by Country'!B20)</f>
        <v>528895232.47284055</v>
      </c>
      <c r="G20" s="26">
        <f>-SUMIFS(Table1[Total club-to-club compensation],Table1[Season],'European Transfers by Country'!$G$3,Table1[Transfers outgoing (T.O.)],'European Transfers by Country'!B20)</f>
        <v>-329384055.33255833</v>
      </c>
      <c r="H20" s="44">
        <f t="shared" si="1"/>
        <v>199511177.14028221</v>
      </c>
      <c r="I20" s="33">
        <f>SUMIFS(Table1[Number of transfers],Table1[Season],'European Transfers by Country'!$I$3,Table1[Transfers incoming (T.I.)],'European Transfers by Country'!B20)</f>
        <v>664</v>
      </c>
      <c r="J20" s="33">
        <f>-SUMIFS(Table1[Number of transfers],Table1[Season],'European Transfers by Country'!$J$3,Table1[Transfers outgoing (T.O.)],'European Transfers by Country'!B20)</f>
        <v>-530</v>
      </c>
      <c r="K20" s="44">
        <f t="shared" si="2"/>
        <v>134</v>
      </c>
      <c r="L20" s="33">
        <f>SUMIFS(Table1[Total club-to-club compensation],Table1[Season],'European Transfers by Country'!$L$3,Table1[Transfers incoming (T.I.)],'European Transfers by Country'!B20)</f>
        <v>644034045.18291509</v>
      </c>
      <c r="M20" s="33">
        <f>-SUMIFS(Table1[Total club-to-club compensation],Table1[Season],'European Transfers by Country'!$M$3,Table1[Transfers outgoing (T.O.)],'European Transfers by Country'!B20)</f>
        <v>-386028000.3074159</v>
      </c>
      <c r="N20" s="44">
        <f t="shared" si="3"/>
        <v>258006044.87549919</v>
      </c>
    </row>
    <row r="21" spans="2:14" x14ac:dyDescent="0.2">
      <c r="B21" s="30" t="s">
        <v>14</v>
      </c>
      <c r="C21" s="39">
        <f>SUMIFS(Table1[Number of transfers],Table1[Season],'European Transfers by Country'!$C$3,Table1[Transfers incoming (T.I.)],'European Transfers by Country'!B21)</f>
        <v>392</v>
      </c>
      <c r="D21" s="33">
        <f>-SUMIFS(Table1[Number of transfers],Table1[Season],'European Transfers by Country'!$D$3,Table1[Transfers outgoing (T.O.)],'European Transfers by Country'!B21)</f>
        <v>-410</v>
      </c>
      <c r="E21" s="47">
        <f t="shared" si="0"/>
        <v>-18</v>
      </c>
      <c r="F21" s="33">
        <f>SUMIFS(Table1[Total club-to-club compensation],Table1[Season],'European Transfers by Country'!$F$3,Table1[Transfers incoming (T.I.)],'European Transfers by Country'!B21)</f>
        <v>35211658.040945157</v>
      </c>
      <c r="G21" s="26">
        <f>-SUMIFS(Table1[Total club-to-club compensation],Table1[Season],'European Transfers by Country'!$G$3,Table1[Transfers outgoing (T.O.)],'European Transfers by Country'!B21)</f>
        <v>-64843199.024795994</v>
      </c>
      <c r="H21" s="44">
        <f t="shared" si="1"/>
        <v>-29631540.983850837</v>
      </c>
      <c r="I21" s="33">
        <f>SUMIFS(Table1[Number of transfers],Table1[Season],'European Transfers by Country'!$I$3,Table1[Transfers incoming (T.I.)],'European Transfers by Country'!B21)</f>
        <v>452</v>
      </c>
      <c r="J21" s="33">
        <f>-SUMIFS(Table1[Number of transfers],Table1[Season],'European Transfers by Country'!$J$3,Table1[Transfers outgoing (T.O.)],'European Transfers by Country'!B21)</f>
        <v>-382</v>
      </c>
      <c r="K21" s="44">
        <f t="shared" si="2"/>
        <v>70</v>
      </c>
      <c r="L21" s="33">
        <f>SUMIFS(Table1[Total club-to-club compensation],Table1[Season],'European Transfers by Country'!$L$3,Table1[Transfers incoming (T.I.)],'European Transfers by Country'!B21)</f>
        <v>15037433.020300502</v>
      </c>
      <c r="M21" s="33">
        <f>-SUMIFS(Table1[Total club-to-club compensation],Table1[Season],'European Transfers by Country'!$M$3,Table1[Transfers outgoing (T.O.)],'European Transfers by Country'!B21)</f>
        <v>-40336508.074037403</v>
      </c>
      <c r="N21" s="44">
        <f t="shared" si="3"/>
        <v>-25299075.053736903</v>
      </c>
    </row>
    <row r="22" spans="2:14" x14ac:dyDescent="0.2">
      <c r="B22" s="30" t="s">
        <v>15</v>
      </c>
      <c r="C22" s="39">
        <f>SUMIFS(Table1[Number of transfers],Table1[Season],'European Transfers by Country'!$C$3,Table1[Transfers incoming (T.I.)],'European Transfers by Country'!B22)</f>
        <v>292</v>
      </c>
      <c r="D22" s="33">
        <f>-SUMIFS(Table1[Number of transfers],Table1[Season],'European Transfers by Country'!$D$3,Table1[Transfers outgoing (T.O.)],'European Transfers by Country'!B22)</f>
        <v>-154</v>
      </c>
      <c r="E22" s="47">
        <f t="shared" si="0"/>
        <v>138</v>
      </c>
      <c r="F22" s="33">
        <f>SUMIFS(Table1[Total club-to-club compensation],Table1[Season],'European Transfers by Country'!$F$3,Table1[Transfers incoming (T.I.)],'European Transfers by Country'!B22)</f>
        <v>1205374.6417650001</v>
      </c>
      <c r="G22" s="26">
        <f>-SUMIFS(Table1[Total club-to-club compensation],Table1[Season],'European Transfers by Country'!$G$3,Table1[Transfers outgoing (T.O.)],'European Transfers by Country'!B22)</f>
        <v>-14492181.427164674</v>
      </c>
      <c r="H22" s="44">
        <f t="shared" si="1"/>
        <v>-13286806.785399674</v>
      </c>
      <c r="I22" s="33">
        <f>SUMIFS(Table1[Number of transfers],Table1[Season],'European Transfers by Country'!$I$3,Table1[Transfers incoming (T.I.)],'European Transfers by Country'!B22)</f>
        <v>432</v>
      </c>
      <c r="J22" s="33">
        <f>-SUMIFS(Table1[Number of transfers],Table1[Season],'European Transfers by Country'!$J$3,Table1[Transfers outgoing (T.O.)],'European Transfers by Country'!B22)</f>
        <v>-162</v>
      </c>
      <c r="K22" s="44">
        <f t="shared" si="2"/>
        <v>270</v>
      </c>
      <c r="L22" s="33">
        <f>SUMIFS(Table1[Total club-to-club compensation],Table1[Season],'European Transfers by Country'!$L$3,Table1[Transfers incoming (T.I.)],'European Transfers by Country'!B22)</f>
        <v>2736869.8241974534</v>
      </c>
      <c r="M22" s="33">
        <f>-SUMIFS(Table1[Total club-to-club compensation],Table1[Season],'European Transfers by Country'!$M$3,Table1[Transfers outgoing (T.O.)],'European Transfers by Country'!B22)</f>
        <v>-5897657.1203223001</v>
      </c>
      <c r="N22" s="44">
        <f t="shared" si="3"/>
        <v>-3160787.2961248467</v>
      </c>
    </row>
    <row r="23" spans="2:14" x14ac:dyDescent="0.2">
      <c r="B23" s="30" t="s">
        <v>75</v>
      </c>
      <c r="C23" s="39">
        <f>SUMIFS(Table1[Number of transfers],Table1[Season],'European Transfers by Country'!$C$3,Table1[Transfers incoming (T.I.)],'European Transfers by Country'!B23)</f>
        <v>98</v>
      </c>
      <c r="D23" s="33">
        <f>-SUMIFS(Table1[Number of transfers],Table1[Season],'European Transfers by Country'!$D$3,Table1[Transfers outgoing (T.O.)],'European Transfers by Country'!B23)</f>
        <v>-86</v>
      </c>
      <c r="E23" s="47">
        <f t="shared" si="0"/>
        <v>12</v>
      </c>
      <c r="F23" s="33">
        <f>SUMIFS(Table1[Total club-to-club compensation],Table1[Season],'European Transfers by Country'!$F$3,Table1[Transfers incoming (T.I.)],'European Transfers by Country'!B23)</f>
        <v>0</v>
      </c>
      <c r="G23" s="26">
        <f>-SUMIFS(Table1[Total club-to-club compensation],Table1[Season],'European Transfers by Country'!$G$3,Table1[Transfers outgoing (T.O.)],'European Transfers by Country'!B23)</f>
        <v>-8027998.8342758995</v>
      </c>
      <c r="H23" s="44">
        <f t="shared" si="1"/>
        <v>-8027998.8342758995</v>
      </c>
      <c r="I23" s="33">
        <f>SUMIFS(Table1[Number of transfers],Table1[Season],'European Transfers by Country'!$I$3,Table1[Transfers incoming (T.I.)],'European Transfers by Country'!B23)</f>
        <v>112</v>
      </c>
      <c r="J23" s="33">
        <f>-SUMIFS(Table1[Number of transfers],Table1[Season],'European Transfers by Country'!$J$3,Table1[Transfers outgoing (T.O.)],'European Transfers by Country'!B23)</f>
        <v>-58</v>
      </c>
      <c r="K23" s="44">
        <f t="shared" si="2"/>
        <v>54</v>
      </c>
      <c r="L23" s="33">
        <f>SUMIFS(Table1[Total club-to-club compensation],Table1[Season],'European Transfers by Country'!$L$3,Table1[Transfers incoming (T.I.)],'European Transfers by Country'!B23)</f>
        <v>128486.48042399999</v>
      </c>
      <c r="M23" s="33">
        <f>-SUMIFS(Table1[Total club-to-club compensation],Table1[Season],'European Transfers by Country'!$M$3,Table1[Transfers outgoing (T.O.)],'European Transfers by Country'!B23)</f>
        <v>-3784303.9243074004</v>
      </c>
      <c r="N23" s="44">
        <f t="shared" si="3"/>
        <v>-3655817.4438834004</v>
      </c>
    </row>
    <row r="24" spans="2:14" x14ac:dyDescent="0.2">
      <c r="B24" s="30" t="s">
        <v>17</v>
      </c>
      <c r="C24" s="39">
        <f>SUMIFS(Table1[Number of transfers],Table1[Season],'European Transfers by Country'!$C$3,Table1[Transfers incoming (T.I.)],'European Transfers by Country'!B24)</f>
        <v>592</v>
      </c>
      <c r="D24" s="33">
        <f>-SUMIFS(Table1[Number of transfers],Table1[Season],'European Transfers by Country'!$D$3,Table1[Transfers outgoing (T.O.)],'European Transfers by Country'!B24)</f>
        <v>-418</v>
      </c>
      <c r="E24" s="47">
        <f t="shared" si="0"/>
        <v>174</v>
      </c>
      <c r="F24" s="33">
        <f>SUMIFS(Table1[Total club-to-club compensation],Table1[Season],'European Transfers by Country'!$F$3,Table1[Transfers incoming (T.I.)],'European Transfers by Country'!B24)</f>
        <v>1001273097.7879421</v>
      </c>
      <c r="G24" s="26">
        <f>-SUMIFS(Table1[Total club-to-club compensation],Table1[Season],'European Transfers by Country'!$G$3,Table1[Transfers outgoing (T.O.)],'European Transfers by Country'!B24)</f>
        <v>-826210236.96433938</v>
      </c>
      <c r="H24" s="44">
        <f t="shared" si="1"/>
        <v>175062860.82360268</v>
      </c>
      <c r="I24" s="33">
        <f>SUMIFS(Table1[Number of transfers],Table1[Season],'European Transfers by Country'!$I$3,Table1[Transfers incoming (T.I.)],'European Transfers by Country'!B24)</f>
        <v>542</v>
      </c>
      <c r="J24" s="33">
        <f>-SUMIFS(Table1[Number of transfers],Table1[Season],'European Transfers by Country'!$J$3,Table1[Transfers outgoing (T.O.)],'European Transfers by Country'!B24)</f>
        <v>-550</v>
      </c>
      <c r="K24" s="44">
        <f t="shared" si="2"/>
        <v>-8</v>
      </c>
      <c r="L24" s="33">
        <f>SUMIFS(Table1[Total club-to-club compensation],Table1[Season],'European Transfers by Country'!$L$3,Table1[Transfers incoming (T.I.)],'European Transfers by Country'!B24)</f>
        <v>905515194.47505784</v>
      </c>
      <c r="M24" s="33">
        <f>-SUMIFS(Table1[Total club-to-club compensation],Table1[Season],'European Transfers by Country'!$M$3,Table1[Transfers outgoing (T.O.)],'European Transfers by Country'!B24)</f>
        <v>-956236782.03360498</v>
      </c>
      <c r="N24" s="44">
        <f t="shared" si="3"/>
        <v>-50721587.558547139</v>
      </c>
    </row>
    <row r="25" spans="2:14" x14ac:dyDescent="0.2">
      <c r="B25" s="30" t="s">
        <v>20</v>
      </c>
      <c r="C25" s="39">
        <f>SUMIFS(Table1[Number of transfers],Table1[Season],'European Transfers by Country'!$C$3,Table1[Transfers incoming (T.I.)],'European Transfers by Country'!B25)</f>
        <v>0</v>
      </c>
      <c r="D25" s="33">
        <f>-SUMIFS(Table1[Number of transfers],Table1[Season],'European Transfers by Country'!$D$3,Table1[Transfers outgoing (T.O.)],'European Transfers by Country'!B25)</f>
        <v>-12</v>
      </c>
      <c r="E25" s="47">
        <f t="shared" si="0"/>
        <v>-12</v>
      </c>
      <c r="F25" s="33">
        <f>SUMIFS(Table1[Total club-to-club compensation],Table1[Season],'European Transfers by Country'!$F$3,Table1[Transfers incoming (T.I.)],'European Transfers by Country'!B25)</f>
        <v>0</v>
      </c>
      <c r="G25" s="26">
        <f>-SUMIFS(Table1[Total club-to-club compensation],Table1[Season],'European Transfers by Country'!$G$3,Table1[Transfers outgoing (T.O.)],'European Transfers by Country'!B25)</f>
        <v>0</v>
      </c>
      <c r="H25" s="44">
        <f t="shared" si="1"/>
        <v>0</v>
      </c>
      <c r="I25" s="33">
        <f>SUMIFS(Table1[Number of transfers],Table1[Season],'European Transfers by Country'!$I$3,Table1[Transfers incoming (T.I.)],'European Transfers by Country'!B25)</f>
        <v>4</v>
      </c>
      <c r="J25" s="33">
        <f>-SUMIFS(Table1[Number of transfers],Table1[Season],'European Transfers by Country'!$J$3,Table1[Transfers outgoing (T.O.)],'European Transfers by Country'!B25)</f>
        <v>-28</v>
      </c>
      <c r="K25" s="44">
        <f t="shared" si="2"/>
        <v>-24</v>
      </c>
      <c r="L25" s="33">
        <f>SUMIFS(Table1[Total club-to-club compensation],Table1[Season],'European Transfers by Country'!$L$3,Table1[Transfers incoming (T.I.)],'European Transfers by Country'!B25)</f>
        <v>0</v>
      </c>
      <c r="M25" s="33">
        <f>-SUMIFS(Table1[Total club-to-club compensation],Table1[Season],'European Transfers by Country'!$M$3,Table1[Transfers outgoing (T.O.)],'European Transfers by Country'!B25)</f>
        <v>0</v>
      </c>
      <c r="N25" s="44">
        <f t="shared" si="3"/>
        <v>0</v>
      </c>
    </row>
    <row r="26" spans="2:14" x14ac:dyDescent="0.2">
      <c r="B26" s="30" t="s">
        <v>52</v>
      </c>
      <c r="C26" s="39">
        <f>SUMIFS(Table1[Number of transfers],Table1[Season],'European Transfers by Country'!$C$3,Table1[Transfers incoming (T.I.)],'European Transfers by Country'!B26)</f>
        <v>102</v>
      </c>
      <c r="D26" s="33">
        <f>-SUMIFS(Table1[Number of transfers],Table1[Season],'European Transfers by Country'!$D$3,Table1[Transfers outgoing (T.O.)],'European Transfers by Country'!B26)</f>
        <v>-98</v>
      </c>
      <c r="E26" s="47">
        <f t="shared" si="0"/>
        <v>4</v>
      </c>
      <c r="F26" s="33">
        <f>SUMIFS(Table1[Total club-to-club compensation],Table1[Season],'European Transfers by Country'!$F$3,Table1[Transfers incoming (T.I.)],'European Transfers by Country'!B26)</f>
        <v>984016.30103428196</v>
      </c>
      <c r="G26" s="26">
        <f>-SUMIFS(Table1[Total club-to-club compensation],Table1[Season],'European Transfers by Country'!$G$3,Table1[Transfers outgoing (T.O.)],'European Transfers by Country'!B26)</f>
        <v>-1379487.9701324701</v>
      </c>
      <c r="H26" s="44">
        <f t="shared" si="1"/>
        <v>-395471.66909818817</v>
      </c>
      <c r="I26" s="33">
        <f>SUMIFS(Table1[Number of transfers],Table1[Season],'European Transfers by Country'!$I$3,Table1[Transfers incoming (T.I.)],'European Transfers by Country'!B26)</f>
        <v>130</v>
      </c>
      <c r="J26" s="33">
        <f>-SUMIFS(Table1[Number of transfers],Table1[Season],'European Transfers by Country'!$J$3,Table1[Transfers outgoing (T.O.)],'European Transfers by Country'!B26)</f>
        <v>-110</v>
      </c>
      <c r="K26" s="44">
        <f t="shared" si="2"/>
        <v>20</v>
      </c>
      <c r="L26" s="33">
        <f>SUMIFS(Table1[Total club-to-club compensation],Table1[Season],'European Transfers by Country'!$L$3,Table1[Transfers incoming (T.I.)],'European Transfers by Country'!B26)</f>
        <v>0</v>
      </c>
      <c r="M26" s="33">
        <f>-SUMIFS(Table1[Total club-to-club compensation],Table1[Season],'European Transfers by Country'!$M$3,Table1[Transfers outgoing (T.O.)],'European Transfers by Country'!B26)</f>
        <v>-3105209.6178270001</v>
      </c>
      <c r="N26" s="44">
        <f t="shared" si="3"/>
        <v>-3105209.6178270001</v>
      </c>
    </row>
    <row r="27" spans="2:14" x14ac:dyDescent="0.2">
      <c r="B27" s="30" t="s">
        <v>66</v>
      </c>
      <c r="C27" s="39">
        <f>SUMIFS(Table1[Number of transfers],Table1[Season],'European Transfers by Country'!$C$3,Table1[Transfers incoming (T.I.)],'European Transfers by Country'!B27)</f>
        <v>114</v>
      </c>
      <c r="D27" s="33">
        <f>-SUMIFS(Table1[Number of transfers],Table1[Season],'European Transfers by Country'!$D$3,Table1[Transfers outgoing (T.O.)],'European Transfers by Country'!B27)</f>
        <v>-86</v>
      </c>
      <c r="E27" s="47">
        <f t="shared" si="0"/>
        <v>28</v>
      </c>
      <c r="F27" s="33">
        <f>SUMIFS(Table1[Total club-to-club compensation],Table1[Season],'European Transfers by Country'!$F$3,Table1[Transfers incoming (T.I.)],'European Transfers by Country'!B27)</f>
        <v>1833275.9277509998</v>
      </c>
      <c r="G27" s="26">
        <f>-SUMIFS(Table1[Total club-to-club compensation],Table1[Season],'European Transfers by Country'!$G$3,Table1[Transfers outgoing (T.O.)],'European Transfers by Country'!B27)</f>
        <v>-594881.48130773997</v>
      </c>
      <c r="H27" s="44">
        <f t="shared" si="1"/>
        <v>1238394.4464432597</v>
      </c>
      <c r="I27" s="33">
        <f>SUMIFS(Table1[Number of transfers],Table1[Season],'European Transfers by Country'!$I$3,Table1[Transfers incoming (T.I.)],'European Transfers by Country'!B27)</f>
        <v>110</v>
      </c>
      <c r="J27" s="33">
        <f>-SUMIFS(Table1[Number of transfers],Table1[Season],'European Transfers by Country'!$J$3,Table1[Transfers outgoing (T.O.)],'European Transfers by Country'!B27)</f>
        <v>-86</v>
      </c>
      <c r="K27" s="44">
        <f t="shared" si="2"/>
        <v>24</v>
      </c>
      <c r="L27" s="33">
        <f>SUMIFS(Table1[Total club-to-club compensation],Table1[Season],'European Transfers by Country'!$L$3,Table1[Transfers incoming (T.I.)],'European Transfers by Country'!B27)</f>
        <v>39045.311538000002</v>
      </c>
      <c r="M27" s="33">
        <f>-SUMIFS(Table1[Total club-to-club compensation],Table1[Season],'European Transfers by Country'!$M$3,Table1[Transfers outgoing (T.O.)],'European Transfers by Country'!B27)</f>
        <v>-1992383.9078430003</v>
      </c>
      <c r="N27" s="44">
        <f t="shared" si="3"/>
        <v>-1953338.5963050004</v>
      </c>
    </row>
    <row r="28" spans="2:14" x14ac:dyDescent="0.2">
      <c r="B28" s="30" t="s">
        <v>77</v>
      </c>
      <c r="C28" s="39">
        <f>SUMIFS(Table1[Number of transfers],Table1[Season],'European Transfers by Country'!$C$3,Table1[Transfers incoming (T.I.)],'European Transfers by Country'!B28)</f>
        <v>80</v>
      </c>
      <c r="D28" s="33">
        <f>-SUMIFS(Table1[Number of transfers],Table1[Season],'European Transfers by Country'!$D$3,Table1[Transfers outgoing (T.O.)],'European Transfers by Country'!B28)</f>
        <v>-24</v>
      </c>
      <c r="E28" s="47">
        <f t="shared" si="0"/>
        <v>56</v>
      </c>
      <c r="F28" s="33">
        <f>SUMIFS(Table1[Total club-to-club compensation],Table1[Season],'European Transfers by Country'!$F$3,Table1[Transfers incoming (T.I.)],'European Transfers by Country'!B28)</f>
        <v>0</v>
      </c>
      <c r="G28" s="26">
        <f>-SUMIFS(Table1[Total club-to-club compensation],Table1[Season],'European Transfers by Country'!$G$3,Table1[Transfers outgoing (T.O.)],'European Transfers by Country'!B28)</f>
        <v>0</v>
      </c>
      <c r="H28" s="44">
        <f t="shared" si="1"/>
        <v>0</v>
      </c>
      <c r="I28" s="33">
        <f>SUMIFS(Table1[Number of transfers],Table1[Season],'European Transfers by Country'!$I$3,Table1[Transfers incoming (T.I.)],'European Transfers by Country'!B28)</f>
        <v>102</v>
      </c>
      <c r="J28" s="33">
        <f>-SUMIFS(Table1[Number of transfers],Table1[Season],'European Transfers by Country'!$J$3,Table1[Transfers outgoing (T.O.)],'European Transfers by Country'!B28)</f>
        <v>-20</v>
      </c>
      <c r="K28" s="44">
        <f t="shared" si="2"/>
        <v>82</v>
      </c>
      <c r="L28" s="33">
        <f>SUMIFS(Table1[Total club-to-club compensation],Table1[Season],'European Transfers by Country'!$L$3,Table1[Transfers incoming (T.I.)],'European Transfers by Country'!B28)</f>
        <v>12107.4928353</v>
      </c>
      <c r="M28" s="33">
        <f>-SUMIFS(Table1[Total club-to-club compensation],Table1[Season],'European Transfers by Country'!$M$3,Table1[Transfers outgoing (T.O.)],'European Transfers by Country'!B28)</f>
        <v>-390254.46182999999</v>
      </c>
      <c r="N28" s="44">
        <f t="shared" si="3"/>
        <v>-378146.9689947</v>
      </c>
    </row>
    <row r="29" spans="2:14" x14ac:dyDescent="0.2">
      <c r="B29" s="30" t="s">
        <v>22</v>
      </c>
      <c r="C29" s="39">
        <f>SUMIFS(Table1[Number of transfers],Table1[Season],'European Transfers by Country'!$C$3,Table1[Transfers incoming (T.I.)],'European Transfers by Country'!B29)</f>
        <v>142</v>
      </c>
      <c r="D29" s="33">
        <f>-SUMIFS(Table1[Number of transfers],Table1[Season],'European Transfers by Country'!$D$3,Table1[Transfers outgoing (T.O.)],'European Transfers by Country'!B29)</f>
        <v>-44</v>
      </c>
      <c r="E29" s="47">
        <f t="shared" si="0"/>
        <v>98</v>
      </c>
      <c r="F29" s="33">
        <f>SUMIFS(Table1[Total club-to-club compensation],Table1[Season],'European Transfers by Country'!$F$3,Table1[Transfers incoming (T.I.)],'European Transfers by Country'!B29)</f>
        <v>0</v>
      </c>
      <c r="G29" s="26">
        <f>-SUMIFS(Table1[Total club-to-club compensation],Table1[Season],'European Transfers by Country'!$G$3,Table1[Transfers outgoing (T.O.)],'European Transfers by Country'!B29)</f>
        <v>-161433.237804</v>
      </c>
      <c r="H29" s="44">
        <f t="shared" si="1"/>
        <v>-161433.237804</v>
      </c>
      <c r="I29" s="33">
        <f>SUMIFS(Table1[Number of transfers],Table1[Season],'European Transfers by Country'!$I$3,Table1[Transfers incoming (T.I.)],'European Transfers by Country'!B29)</f>
        <v>156</v>
      </c>
      <c r="J29" s="33">
        <f>-SUMIFS(Table1[Number of transfers],Table1[Season],'European Transfers by Country'!$J$3,Table1[Transfers outgoing (T.O.)],'European Transfers by Country'!B29)</f>
        <v>-40</v>
      </c>
      <c r="K29" s="44">
        <f t="shared" si="2"/>
        <v>116</v>
      </c>
      <c r="L29" s="33">
        <f>SUMIFS(Table1[Total club-to-club compensation],Table1[Season],'European Transfers by Country'!$L$3,Table1[Transfers incoming (T.I.)],'European Transfers by Country'!B29)</f>
        <v>0</v>
      </c>
      <c r="M29" s="33">
        <f>-SUMIFS(Table1[Total club-to-club compensation],Table1[Season],'European Transfers by Country'!$M$3,Table1[Transfers outgoing (T.O.)],'European Transfers by Country'!B29)</f>
        <v>0</v>
      </c>
      <c r="N29" s="44">
        <f t="shared" si="3"/>
        <v>0</v>
      </c>
    </row>
    <row r="30" spans="2:14" x14ac:dyDescent="0.2">
      <c r="B30" s="30" t="s">
        <v>43</v>
      </c>
      <c r="C30" s="39">
        <f>SUMIFS(Table1[Number of transfers],Table1[Season],'European Transfers by Country'!$C$3,Table1[Transfers incoming (T.I.)],'European Transfers by Country'!B30)</f>
        <v>264</v>
      </c>
      <c r="D30" s="33">
        <f>-SUMIFS(Table1[Number of transfers],Table1[Season],'European Transfers by Country'!$D$3,Table1[Transfers outgoing (T.O.)],'European Transfers by Country'!B30)</f>
        <v>-150</v>
      </c>
      <c r="E30" s="47">
        <f t="shared" si="0"/>
        <v>114</v>
      </c>
      <c r="F30" s="33">
        <f>SUMIFS(Table1[Total club-to-club compensation],Table1[Season],'European Transfers by Country'!$F$3,Table1[Transfers incoming (T.I.)],'European Transfers by Country'!B30)</f>
        <v>2316365.6158440001</v>
      </c>
      <c r="G30" s="26">
        <f>-SUMIFS(Table1[Total club-to-club compensation],Table1[Season],'European Transfers by Country'!$G$3,Table1[Transfers outgoing (T.O.)],'European Transfers by Country'!B30)</f>
        <v>-8153404.4405129999</v>
      </c>
      <c r="H30" s="44">
        <f t="shared" si="1"/>
        <v>-5837038.8246689998</v>
      </c>
      <c r="I30" s="33">
        <f>SUMIFS(Table1[Number of transfers],Table1[Season],'European Transfers by Country'!$I$3,Table1[Transfers incoming (T.I.)],'European Transfers by Country'!B30)</f>
        <v>180</v>
      </c>
      <c r="J30" s="33">
        <f>-SUMIFS(Table1[Number of transfers],Table1[Season],'European Transfers by Country'!$J$3,Table1[Transfers outgoing (T.O.)],'European Transfers by Country'!B30)</f>
        <v>-122</v>
      </c>
      <c r="K30" s="44">
        <f t="shared" si="2"/>
        <v>58</v>
      </c>
      <c r="L30" s="33">
        <f>SUMIFS(Table1[Total club-to-club compensation],Table1[Season],'European Transfers by Country'!$L$3,Table1[Transfers incoming (T.I.)],'European Transfers by Country'!B30)</f>
        <v>2950440.5509350002</v>
      </c>
      <c r="M30" s="33">
        <f>-SUMIFS(Table1[Total club-to-club compensation],Table1[Season],'European Transfers by Country'!$M$3,Table1[Transfers outgoing (T.O.)],'European Transfers by Country'!B30)</f>
        <v>-5818636.0190850003</v>
      </c>
      <c r="N30" s="44">
        <f t="shared" si="3"/>
        <v>-2868195.4681500001</v>
      </c>
    </row>
    <row r="31" spans="2:14" x14ac:dyDescent="0.2">
      <c r="B31" s="30" t="s">
        <v>23</v>
      </c>
      <c r="C31" s="39">
        <f>SUMIFS(Table1[Number of transfers],Table1[Season],'European Transfers by Country'!$C$3,Table1[Transfers incoming (T.I.)],'European Transfers by Country'!B31)</f>
        <v>34</v>
      </c>
      <c r="D31" s="33">
        <f>-SUMIFS(Table1[Number of transfers],Table1[Season],'European Transfers by Country'!$D$3,Table1[Transfers outgoing (T.O.)],'European Transfers by Country'!B31)</f>
        <v>-84</v>
      </c>
      <c r="E31" s="47">
        <f t="shared" si="0"/>
        <v>-50</v>
      </c>
      <c r="F31" s="33">
        <f>SUMIFS(Table1[Total club-to-club compensation],Table1[Season],'European Transfers by Country'!$F$3,Table1[Transfers incoming (T.I.)],'European Transfers by Country'!B31)</f>
        <v>322866.47560800001</v>
      </c>
      <c r="G31" s="26">
        <f>-SUMIFS(Table1[Total club-to-club compensation],Table1[Season],'European Transfers by Country'!$G$3,Table1[Transfers outgoing (T.O.)],'European Transfers by Country'!B31)</f>
        <v>-7526824.7126114983</v>
      </c>
      <c r="H31" s="44">
        <f t="shared" si="1"/>
        <v>-7203958.2370034987</v>
      </c>
      <c r="I31" s="33">
        <f>SUMIFS(Table1[Number of transfers],Table1[Season],'European Transfers by Country'!$I$3,Table1[Transfers incoming (T.I.)],'European Transfers by Country'!B31)</f>
        <v>54</v>
      </c>
      <c r="J31" s="33">
        <f>-SUMIFS(Table1[Number of transfers],Table1[Season],'European Transfers by Country'!$J$3,Table1[Transfers outgoing (T.O.)],'European Transfers by Country'!B31)</f>
        <v>-60</v>
      </c>
      <c r="K31" s="44">
        <f t="shared" si="2"/>
        <v>-6</v>
      </c>
      <c r="L31" s="33">
        <f>SUMIFS(Table1[Total club-to-club compensation],Table1[Season],'European Transfers by Country'!$L$3,Table1[Transfers incoming (T.I.)],'European Transfers by Country'!B31)</f>
        <v>403583.09450999997</v>
      </c>
      <c r="M31" s="33">
        <f>-SUMIFS(Table1[Total club-to-club compensation],Table1[Season],'European Transfers by Country'!$M$3,Table1[Transfers outgoing (T.O.)],'European Transfers by Country'!B31)</f>
        <v>-10622796.853512</v>
      </c>
      <c r="N31" s="44">
        <f t="shared" si="3"/>
        <v>-10219213.759002</v>
      </c>
    </row>
    <row r="32" spans="2:14" x14ac:dyDescent="0.2">
      <c r="B32" s="30" t="s">
        <v>53</v>
      </c>
      <c r="C32" s="39">
        <f>SUMIFS(Table1[Number of transfers],Table1[Season],'European Transfers by Country'!$C$3,Table1[Transfers incoming (T.I.)],'European Transfers by Country'!B32)</f>
        <v>266</v>
      </c>
      <c r="D32" s="33">
        <f>-SUMIFS(Table1[Number of transfers],Table1[Season],'European Transfers by Country'!$D$3,Table1[Transfers outgoing (T.O.)],'European Transfers by Country'!B32)</f>
        <v>-338</v>
      </c>
      <c r="E32" s="47">
        <f t="shared" si="0"/>
        <v>-72</v>
      </c>
      <c r="F32" s="33">
        <f>SUMIFS(Table1[Total club-to-club compensation],Table1[Season],'European Transfers by Country'!$F$3,Table1[Transfers incoming (T.I.)],'European Transfers by Country'!B32)</f>
        <v>95805118.786065698</v>
      </c>
      <c r="G32" s="26">
        <f>-SUMIFS(Table1[Total club-to-club compensation],Table1[Season],'European Transfers by Country'!$G$3,Table1[Transfers outgoing (T.O.)],'European Transfers by Country'!B32)</f>
        <v>-354353796.58929116</v>
      </c>
      <c r="H32" s="44">
        <f t="shared" si="1"/>
        <v>-258548677.80322546</v>
      </c>
      <c r="I32" s="33">
        <f>SUMIFS(Table1[Number of transfers],Table1[Season],'European Transfers by Country'!$I$3,Table1[Transfers incoming (T.I.)],'European Transfers by Country'!B32)</f>
        <v>256</v>
      </c>
      <c r="J32" s="33">
        <f>-SUMIFS(Table1[Number of transfers],Table1[Season],'European Transfers by Country'!$J$3,Table1[Transfers outgoing (T.O.)],'European Transfers by Country'!B32)</f>
        <v>-358</v>
      </c>
      <c r="K32" s="44">
        <f t="shared" si="2"/>
        <v>-102</v>
      </c>
      <c r="L32" s="33">
        <f>SUMIFS(Table1[Total club-to-club compensation],Table1[Season],'European Transfers by Country'!$L$3,Table1[Transfers incoming (T.I.)],'European Transfers by Country'!B32)</f>
        <v>117491112.13716035</v>
      </c>
      <c r="M32" s="33">
        <f>-SUMIFS(Table1[Total club-to-club compensation],Table1[Season],'European Transfers by Country'!$M$3,Table1[Transfers outgoing (T.O.)],'European Transfers by Country'!B32)</f>
        <v>-392221625.45007604</v>
      </c>
      <c r="N32" s="44">
        <f t="shared" si="3"/>
        <v>-274730513.31291568</v>
      </c>
    </row>
    <row r="33" spans="2:14" x14ac:dyDescent="0.2">
      <c r="B33" s="30" t="s">
        <v>78</v>
      </c>
      <c r="C33" s="39">
        <f>SUMIFS(Table1[Number of transfers],Table1[Season],'European Transfers by Country'!$C$3,Table1[Transfers incoming (T.I.)],'European Transfers by Country'!B33)</f>
        <v>52</v>
      </c>
      <c r="D33" s="33">
        <f>-SUMIFS(Table1[Number of transfers],Table1[Season],'European Transfers by Country'!$D$3,Table1[Transfers outgoing (T.O.)],'European Transfers by Country'!B33)</f>
        <v>-46</v>
      </c>
      <c r="E33" s="47">
        <f t="shared" si="0"/>
        <v>6</v>
      </c>
      <c r="F33" s="33">
        <f>SUMIFS(Table1[Total club-to-club compensation],Table1[Season],'European Transfers by Country'!$F$3,Table1[Transfers incoming (T.I.)],'European Transfers by Country'!B33)</f>
        <v>0</v>
      </c>
      <c r="G33" s="26">
        <f>-SUMIFS(Table1[Total club-to-club compensation],Table1[Season],'European Transfers by Country'!$G$3,Table1[Transfers outgoing (T.O.)],'European Transfers by Country'!B33)</f>
        <v>-2709377.2471063873</v>
      </c>
      <c r="H33" s="44">
        <f t="shared" si="1"/>
        <v>-2709377.2471063873</v>
      </c>
      <c r="I33" s="33">
        <f>SUMIFS(Table1[Number of transfers],Table1[Season],'European Transfers by Country'!$I$3,Table1[Transfers incoming (T.I.)],'European Transfers by Country'!B33)</f>
        <v>36</v>
      </c>
      <c r="J33" s="33">
        <f>-SUMIFS(Table1[Number of transfers],Table1[Season],'European Transfers by Country'!$J$3,Table1[Transfers outgoing (T.O.)],'European Transfers by Country'!B33)</f>
        <v>-36</v>
      </c>
      <c r="K33" s="44">
        <f t="shared" si="2"/>
        <v>0</v>
      </c>
      <c r="L33" s="33">
        <f>SUMIFS(Table1[Total club-to-club compensation],Table1[Season],'European Transfers by Country'!$L$3,Table1[Transfers incoming (T.I.)],'European Transfers by Country'!B33)</f>
        <v>0</v>
      </c>
      <c r="M33" s="33">
        <f>-SUMIFS(Table1[Total club-to-club compensation],Table1[Season],'European Transfers by Country'!$M$3,Table1[Transfers outgoing (T.O.)],'European Transfers by Country'!B33)</f>
        <v>-3370825.4324422502</v>
      </c>
      <c r="N33" s="44">
        <f t="shared" si="3"/>
        <v>-3370825.4324422502</v>
      </c>
    </row>
    <row r="34" spans="2:14" x14ac:dyDescent="0.2">
      <c r="B34" s="30" t="s">
        <v>44</v>
      </c>
      <c r="C34" s="39">
        <f>SUMIFS(Table1[Number of transfers],Table1[Season],'European Transfers by Country'!$C$3,Table1[Transfers incoming (T.I.)],'European Transfers by Country'!B34)</f>
        <v>238</v>
      </c>
      <c r="D34" s="33">
        <f>-SUMIFS(Table1[Number of transfers],Table1[Season],'European Transfers by Country'!$D$3,Table1[Transfers outgoing (T.O.)],'European Transfers by Country'!B34)</f>
        <v>-162</v>
      </c>
      <c r="E34" s="47">
        <f t="shared" si="0"/>
        <v>76</v>
      </c>
      <c r="F34" s="33">
        <f>SUMIFS(Table1[Total club-to-club compensation],Table1[Season],'European Transfers by Country'!$F$3,Table1[Transfers incoming (T.I.)],'European Transfers by Country'!B34)</f>
        <v>31523568.582067311</v>
      </c>
      <c r="G34" s="26">
        <f>-SUMIFS(Table1[Total club-to-club compensation],Table1[Season],'European Transfers by Country'!$G$3,Table1[Transfers outgoing (T.O.)],'European Transfers by Country'!B34)</f>
        <v>-68017812.550555557</v>
      </c>
      <c r="H34" s="44">
        <f t="shared" si="1"/>
        <v>-36494243.968488246</v>
      </c>
      <c r="I34" s="33">
        <f>SUMIFS(Table1[Number of transfers],Table1[Season],'European Transfers by Country'!$I$3,Table1[Transfers incoming (T.I.)],'European Transfers by Country'!B34)</f>
        <v>282</v>
      </c>
      <c r="J34" s="33">
        <f>-SUMIFS(Table1[Number of transfers],Table1[Season],'European Transfers by Country'!$J$3,Table1[Transfers outgoing (T.O.)],'European Transfers by Country'!B34)</f>
        <v>-172</v>
      </c>
      <c r="K34" s="44">
        <f t="shared" si="2"/>
        <v>110</v>
      </c>
      <c r="L34" s="33">
        <f>SUMIFS(Table1[Total club-to-club compensation],Table1[Season],'European Transfers by Country'!$L$3,Table1[Transfers incoming (T.I.)],'European Transfers by Country'!B34)</f>
        <v>30054486.565134872</v>
      </c>
      <c r="M34" s="33">
        <f>-SUMIFS(Table1[Total club-to-club compensation],Table1[Season],'European Transfers by Country'!$M$3,Table1[Transfers outgoing (T.O.)],'European Transfers by Country'!B34)</f>
        <v>-119866867.15002003</v>
      </c>
      <c r="N34" s="44">
        <f t="shared" si="3"/>
        <v>-89812380.584885165</v>
      </c>
    </row>
    <row r="35" spans="2:14" x14ac:dyDescent="0.2">
      <c r="B35" s="30" t="s">
        <v>54</v>
      </c>
      <c r="C35" s="39">
        <f>SUMIFS(Table1[Number of transfers],Table1[Season],'European Transfers by Country'!$C$3,Table1[Transfers incoming (T.I.)],'European Transfers by Country'!B35)</f>
        <v>340</v>
      </c>
      <c r="D35" s="33">
        <f>-SUMIFS(Table1[Number of transfers],Table1[Season],'European Transfers by Country'!$D$3,Table1[Transfers outgoing (T.O.)],'European Transfers by Country'!B35)</f>
        <v>-226</v>
      </c>
      <c r="E35" s="47">
        <f t="shared" si="0"/>
        <v>114</v>
      </c>
      <c r="F35" s="33">
        <f>SUMIFS(Table1[Total club-to-club compensation],Table1[Season],'European Transfers by Country'!$F$3,Table1[Transfers incoming (T.I.)],'European Transfers by Country'!B35)</f>
        <v>19993359.285142705</v>
      </c>
      <c r="G35" s="26">
        <f>-SUMIFS(Table1[Total club-to-club compensation],Table1[Season],'European Transfers by Country'!$G$3,Table1[Transfers outgoing (T.O.)],'European Transfers by Country'!B35)</f>
        <v>-65658151.762816481</v>
      </c>
      <c r="H35" s="44">
        <f t="shared" si="1"/>
        <v>-45664792.477673776</v>
      </c>
      <c r="I35" s="33">
        <f>SUMIFS(Table1[Number of transfers],Table1[Season],'European Transfers by Country'!$I$3,Table1[Transfers incoming (T.I.)],'European Transfers by Country'!B35)</f>
        <v>240</v>
      </c>
      <c r="J35" s="33">
        <f>-SUMIFS(Table1[Number of transfers],Table1[Season],'European Transfers by Country'!$J$3,Table1[Transfers outgoing (T.O.)],'European Transfers by Country'!B35)</f>
        <v>-286</v>
      </c>
      <c r="K35" s="44">
        <f t="shared" si="2"/>
        <v>-46</v>
      </c>
      <c r="L35" s="33">
        <f>SUMIFS(Table1[Total club-to-club compensation],Table1[Season],'European Transfers by Country'!$L$3,Table1[Transfers incoming (T.I.)],'European Transfers by Country'!B35)</f>
        <v>4566136.0709100002</v>
      </c>
      <c r="M35" s="33">
        <f>-SUMIFS(Table1[Total club-to-club compensation],Table1[Season],'European Transfers by Country'!$M$3,Table1[Transfers outgoing (T.O.)],'European Transfers by Country'!B35)</f>
        <v>-54363625.437705956</v>
      </c>
      <c r="N35" s="44">
        <f t="shared" si="3"/>
        <v>-49797489.366795957</v>
      </c>
    </row>
    <row r="36" spans="2:14" x14ac:dyDescent="0.2">
      <c r="B36" s="30" t="s">
        <v>25</v>
      </c>
      <c r="C36" s="39">
        <f>SUMIFS(Table1[Number of transfers],Table1[Season],'European Transfers by Country'!$C$3,Table1[Transfers incoming (T.I.)],'European Transfers by Country'!B36)</f>
        <v>584</v>
      </c>
      <c r="D36" s="33">
        <f>-SUMIFS(Table1[Number of transfers],Table1[Season],'European Transfers by Country'!$D$3,Table1[Transfers outgoing (T.O.)],'European Transfers by Country'!B36)</f>
        <v>-386</v>
      </c>
      <c r="E36" s="47">
        <f t="shared" si="0"/>
        <v>198</v>
      </c>
      <c r="F36" s="33">
        <f>SUMIFS(Table1[Total club-to-club compensation],Table1[Season],'European Transfers by Country'!$F$3,Table1[Transfers incoming (T.I.)],'European Transfers by Country'!B36)</f>
        <v>438430195.67575628</v>
      </c>
      <c r="G36" s="26">
        <f>-SUMIFS(Table1[Total club-to-club compensation],Table1[Season],'European Transfers by Country'!$G$3,Table1[Transfers outgoing (T.O.)],'European Transfers by Country'!B36)</f>
        <v>-485882731.88319182</v>
      </c>
      <c r="H36" s="44">
        <f t="shared" si="1"/>
        <v>-47452536.207435548</v>
      </c>
      <c r="I36" s="33">
        <f>SUMIFS(Table1[Number of transfers],Table1[Season],'European Transfers by Country'!$I$3,Table1[Transfers incoming (T.I.)],'European Transfers by Country'!B36)</f>
        <v>618</v>
      </c>
      <c r="J36" s="33">
        <f>-SUMIFS(Table1[Number of transfers],Table1[Season],'European Transfers by Country'!$J$3,Table1[Transfers outgoing (T.O.)],'European Transfers by Country'!B36)</f>
        <v>-402</v>
      </c>
      <c r="K36" s="44">
        <f t="shared" si="2"/>
        <v>216</v>
      </c>
      <c r="L36" s="33">
        <f>SUMIFS(Table1[Total club-to-club compensation],Table1[Season],'European Transfers by Country'!$L$3,Table1[Transfers incoming (T.I.)],'European Transfers by Country'!B36)</f>
        <v>203220481.23969012</v>
      </c>
      <c r="M36" s="33">
        <f>-SUMIFS(Table1[Total club-to-club compensation],Table1[Season],'European Transfers by Country'!$M$3,Table1[Transfers outgoing (T.O.)],'European Transfers by Country'!B36)</f>
        <v>-729710201.85468388</v>
      </c>
      <c r="N36" s="44">
        <f t="shared" si="3"/>
        <v>-526489720.61499375</v>
      </c>
    </row>
    <row r="37" spans="2:14" x14ac:dyDescent="0.2">
      <c r="B37" s="30" t="s">
        <v>101</v>
      </c>
      <c r="C37" s="39">
        <f>SUMIFS(Table1[Number of transfers],Table1[Season],'European Transfers by Country'!$C$3,Table1[Transfers incoming (T.I.)],'European Transfers by Country'!B37)</f>
        <v>78</v>
      </c>
      <c r="D37" s="33">
        <f>-SUMIFS(Table1[Number of transfers],Table1[Season],'European Transfers by Country'!$D$3,Table1[Transfers outgoing (T.O.)],'European Transfers by Country'!B37)</f>
        <v>-118</v>
      </c>
      <c r="E37" s="47">
        <f t="shared" si="0"/>
        <v>-40</v>
      </c>
      <c r="F37" s="33">
        <f>SUMIFS(Table1[Total club-to-club compensation],Table1[Season],'European Transfers by Country'!$F$3,Table1[Transfers incoming (T.I.)],'European Transfers by Country'!B37)</f>
        <v>154787.55142375501</v>
      </c>
      <c r="G37" s="26">
        <f>-SUMIFS(Table1[Total club-to-club compensation],Table1[Season],'European Transfers by Country'!$G$3,Table1[Transfers outgoing (T.O.)],'European Transfers by Country'!B37)</f>
        <v>-16303289.426132008</v>
      </c>
      <c r="H37" s="44">
        <f t="shared" si="1"/>
        <v>-16148501.874708254</v>
      </c>
      <c r="I37" s="33">
        <f>SUMIFS(Table1[Number of transfers],Table1[Season],'European Transfers by Country'!$I$3,Table1[Transfers incoming (T.I.)],'European Transfers by Country'!B37)</f>
        <v>74</v>
      </c>
      <c r="J37" s="33">
        <f>-SUMIFS(Table1[Number of transfers],Table1[Season],'European Transfers by Country'!$J$3,Table1[Transfers outgoing (T.O.)],'European Transfers by Country'!B37)</f>
        <v>-102</v>
      </c>
      <c r="K37" s="44">
        <f t="shared" si="2"/>
        <v>-28</v>
      </c>
      <c r="L37" s="33">
        <f>SUMIFS(Table1[Total club-to-club compensation],Table1[Season],'European Transfers by Country'!$L$3,Table1[Transfers incoming (T.I.)],'European Transfers by Country'!B37)</f>
        <v>0</v>
      </c>
      <c r="M37" s="33">
        <f>-SUMIFS(Table1[Total club-to-club compensation],Table1[Season],'European Transfers by Country'!$M$3,Table1[Transfers outgoing (T.O.)],'European Transfers by Country'!B37)</f>
        <v>-24112392.692332741</v>
      </c>
      <c r="N37" s="44">
        <f t="shared" si="3"/>
        <v>-24112392.692332741</v>
      </c>
    </row>
    <row r="38" spans="2:14" x14ac:dyDescent="0.2">
      <c r="B38" s="30" t="s">
        <v>26</v>
      </c>
      <c r="C38" s="39">
        <f>SUMIFS(Table1[Number of transfers],Table1[Season],'European Transfers by Country'!$C$3,Table1[Transfers incoming (T.I.)],'European Transfers by Country'!B38)</f>
        <v>394</v>
      </c>
      <c r="D38" s="33">
        <f>-SUMIFS(Table1[Number of transfers],Table1[Season],'European Transfers by Country'!$D$3,Table1[Transfers outgoing (T.O.)],'European Transfers by Country'!B38)</f>
        <v>-240</v>
      </c>
      <c r="E38" s="47">
        <f t="shared" si="0"/>
        <v>154</v>
      </c>
      <c r="F38" s="33">
        <f>SUMIFS(Table1[Total club-to-club compensation],Table1[Season],'European Transfers by Country'!$F$3,Table1[Transfers incoming (T.I.)],'European Transfers by Country'!B38)</f>
        <v>3281105.4323473019</v>
      </c>
      <c r="G38" s="26">
        <f>-SUMIFS(Table1[Total club-to-club compensation],Table1[Season],'European Transfers by Country'!$G$3,Table1[Transfers outgoing (T.O.)],'European Transfers by Country'!B38)</f>
        <v>-31016008.72756194</v>
      </c>
      <c r="H38" s="44">
        <f t="shared" si="1"/>
        <v>-27734903.295214638</v>
      </c>
      <c r="I38" s="33">
        <f>SUMIFS(Table1[Number of transfers],Table1[Season],'European Transfers by Country'!$I$3,Table1[Transfers incoming (T.I.)],'European Transfers by Country'!B38)</f>
        <v>362</v>
      </c>
      <c r="J38" s="33">
        <f>-SUMIFS(Table1[Number of transfers],Table1[Season],'European Transfers by Country'!$J$3,Table1[Transfers outgoing (T.O.)],'European Transfers by Country'!B38)</f>
        <v>-264</v>
      </c>
      <c r="K38" s="44">
        <f t="shared" si="2"/>
        <v>98</v>
      </c>
      <c r="L38" s="33">
        <f>SUMIFS(Table1[Total club-to-club compensation],Table1[Season],'European Transfers by Country'!$L$3,Table1[Transfers incoming (T.I.)],'European Transfers by Country'!B38)</f>
        <v>4941136.2704505008</v>
      </c>
      <c r="M38" s="33">
        <f>-SUMIFS(Table1[Total club-to-club compensation],Table1[Season],'European Transfers by Country'!$M$3,Table1[Transfers outgoing (T.O.)],'European Transfers by Country'!B38)</f>
        <v>-34041621.865933068</v>
      </c>
      <c r="N38" s="44">
        <f t="shared" si="3"/>
        <v>-29100485.595482565</v>
      </c>
    </row>
    <row r="39" spans="2:14" x14ac:dyDescent="0.2">
      <c r="B39" s="30" t="s">
        <v>27</v>
      </c>
      <c r="C39" s="39">
        <f>SUMIFS(Table1[Number of transfers],Table1[Season],'European Transfers by Country'!$C$3,Table1[Transfers incoming (T.I.)],'European Transfers by Country'!B39)</f>
        <v>0</v>
      </c>
      <c r="D39" s="33">
        <f>-SUMIFS(Table1[Number of transfers],Table1[Season],'European Transfers by Country'!$D$3,Table1[Transfers outgoing (T.O.)],'European Transfers by Country'!B39)</f>
        <v>-2</v>
      </c>
      <c r="E39" s="47">
        <f t="shared" si="0"/>
        <v>-2</v>
      </c>
      <c r="F39" s="33">
        <f>SUMIFS(Table1[Total club-to-club compensation],Table1[Season],'European Transfers by Country'!$F$3,Table1[Transfers incoming (T.I.)],'European Transfers by Country'!B39)</f>
        <v>0</v>
      </c>
      <c r="G39" s="26">
        <f>-SUMIFS(Table1[Total club-to-club compensation],Table1[Season],'European Transfers by Country'!$G$3,Table1[Transfers outgoing (T.O.)],'European Transfers by Country'!B39)</f>
        <v>0</v>
      </c>
      <c r="H39" s="44">
        <f t="shared" si="1"/>
        <v>0</v>
      </c>
      <c r="I39" s="33">
        <f>SUMIFS(Table1[Number of transfers],Table1[Season],'European Transfers by Country'!$I$3,Table1[Transfers incoming (T.I.)],'European Transfers by Country'!B39)</f>
        <v>0</v>
      </c>
      <c r="J39" s="33">
        <f>-SUMIFS(Table1[Number of transfers],Table1[Season],'European Transfers by Country'!$J$3,Table1[Transfers outgoing (T.O.)],'European Transfers by Country'!B39)</f>
        <v>0</v>
      </c>
      <c r="K39" s="44">
        <f t="shared" si="2"/>
        <v>0</v>
      </c>
      <c r="L39" s="33">
        <f>SUMIFS(Table1[Total club-to-club compensation],Table1[Season],'European Transfers by Country'!$L$3,Table1[Transfers incoming (T.I.)],'European Transfers by Country'!B39)</f>
        <v>0</v>
      </c>
      <c r="M39" s="33">
        <f>-SUMIFS(Table1[Total club-to-club compensation],Table1[Season],'European Transfers by Country'!$M$3,Table1[Transfers outgoing (T.O.)],'European Transfers by Country'!B39)</f>
        <v>0</v>
      </c>
      <c r="N39" s="44">
        <f t="shared" si="3"/>
        <v>0</v>
      </c>
    </row>
    <row r="40" spans="2:14" x14ac:dyDescent="0.2">
      <c r="B40" s="30" t="s">
        <v>55</v>
      </c>
      <c r="C40" s="39">
        <f>SUMIFS(Table1[Number of transfers],Table1[Season],'European Transfers by Country'!$C$3,Table1[Transfers incoming (T.I.)],'European Transfers by Country'!B40)</f>
        <v>372</v>
      </c>
      <c r="D40" s="33">
        <f>-SUMIFS(Table1[Number of transfers],Table1[Season],'European Transfers by Country'!$D$3,Table1[Transfers outgoing (T.O.)],'European Transfers by Country'!B40)</f>
        <v>-324</v>
      </c>
      <c r="E40" s="47">
        <f t="shared" si="0"/>
        <v>48</v>
      </c>
      <c r="F40" s="33">
        <f>SUMIFS(Table1[Total club-to-club compensation],Table1[Season],'European Transfers by Country'!$F$3,Table1[Transfers incoming (T.I.)],'European Transfers by Country'!B40)</f>
        <v>30964815.516676325</v>
      </c>
      <c r="G40" s="26">
        <f>-SUMIFS(Table1[Total club-to-club compensation],Table1[Season],'European Transfers by Country'!$G$3,Table1[Transfers outgoing (T.O.)],'European Transfers by Country'!B40)</f>
        <v>-61721332.169675842</v>
      </c>
      <c r="H40" s="44">
        <f t="shared" si="1"/>
        <v>-30756516.652999517</v>
      </c>
      <c r="I40" s="33">
        <f>SUMIFS(Table1[Number of transfers],Table1[Season],'European Transfers by Country'!$I$3,Table1[Transfers incoming (T.I.)],'European Transfers by Country'!B40)</f>
        <v>296</v>
      </c>
      <c r="J40" s="33">
        <f>-SUMIFS(Table1[Number of transfers],Table1[Season],'European Transfers by Country'!$J$3,Table1[Transfers outgoing (T.O.)],'European Transfers by Country'!B40)</f>
        <v>-256</v>
      </c>
      <c r="K40" s="44">
        <f t="shared" si="2"/>
        <v>40</v>
      </c>
      <c r="L40" s="33">
        <f>SUMIFS(Table1[Total club-to-club compensation],Table1[Season],'European Transfers by Country'!$L$3,Table1[Transfers incoming (T.I.)],'European Transfers by Country'!B40)</f>
        <v>9401920.7045397442</v>
      </c>
      <c r="M40" s="33">
        <f>-SUMIFS(Table1[Total club-to-club compensation],Table1[Season],'European Transfers by Country'!$M$3,Table1[Transfers outgoing (T.O.)],'European Transfers by Country'!B40)</f>
        <v>-45071639.295613721</v>
      </c>
      <c r="N40" s="44">
        <f t="shared" si="3"/>
        <v>-35669718.591073975</v>
      </c>
    </row>
    <row r="41" spans="2:14" x14ac:dyDescent="0.2">
      <c r="B41" s="30" t="s">
        <v>28</v>
      </c>
      <c r="C41" s="39">
        <f>SUMIFS(Table1[Number of transfers],Table1[Season],'European Transfers by Country'!$C$3,Table1[Transfers incoming (T.I.)],'European Transfers by Country'!B41)</f>
        <v>186</v>
      </c>
      <c r="D41" s="33">
        <f>-SUMIFS(Table1[Number of transfers],Table1[Season],'European Transfers by Country'!$D$3,Table1[Transfers outgoing (T.O.)],'European Transfers by Country'!B41)</f>
        <v>-330</v>
      </c>
      <c r="E41" s="47">
        <f t="shared" si="0"/>
        <v>-144</v>
      </c>
      <c r="F41" s="33">
        <f>SUMIFS(Table1[Total club-to-club compensation],Table1[Season],'European Transfers by Country'!$F$3,Table1[Transfers incoming (T.I.)],'European Transfers by Country'!B41)</f>
        <v>12182063.15493609</v>
      </c>
      <c r="G41" s="26">
        <f>-SUMIFS(Table1[Total club-to-club compensation],Table1[Season],'European Transfers by Country'!$G$3,Table1[Transfers outgoing (T.O.)],'European Transfers by Country'!B41)</f>
        <v>-98063545.813370988</v>
      </c>
      <c r="H41" s="44">
        <f t="shared" si="1"/>
        <v>-85881482.658434898</v>
      </c>
      <c r="I41" s="33">
        <f>SUMIFS(Table1[Number of transfers],Table1[Season],'European Transfers by Country'!$I$3,Table1[Transfers incoming (T.I.)],'European Transfers by Country'!B41)</f>
        <v>214</v>
      </c>
      <c r="J41" s="33">
        <f>-SUMIFS(Table1[Number of transfers],Table1[Season],'European Transfers by Country'!$J$3,Table1[Transfers outgoing (T.O.)],'European Transfers by Country'!B41)</f>
        <v>-354</v>
      </c>
      <c r="K41" s="44">
        <f t="shared" si="2"/>
        <v>-140</v>
      </c>
      <c r="L41" s="33">
        <f>SUMIFS(Table1[Total club-to-club compensation],Table1[Season],'European Transfers by Country'!$L$3,Table1[Transfers incoming (T.I.)],'European Transfers by Country'!B41)</f>
        <v>2740955.1612720001</v>
      </c>
      <c r="M41" s="33">
        <f>-SUMIFS(Table1[Total club-to-club compensation],Table1[Season],'European Transfers by Country'!$M$3,Table1[Transfers outgoing (T.O.)],'European Transfers by Country'!B41)</f>
        <v>-46167382.928753853</v>
      </c>
      <c r="N41" s="44">
        <f t="shared" si="3"/>
        <v>-43426427.767481856</v>
      </c>
    </row>
    <row r="42" spans="2:14" x14ac:dyDescent="0.2">
      <c r="B42" s="30" t="s">
        <v>56</v>
      </c>
      <c r="C42" s="39">
        <f>SUMIFS(Table1[Number of transfers],Table1[Season],'European Transfers by Country'!$C$3,Table1[Transfers incoming (T.I.)],'European Transfers by Country'!B42)</f>
        <v>166</v>
      </c>
      <c r="D42" s="33">
        <f>-SUMIFS(Table1[Number of transfers],Table1[Season],'European Transfers by Country'!$D$3,Table1[Transfers outgoing (T.O.)],'European Transfers by Country'!B42)</f>
        <v>-212</v>
      </c>
      <c r="E42" s="47">
        <f t="shared" si="0"/>
        <v>-46</v>
      </c>
      <c r="F42" s="33">
        <f>SUMIFS(Table1[Total club-to-club compensation],Table1[Season],'European Transfers by Country'!$F$3,Table1[Transfers incoming (T.I.)],'European Transfers by Country'!B42)</f>
        <v>6262166.2596094497</v>
      </c>
      <c r="G42" s="26">
        <f>-SUMIFS(Table1[Total club-to-club compensation],Table1[Season],'European Transfers by Country'!$G$3,Table1[Transfers outgoing (T.O.)],'European Transfers by Country'!B42)</f>
        <v>-19358276.940898951</v>
      </c>
      <c r="H42" s="44">
        <f t="shared" si="1"/>
        <v>-13096110.681289501</v>
      </c>
      <c r="I42" s="33">
        <f>SUMIFS(Table1[Number of transfers],Table1[Season],'European Transfers by Country'!$I$3,Table1[Transfers incoming (T.I.)],'European Transfers by Country'!B42)</f>
        <v>140</v>
      </c>
      <c r="J42" s="33">
        <f>-SUMIFS(Table1[Number of transfers],Table1[Season],'European Transfers by Country'!$J$3,Table1[Transfers outgoing (T.O.)],'European Transfers by Country'!B42)</f>
        <v>-218</v>
      </c>
      <c r="K42" s="44">
        <f t="shared" si="2"/>
        <v>-78</v>
      </c>
      <c r="L42" s="33">
        <f>SUMIFS(Table1[Total club-to-club compensation],Table1[Season],'European Transfers by Country'!$L$3,Table1[Transfers incoming (T.I.)],'European Transfers by Country'!B42)</f>
        <v>1008582.035294046</v>
      </c>
      <c r="M42" s="33">
        <f>-SUMIFS(Table1[Total club-to-club compensation],Table1[Season],'European Transfers by Country'!$M$3,Table1[Transfers outgoing (T.O.)],'European Transfers by Country'!B42)</f>
        <v>-15649670.759856904</v>
      </c>
      <c r="N42" s="44">
        <f t="shared" si="3"/>
        <v>-14641088.724562857</v>
      </c>
    </row>
    <row r="43" spans="2:14" x14ac:dyDescent="0.2">
      <c r="B43" s="30" t="s">
        <v>30</v>
      </c>
      <c r="C43" s="39">
        <f>SUMIFS(Table1[Number of transfers],Table1[Season],'European Transfers by Country'!$C$3,Table1[Transfers incoming (T.I.)],'European Transfers by Country'!B43)</f>
        <v>72</v>
      </c>
      <c r="D43" s="33">
        <f>-SUMIFS(Table1[Number of transfers],Table1[Season],'European Transfers by Country'!$D$3,Table1[Transfers outgoing (T.O.)],'European Transfers by Country'!B43)</f>
        <v>-88</v>
      </c>
      <c r="E43" s="47">
        <f t="shared" si="0"/>
        <v>-16</v>
      </c>
      <c r="F43" s="33">
        <f>SUMIFS(Table1[Total club-to-club compensation],Table1[Season],'European Transfers by Country'!$F$3,Table1[Transfers incoming (T.I.)],'European Transfers by Country'!B43)</f>
        <v>1614332.3780399999</v>
      </c>
      <c r="G43" s="26">
        <f>-SUMIFS(Table1[Total club-to-club compensation],Table1[Season],'European Transfers by Country'!$G$3,Table1[Transfers outgoing (T.O.)],'European Transfers by Country'!B43)</f>
        <v>-5259280.1023575002</v>
      </c>
      <c r="H43" s="44">
        <f t="shared" si="1"/>
        <v>-3644947.7243175004</v>
      </c>
      <c r="I43" s="33">
        <f>SUMIFS(Table1[Number of transfers],Table1[Season],'European Transfers by Country'!$I$3,Table1[Transfers incoming (T.I.)],'European Transfers by Country'!B43)</f>
        <v>98</v>
      </c>
      <c r="J43" s="33">
        <f>-SUMIFS(Table1[Number of transfers],Table1[Season],'European Transfers by Country'!$J$3,Table1[Transfers outgoing (T.O.)],'European Transfers by Country'!B43)</f>
        <v>-100</v>
      </c>
      <c r="K43" s="44">
        <f t="shared" si="2"/>
        <v>-2</v>
      </c>
      <c r="L43" s="33">
        <f>SUMIFS(Table1[Total club-to-club compensation],Table1[Season],'European Transfers by Country'!$L$3,Table1[Transfers incoming (T.I.)],'European Transfers by Country'!B43)</f>
        <v>0</v>
      </c>
      <c r="M43" s="33">
        <f>-SUMIFS(Table1[Total club-to-club compensation],Table1[Season],'European Transfers by Country'!$M$3,Table1[Transfers outgoing (T.O.)],'European Transfers by Country'!B43)</f>
        <v>-15724234.1194137</v>
      </c>
      <c r="N43" s="44">
        <f t="shared" si="3"/>
        <v>-15724234.1194137</v>
      </c>
    </row>
    <row r="44" spans="2:14" x14ac:dyDescent="0.2">
      <c r="B44" s="30" t="s">
        <v>11</v>
      </c>
      <c r="C44" s="39">
        <f>SUMIFS(Table1[Number of transfers],Table1[Season],'European Transfers by Country'!$C$3,Table1[Transfers incoming (T.I.)],'European Transfers by Country'!B44)</f>
        <v>464</v>
      </c>
      <c r="D44" s="33">
        <f>-SUMIFS(Table1[Number of transfers],Table1[Season],'European Transfers by Country'!$D$3,Table1[Transfers outgoing (T.O.)],'European Transfers by Country'!B44)</f>
        <v>-548</v>
      </c>
      <c r="E44" s="47">
        <f t="shared" si="0"/>
        <v>-84</v>
      </c>
      <c r="F44" s="33">
        <f>SUMIFS(Table1[Total club-to-club compensation],Table1[Season],'European Transfers by Country'!$F$3,Table1[Transfers incoming (T.I.)],'European Transfers by Country'!B44)</f>
        <v>1159894424.9825063</v>
      </c>
      <c r="G44" s="26">
        <f>-SUMIFS(Table1[Total club-to-club compensation],Table1[Season],'European Transfers by Country'!$G$3,Table1[Transfers outgoing (T.O.)],'European Transfers by Country'!B44)</f>
        <v>-839019946.83999586</v>
      </c>
      <c r="H44" s="44">
        <f t="shared" si="1"/>
        <v>320874478.14251041</v>
      </c>
      <c r="I44" s="33">
        <f>SUMIFS(Table1[Number of transfers],Table1[Season],'European Transfers by Country'!$I$3,Table1[Transfers incoming (T.I.)],'European Transfers by Country'!B44)</f>
        <v>476</v>
      </c>
      <c r="J44" s="33">
        <f>-SUMIFS(Table1[Number of transfers],Table1[Season],'European Transfers by Country'!$J$3,Table1[Transfers outgoing (T.O.)],'European Transfers by Country'!B44)</f>
        <v>-636</v>
      </c>
      <c r="K44" s="44">
        <f t="shared" si="2"/>
        <v>-160</v>
      </c>
      <c r="L44" s="33">
        <f>SUMIFS(Table1[Total club-to-club compensation],Table1[Season],'European Transfers by Country'!$L$3,Table1[Transfers incoming (T.I.)],'European Transfers by Country'!B44)</f>
        <v>586194108.2575568</v>
      </c>
      <c r="M44" s="33">
        <f>-SUMIFS(Table1[Total club-to-club compensation],Table1[Season],'European Transfers by Country'!$M$3,Table1[Transfers outgoing (T.O.)],'European Transfers by Country'!B44)</f>
        <v>-796244153.22482991</v>
      </c>
      <c r="N44" s="44">
        <f t="shared" si="3"/>
        <v>-210050044.96727312</v>
      </c>
    </row>
    <row r="45" spans="2:14" x14ac:dyDescent="0.2">
      <c r="B45" s="30" t="s">
        <v>31</v>
      </c>
      <c r="C45" s="39">
        <f>SUMIFS(Table1[Number of transfers],Table1[Season],'European Transfers by Country'!$C$3,Table1[Transfers incoming (T.I.)],'European Transfers by Country'!B45)</f>
        <v>434</v>
      </c>
      <c r="D45" s="33">
        <f>-SUMIFS(Table1[Number of transfers],Table1[Season],'European Transfers by Country'!$D$3,Table1[Transfers outgoing (T.O.)],'European Transfers by Country'!B45)</f>
        <v>-210</v>
      </c>
      <c r="E45" s="47">
        <f t="shared" si="0"/>
        <v>224</v>
      </c>
      <c r="F45" s="33">
        <f>SUMIFS(Table1[Total club-to-club compensation],Table1[Season],'European Transfers by Country'!$F$3,Table1[Transfers incoming (T.I.)],'European Transfers by Country'!B45)</f>
        <v>16062413.755754368</v>
      </c>
      <c r="G45" s="26">
        <f>-SUMIFS(Table1[Total club-to-club compensation],Table1[Season],'European Transfers by Country'!$G$3,Table1[Transfers outgoing (T.O.)],'European Transfers by Country'!B45)</f>
        <v>-107949338.66949424</v>
      </c>
      <c r="H45" s="44">
        <f t="shared" si="1"/>
        <v>-91886924.913739875</v>
      </c>
      <c r="I45" s="33">
        <f>SUMIFS(Table1[Number of transfers],Table1[Season],'European Transfers by Country'!$I$3,Table1[Transfers incoming (T.I.)],'European Transfers by Country'!B45)</f>
        <v>358</v>
      </c>
      <c r="J45" s="33">
        <f>-SUMIFS(Table1[Number of transfers],Table1[Season],'European Transfers by Country'!$J$3,Table1[Transfers outgoing (T.O.)],'European Transfers by Country'!B45)</f>
        <v>-236</v>
      </c>
      <c r="K45" s="44">
        <f t="shared" si="2"/>
        <v>122</v>
      </c>
      <c r="L45" s="33">
        <f>SUMIFS(Table1[Total club-to-club compensation],Table1[Season],'European Transfers by Country'!$L$3,Table1[Transfers incoming (T.I.)],'European Transfers by Country'!B45)</f>
        <v>19856246.810189221</v>
      </c>
      <c r="M45" s="33">
        <f>-SUMIFS(Table1[Total club-to-club compensation],Table1[Season],'European Transfers by Country'!$M$3,Table1[Transfers outgoing (T.O.)],'European Transfers by Country'!B45)</f>
        <v>-43726800.270048536</v>
      </c>
      <c r="N45" s="44">
        <f t="shared" si="3"/>
        <v>-23870553.459859315</v>
      </c>
    </row>
    <row r="46" spans="2:14" x14ac:dyDescent="0.2">
      <c r="B46" s="30" t="s">
        <v>29</v>
      </c>
      <c r="C46" s="39">
        <f>SUMIFS(Table1[Number of transfers],Table1[Season],'European Transfers by Country'!$C$3,Table1[Transfers incoming (T.I.)],'European Transfers by Country'!B46)</f>
        <v>228</v>
      </c>
      <c r="D46" s="33">
        <f>-SUMIFS(Table1[Number of transfers],Table1[Season],'European Transfers by Country'!$D$3,Table1[Transfers outgoing (T.O.)],'European Transfers by Country'!B46)</f>
        <v>-194</v>
      </c>
      <c r="E46" s="47">
        <f t="shared" si="0"/>
        <v>34</v>
      </c>
      <c r="F46" s="33">
        <f>SUMIFS(Table1[Total club-to-club compensation],Table1[Season],'European Transfers by Country'!$F$3,Table1[Transfers incoming (T.I.)],'European Transfers by Country'!B46)</f>
        <v>51179994.506849304</v>
      </c>
      <c r="G46" s="26">
        <f>-SUMIFS(Table1[Total club-to-club compensation],Table1[Season],'European Transfers by Country'!$G$3,Table1[Transfers outgoing (T.O.)],'European Transfers by Country'!B46)</f>
        <v>-181796802.41505721</v>
      </c>
      <c r="H46" s="44">
        <f t="shared" si="1"/>
        <v>-130616807.90820791</v>
      </c>
      <c r="I46" s="33">
        <f>SUMIFS(Table1[Number of transfers],Table1[Season],'European Transfers by Country'!$I$3,Table1[Transfers incoming (T.I.)],'European Transfers by Country'!B46)</f>
        <v>196</v>
      </c>
      <c r="J46" s="33">
        <f>-SUMIFS(Table1[Number of transfers],Table1[Season],'European Transfers by Country'!$J$3,Table1[Transfers outgoing (T.O.)],'European Transfers by Country'!B46)</f>
        <v>-192</v>
      </c>
      <c r="K46" s="44">
        <f t="shared" si="2"/>
        <v>4</v>
      </c>
      <c r="L46" s="33">
        <f>SUMIFS(Table1[Total club-to-club compensation],Table1[Season],'European Transfers by Country'!$L$3,Table1[Transfers incoming (T.I.)],'European Transfers by Country'!B46)</f>
        <v>54068307.458480537</v>
      </c>
      <c r="M46" s="33">
        <f>-SUMIFS(Table1[Total club-to-club compensation],Table1[Season],'European Transfers by Country'!$M$3,Table1[Transfers outgoing (T.O.)],'European Transfers by Country'!B46)</f>
        <v>-144698289.67663711</v>
      </c>
      <c r="N46" s="44">
        <f t="shared" si="3"/>
        <v>-90629982.218156576</v>
      </c>
    </row>
    <row r="47" spans="2:14" x14ac:dyDescent="0.2">
      <c r="B47" s="30" t="s">
        <v>32</v>
      </c>
      <c r="C47" s="39">
        <f>SUMIFS(Table1[Number of transfers],Table1[Season],'European Transfers by Country'!$C$3,Table1[Transfers incoming (T.I.)],'European Transfers by Country'!B47)</f>
        <v>368</v>
      </c>
      <c r="D47" s="33">
        <f>-SUMIFS(Table1[Number of transfers],Table1[Season],'European Transfers by Country'!$D$3,Table1[Transfers outgoing (T.O.)],'European Transfers by Country'!B47)</f>
        <v>-276</v>
      </c>
      <c r="E47" s="47">
        <f t="shared" si="0"/>
        <v>92</v>
      </c>
      <c r="F47" s="33">
        <f>SUMIFS(Table1[Total club-to-club compensation],Table1[Season],'European Transfers by Country'!$F$3,Table1[Transfers incoming (T.I.)],'European Transfers by Country'!B47)</f>
        <v>246419317.65226299</v>
      </c>
      <c r="G47" s="26">
        <f>-SUMIFS(Table1[Total club-to-club compensation],Table1[Season],'European Transfers by Country'!$G$3,Table1[Transfers outgoing (T.O.)],'European Transfers by Country'!B47)</f>
        <v>-77656100.644508749</v>
      </c>
      <c r="H47" s="44">
        <f t="shared" si="1"/>
        <v>168763217.00775424</v>
      </c>
      <c r="I47" s="33">
        <f>SUMIFS(Table1[Number of transfers],Table1[Season],'European Transfers by Country'!$I$3,Table1[Transfers incoming (T.I.)],'European Transfers by Country'!B47)</f>
        <v>286</v>
      </c>
      <c r="J47" s="33">
        <f>-SUMIFS(Table1[Number of transfers],Table1[Season],'European Transfers by Country'!$J$3,Table1[Transfers outgoing (T.O.)],'European Transfers by Country'!B47)</f>
        <v>-244</v>
      </c>
      <c r="K47" s="44">
        <f t="shared" si="2"/>
        <v>42</v>
      </c>
      <c r="L47" s="33">
        <f>SUMIFS(Table1[Total club-to-club compensation],Table1[Season],'European Transfers by Country'!$L$3,Table1[Transfers incoming (T.I.)],'European Transfers by Country'!B47)</f>
        <v>231758598.70674241</v>
      </c>
      <c r="M47" s="33">
        <f>-SUMIFS(Table1[Total club-to-club compensation],Table1[Season],'European Transfers by Country'!$M$3,Table1[Transfers outgoing (T.O.)],'European Transfers by Country'!B47)</f>
        <v>-161891930.90097299</v>
      </c>
      <c r="N47" s="44">
        <f t="shared" si="3"/>
        <v>69866667.805769414</v>
      </c>
    </row>
    <row r="48" spans="2:14" ht="13.5" thickBot="1" x14ac:dyDescent="0.25">
      <c r="B48" s="31" t="s">
        <v>86</v>
      </c>
      <c r="C48" s="40">
        <f>SUMIFS(Table1[Number of transfers],Table1[Season],'European Transfers by Country'!$C$3,Table1[Transfers incoming (T.I.)],'European Transfers by Country'!B48)</f>
        <v>168</v>
      </c>
      <c r="D48" s="34">
        <f>-SUMIFS(Table1[Number of transfers],Table1[Season],'European Transfers by Country'!$D$3,Table1[Transfers outgoing (T.O.)],'European Transfers by Country'!B48)</f>
        <v>-142</v>
      </c>
      <c r="E48" s="48">
        <f t="shared" si="0"/>
        <v>26</v>
      </c>
      <c r="F48" s="34">
        <f>SUMIFS(Table1[Total club-to-club compensation],Table1[Season],'European Transfers by Country'!$F$3,Table1[Transfers incoming (T.I.)],'European Transfers by Country'!B48)</f>
        <v>71870947.304637611</v>
      </c>
      <c r="G48" s="26">
        <f>-SUMIFS(Table1[Total club-to-club compensation],Table1[Season],'European Transfers by Country'!$G$3,Table1[Transfers outgoing (T.O.)],'European Transfers by Country'!B48)</f>
        <v>-10598111.729768999</v>
      </c>
      <c r="H48" s="45">
        <f t="shared" si="1"/>
        <v>61272835.574868612</v>
      </c>
      <c r="I48" s="34">
        <f>SUMIFS(Table1[Number of transfers],Table1[Season],'European Transfers by Country'!$I$3,Table1[Transfers incoming (T.I.)],'European Transfers by Country'!B48)</f>
        <v>188</v>
      </c>
      <c r="J48" s="34">
        <f>-SUMIFS(Table1[Number of transfers],Table1[Season],'European Transfers by Country'!$J$3,Table1[Transfers outgoing (T.O.)],'European Transfers by Country'!B48)</f>
        <v>-166</v>
      </c>
      <c r="K48" s="45">
        <f t="shared" si="2"/>
        <v>22</v>
      </c>
      <c r="L48" s="34">
        <f>SUMIFS(Table1[Total club-to-club compensation],Table1[Season],'European Transfers by Country'!$L$3,Table1[Transfers incoming (T.I.)],'European Transfers by Country'!B48)</f>
        <v>152786599.32513449</v>
      </c>
      <c r="M48" s="34">
        <f>-SUMIFS(Table1[Total club-to-club compensation],Table1[Season],'European Transfers by Country'!$M$3,Table1[Transfers outgoing (T.O.)],'European Transfers by Country'!B48)</f>
        <v>-133885023.1342845</v>
      </c>
      <c r="N48" s="45">
        <f t="shared" si="3"/>
        <v>18901576.19084999</v>
      </c>
    </row>
    <row r="49" spans="2:14" ht="13.5" thickBot="1" x14ac:dyDescent="0.25">
      <c r="B49" s="28" t="s">
        <v>169</v>
      </c>
      <c r="C49" s="36">
        <f>SUM(C5:C48)</f>
        <v>10744</v>
      </c>
      <c r="D49" s="36">
        <f t="shared" ref="D49:N49" si="4">SUM(D5:D48)</f>
        <v>-9034</v>
      </c>
      <c r="E49" s="52">
        <f t="shared" si="4"/>
        <v>1710</v>
      </c>
      <c r="F49" s="36">
        <f t="shared" si="4"/>
        <v>5698872090.699708</v>
      </c>
      <c r="G49" s="21">
        <f t="shared" si="4"/>
        <v>-5529505080.4219675</v>
      </c>
      <c r="H49" s="52">
        <f t="shared" si="4"/>
        <v>169367010.27774167</v>
      </c>
      <c r="I49" s="36">
        <f t="shared" si="4"/>
        <v>11148</v>
      </c>
      <c r="J49" s="36">
        <f t="shared" si="4"/>
        <v>-9358</v>
      </c>
      <c r="K49" s="52">
        <f t="shared" si="4"/>
        <v>1790</v>
      </c>
      <c r="L49" s="36">
        <f t="shared" si="4"/>
        <v>6176264266.8266735</v>
      </c>
      <c r="M49" s="36">
        <f t="shared" si="4"/>
        <v>-6087728952.6301155</v>
      </c>
      <c r="N49" s="51">
        <f t="shared" si="4"/>
        <v>88535314.196556151</v>
      </c>
    </row>
  </sheetData>
  <mergeCells count="1">
    <mergeCell ref="B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FBFA-A68D-4D70-B918-C931376E13E6}">
  <dimension ref="B2:D8"/>
  <sheetViews>
    <sheetView showGridLines="0" tabSelected="1" zoomScale="115" zoomScaleNormal="115" workbookViewId="0">
      <selection activeCell="N8" sqref="N8"/>
    </sheetView>
  </sheetViews>
  <sheetFormatPr defaultRowHeight="12.75" x14ac:dyDescent="0.2"/>
  <cols>
    <col min="2" max="2" width="13.5703125" customWidth="1"/>
    <col min="3" max="3" width="24.7109375" customWidth="1"/>
    <col min="4" max="4" width="23.7109375" customWidth="1"/>
  </cols>
  <sheetData>
    <row r="2" spans="2:4" ht="17.25" x14ac:dyDescent="0.3">
      <c r="B2" s="53" t="s">
        <v>173</v>
      </c>
      <c r="C2" s="53"/>
      <c r="D2" s="53"/>
    </row>
    <row r="3" spans="2:4" ht="15" x14ac:dyDescent="0.25">
      <c r="B3" s="54"/>
      <c r="C3" s="54" t="s">
        <v>171</v>
      </c>
      <c r="D3" s="54" t="s">
        <v>172</v>
      </c>
    </row>
    <row r="4" spans="2:4" ht="15" x14ac:dyDescent="0.25">
      <c r="B4" s="58" t="s">
        <v>50</v>
      </c>
      <c r="C4" s="55">
        <f>SUMIF('European Transfers by Country'!$B$5:$B$48,'Top 5 Countires Visualization'!B4,'European Transfers by Country'!$I$5:$I$48)</f>
        <v>1020</v>
      </c>
      <c r="D4" s="55">
        <f>SUMIF('European Transfers by Country'!$B$5:$B$48,'Top 5 Countires Visualization'!B4,'European Transfers by Country'!$L$5:$L$48)/SUMIF('European Transfers by Country'!$B$5:$B$48,'Top 5 Countires Visualization'!B4,'European Transfers by Country'!$I$5:$I$48)</f>
        <v>2127361.2256838172</v>
      </c>
    </row>
    <row r="5" spans="2:4" ht="15" x14ac:dyDescent="0.25">
      <c r="B5" s="59" t="s">
        <v>11</v>
      </c>
      <c r="C5" s="56">
        <f>SUMIF('European Transfers by Country'!$B$5:$B$48,'Top 5 Countires Visualization'!B5,'European Transfers by Country'!$I$5:$I$48)</f>
        <v>476</v>
      </c>
      <c r="D5" s="56">
        <f>SUMIF('European Transfers by Country'!$B$5:$B$48,'Top 5 Countires Visualization'!B5,'European Transfers by Country'!$L$5:$L$48)/SUMIF('European Transfers by Country'!$B$5:$B$48,'Top 5 Countires Visualization'!B5,'European Transfers by Country'!$I$5:$I$48)</f>
        <v>1231500.2274318419</v>
      </c>
    </row>
    <row r="6" spans="2:4" ht="15" x14ac:dyDescent="0.25">
      <c r="B6" s="59" t="s">
        <v>12</v>
      </c>
      <c r="C6" s="56">
        <f>SUMIF('European Transfers by Country'!$B$5:$B$48,'Top 5 Countires Visualization'!B6,'European Transfers by Country'!$I$5:$I$48)</f>
        <v>438</v>
      </c>
      <c r="D6" s="56">
        <f>SUMIF('European Transfers by Country'!$B$5:$B$48,'Top 5 Countires Visualization'!B6,'European Transfers by Country'!$L$5:$L$48)/SUMIF('European Transfers by Country'!$B$5:$B$48,'Top 5 Countires Visualization'!B6,'European Transfers by Country'!$I$5:$I$48)</f>
        <v>1753915.0085361104</v>
      </c>
    </row>
    <row r="7" spans="2:4" ht="15" x14ac:dyDescent="0.25">
      <c r="B7" s="59" t="s">
        <v>13</v>
      </c>
      <c r="C7" s="56">
        <f>SUMIF('European Transfers by Country'!$B$5:$B$48,'Top 5 Countires Visualization'!B7,'European Transfers by Country'!$I$5:$I$48)</f>
        <v>664</v>
      </c>
      <c r="D7" s="56">
        <f>SUMIF('European Transfers by Country'!$B$5:$B$48,'Top 5 Countires Visualization'!B7,'European Transfers by Country'!$L$5:$L$48)/SUMIF('European Transfers by Country'!$B$5:$B$48,'Top 5 Countires Visualization'!B7,'European Transfers by Country'!$I$5:$I$48)</f>
        <v>969930.79093812511</v>
      </c>
    </row>
    <row r="8" spans="2:4" ht="15" x14ac:dyDescent="0.25">
      <c r="B8" s="60" t="s">
        <v>17</v>
      </c>
      <c r="C8" s="57">
        <f>SUMIF('European Transfers by Country'!$B$5:$B$48,'Top 5 Countires Visualization'!B8,'European Transfers by Country'!$I$5:$I$48)</f>
        <v>542</v>
      </c>
      <c r="D8" s="57">
        <f>SUMIF('European Transfers by Country'!$B$5:$B$48,'Top 5 Countires Visualization'!B8,'European Transfers by Country'!$L$5:$L$48)/SUMIF('European Transfers by Country'!$B$5:$B$48,'Top 5 Countires Visualization'!B8,'European Transfers by Country'!$I$5:$I$48)</f>
        <v>1670692.2407288889</v>
      </c>
    </row>
  </sheetData>
  <mergeCells count="1">
    <mergeCell ref="B2:D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8C7532-531A-4984-A6FC-ACD9D413D6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Countries</vt:lpstr>
      <vt:lpstr>European Transfers</vt:lpstr>
      <vt:lpstr>European Transfers by Country</vt:lpstr>
      <vt:lpstr>Top 5 Countires 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B921</cp:lastModifiedBy>
  <dcterms:created xsi:type="dcterms:W3CDTF">2023-06-30T06:51:19Z</dcterms:created>
  <dcterms:modified xsi:type="dcterms:W3CDTF">2024-12-11T10:34:00Z</dcterms:modified>
</cp:coreProperties>
</file>